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ge Esparza\Desktop\Python May\PROYECTO\"/>
    </mc:Choice>
  </mc:AlternateContent>
  <xr:revisionPtr revIDLastSave="0" documentId="13_ncr:1_{1CF299D3-21FB-4EA2-878A-16F430DDC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evaluación" sheetId="3" r:id="rId1"/>
    <sheet name="LOS QUE NO PASAN A LA PRUEBA" sheetId="4" r:id="rId2"/>
    <sheet name="Diccionario evaluación" sheetId="6" r:id="rId3"/>
  </sheets>
  <definedNames>
    <definedName name="_xlnm._FilterDatabase" localSheetId="0" hidden="1">'Matriz de evaluación'!$I$36:$J$36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O65" i="3" l="1"/>
  <c r="LN65" i="3"/>
  <c r="KG65" i="3"/>
  <c r="JX65" i="3"/>
  <c r="JP65" i="3"/>
  <c r="JB65" i="3"/>
  <c r="JA65" i="3"/>
  <c r="IZ65" i="3"/>
  <c r="IY65" i="3"/>
  <c r="IX65" i="3"/>
  <c r="IW65" i="3"/>
  <c r="IV65" i="3"/>
  <c r="IU65" i="3"/>
  <c r="IT65" i="3"/>
  <c r="IS65" i="3"/>
  <c r="IR65" i="3"/>
  <c r="IQ65" i="3"/>
  <c r="IP65" i="3"/>
  <c r="IO65" i="3"/>
  <c r="IN65" i="3"/>
  <c r="IM65" i="3"/>
  <c r="IL65" i="3"/>
  <c r="IK65" i="3"/>
  <c r="IJ65" i="3"/>
  <c r="II65" i="3"/>
  <c r="IH65" i="3"/>
  <c r="IG65" i="3"/>
  <c r="IF65" i="3"/>
  <c r="IE65" i="3"/>
  <c r="ID65" i="3"/>
  <c r="GU65" i="3"/>
  <c r="FZ65" i="3"/>
  <c r="FN65" i="3"/>
  <c r="FD65" i="3"/>
  <c r="EG65" i="3"/>
  <c r="EE65" i="3"/>
  <c r="DN65" i="3"/>
  <c r="CK65" i="3"/>
  <c r="BT65" i="3"/>
  <c r="BK65" i="3"/>
  <c r="BH65" i="3"/>
  <c r="AY65" i="3"/>
  <c r="AT65" i="3"/>
  <c r="LO64" i="3"/>
  <c r="LN64" i="3"/>
  <c r="KG64" i="3"/>
  <c r="JX64" i="3"/>
  <c r="JP64" i="3"/>
  <c r="JY64" i="3" s="1"/>
  <c r="JB64" i="3"/>
  <c r="JA64" i="3"/>
  <c r="IZ64" i="3"/>
  <c r="IY64" i="3"/>
  <c r="IX64" i="3"/>
  <c r="IW64" i="3"/>
  <c r="IV64" i="3"/>
  <c r="IU64" i="3"/>
  <c r="IT64" i="3"/>
  <c r="IS64" i="3"/>
  <c r="IR64" i="3"/>
  <c r="IQ64" i="3"/>
  <c r="IP64" i="3"/>
  <c r="IO64" i="3"/>
  <c r="IN64" i="3"/>
  <c r="IM64" i="3"/>
  <c r="IL64" i="3"/>
  <c r="IK64" i="3"/>
  <c r="IJ64" i="3"/>
  <c r="II64" i="3"/>
  <c r="IH64" i="3"/>
  <c r="IG64" i="3"/>
  <c r="IF64" i="3"/>
  <c r="IE64" i="3"/>
  <c r="ID64" i="3"/>
  <c r="GU64" i="3"/>
  <c r="FZ64" i="3"/>
  <c r="FN64" i="3"/>
  <c r="FD64" i="3"/>
  <c r="EG64" i="3"/>
  <c r="EE64" i="3"/>
  <c r="DN64" i="3"/>
  <c r="CK64" i="3"/>
  <c r="BT64" i="3"/>
  <c r="BK64" i="3"/>
  <c r="BH64" i="3"/>
  <c r="AY64" i="3"/>
  <c r="AT64" i="3"/>
  <c r="LO63" i="3"/>
  <c r="LN63" i="3"/>
  <c r="KG63" i="3"/>
  <c r="JX63" i="3"/>
  <c r="JP63" i="3"/>
  <c r="JB63" i="3"/>
  <c r="JA63" i="3"/>
  <c r="IZ63" i="3"/>
  <c r="IY63" i="3"/>
  <c r="IX63" i="3"/>
  <c r="IW63" i="3"/>
  <c r="IV63" i="3"/>
  <c r="IU63" i="3"/>
  <c r="IT63" i="3"/>
  <c r="IS63" i="3"/>
  <c r="IR63" i="3"/>
  <c r="IQ63" i="3"/>
  <c r="IP63" i="3"/>
  <c r="IO63" i="3"/>
  <c r="IN63" i="3"/>
  <c r="IM63" i="3"/>
  <c r="IL63" i="3"/>
  <c r="IK63" i="3"/>
  <c r="IJ63" i="3"/>
  <c r="II63" i="3"/>
  <c r="IH63" i="3"/>
  <c r="IG63" i="3"/>
  <c r="IF63" i="3"/>
  <c r="IE63" i="3"/>
  <c r="ID63" i="3"/>
  <c r="GU63" i="3"/>
  <c r="FZ63" i="3"/>
  <c r="FN63" i="3"/>
  <c r="FD63" i="3"/>
  <c r="EG63" i="3"/>
  <c r="EE63" i="3"/>
  <c r="DN63" i="3"/>
  <c r="CK63" i="3"/>
  <c r="BT63" i="3"/>
  <c r="BK63" i="3"/>
  <c r="BH63" i="3"/>
  <c r="AY63" i="3"/>
  <c r="AT63" i="3"/>
  <c r="LO62" i="3"/>
  <c r="LN62" i="3"/>
  <c r="KG62" i="3"/>
  <c r="JX62" i="3"/>
  <c r="JP62" i="3"/>
  <c r="JB62" i="3"/>
  <c r="JA62" i="3"/>
  <c r="IZ62" i="3"/>
  <c r="IY62" i="3"/>
  <c r="IX62" i="3"/>
  <c r="IW62" i="3"/>
  <c r="IV62" i="3"/>
  <c r="IU62" i="3"/>
  <c r="IT62" i="3"/>
  <c r="IS62" i="3"/>
  <c r="IR62" i="3"/>
  <c r="IQ62" i="3"/>
  <c r="IP62" i="3"/>
  <c r="IO62" i="3"/>
  <c r="IN62" i="3"/>
  <c r="IM62" i="3"/>
  <c r="IL62" i="3"/>
  <c r="IK62" i="3"/>
  <c r="IJ62" i="3"/>
  <c r="II62" i="3"/>
  <c r="IH62" i="3"/>
  <c r="IG62" i="3"/>
  <c r="IF62" i="3"/>
  <c r="IE62" i="3"/>
  <c r="ID62" i="3"/>
  <c r="GU62" i="3"/>
  <c r="FZ62" i="3"/>
  <c r="FN62" i="3"/>
  <c r="FD62" i="3"/>
  <c r="EG62" i="3"/>
  <c r="EE62" i="3"/>
  <c r="DN62" i="3"/>
  <c r="CK62" i="3"/>
  <c r="BT62" i="3"/>
  <c r="BK62" i="3"/>
  <c r="BH62" i="3"/>
  <c r="AY62" i="3"/>
  <c r="AT62" i="3"/>
  <c r="LO61" i="3"/>
  <c r="LN61" i="3"/>
  <c r="KG61" i="3"/>
  <c r="JX61" i="3"/>
  <c r="JP61" i="3"/>
  <c r="JB61" i="3"/>
  <c r="JA61" i="3"/>
  <c r="IZ61" i="3"/>
  <c r="IY61" i="3"/>
  <c r="IX61" i="3"/>
  <c r="IW61" i="3"/>
  <c r="IV61" i="3"/>
  <c r="IU61" i="3"/>
  <c r="IT61" i="3"/>
  <c r="IS61" i="3"/>
  <c r="IR61" i="3"/>
  <c r="IQ61" i="3"/>
  <c r="IP61" i="3"/>
  <c r="IO61" i="3"/>
  <c r="IN61" i="3"/>
  <c r="IM61" i="3"/>
  <c r="IL61" i="3"/>
  <c r="IK61" i="3"/>
  <c r="IJ61" i="3"/>
  <c r="II61" i="3"/>
  <c r="IH61" i="3"/>
  <c r="IG61" i="3"/>
  <c r="IF61" i="3"/>
  <c r="IE61" i="3"/>
  <c r="ID61" i="3"/>
  <c r="GU61" i="3"/>
  <c r="FZ61" i="3"/>
  <c r="FN61" i="3"/>
  <c r="FD61" i="3"/>
  <c r="EG61" i="3"/>
  <c r="EE61" i="3"/>
  <c r="DN61" i="3"/>
  <c r="CK61" i="3"/>
  <c r="BT61" i="3"/>
  <c r="BK61" i="3"/>
  <c r="BH61" i="3"/>
  <c r="AY61" i="3"/>
  <c r="AT61" i="3"/>
  <c r="LO60" i="3"/>
  <c r="LN60" i="3"/>
  <c r="KG60" i="3"/>
  <c r="JX60" i="3"/>
  <c r="JP60" i="3"/>
  <c r="JB60" i="3"/>
  <c r="JA60" i="3"/>
  <c r="IZ60" i="3"/>
  <c r="IY60" i="3"/>
  <c r="IX60" i="3"/>
  <c r="IW60" i="3"/>
  <c r="IV60" i="3"/>
  <c r="IU60" i="3"/>
  <c r="IT60" i="3"/>
  <c r="IS60" i="3"/>
  <c r="IR60" i="3"/>
  <c r="IQ60" i="3"/>
  <c r="IP60" i="3"/>
  <c r="IO60" i="3"/>
  <c r="IN60" i="3"/>
  <c r="IM60" i="3"/>
  <c r="IL60" i="3"/>
  <c r="IK60" i="3"/>
  <c r="IJ60" i="3"/>
  <c r="II60" i="3"/>
  <c r="IH60" i="3"/>
  <c r="IG60" i="3"/>
  <c r="IF60" i="3"/>
  <c r="IE60" i="3"/>
  <c r="ID60" i="3"/>
  <c r="GU60" i="3"/>
  <c r="FZ60" i="3"/>
  <c r="FN60" i="3"/>
  <c r="FD60" i="3"/>
  <c r="EG60" i="3"/>
  <c r="EE60" i="3"/>
  <c r="DN60" i="3"/>
  <c r="CK60" i="3"/>
  <c r="BT60" i="3"/>
  <c r="BK60" i="3"/>
  <c r="BH60" i="3"/>
  <c r="AY60" i="3"/>
  <c r="AT60" i="3"/>
  <c r="LO59" i="3"/>
  <c r="LN59" i="3"/>
  <c r="KG59" i="3"/>
  <c r="JX59" i="3"/>
  <c r="JP59" i="3"/>
  <c r="JB59" i="3"/>
  <c r="JA59" i="3"/>
  <c r="IZ59" i="3"/>
  <c r="IY59" i="3"/>
  <c r="IX59" i="3"/>
  <c r="IW59" i="3"/>
  <c r="IV59" i="3"/>
  <c r="IU59" i="3"/>
  <c r="IT59" i="3"/>
  <c r="IS59" i="3"/>
  <c r="IR59" i="3"/>
  <c r="IQ59" i="3"/>
  <c r="IP59" i="3"/>
  <c r="IO59" i="3"/>
  <c r="IN59" i="3"/>
  <c r="IM59" i="3"/>
  <c r="IL59" i="3"/>
  <c r="IK59" i="3"/>
  <c r="IJ59" i="3"/>
  <c r="II59" i="3"/>
  <c r="IH59" i="3"/>
  <c r="IG59" i="3"/>
  <c r="IF59" i="3"/>
  <c r="IE59" i="3"/>
  <c r="ID59" i="3"/>
  <c r="GU59" i="3"/>
  <c r="FZ59" i="3"/>
  <c r="FN59" i="3"/>
  <c r="FD59" i="3"/>
  <c r="EG59" i="3"/>
  <c r="EE59" i="3"/>
  <c r="DN59" i="3"/>
  <c r="CK59" i="3"/>
  <c r="BT59" i="3"/>
  <c r="BK59" i="3"/>
  <c r="BH59" i="3"/>
  <c r="AY59" i="3"/>
  <c r="AT59" i="3"/>
  <c r="LO58" i="3"/>
  <c r="LN58" i="3"/>
  <c r="KG58" i="3"/>
  <c r="JX58" i="3"/>
  <c r="JP58" i="3"/>
  <c r="JB58" i="3"/>
  <c r="JA58" i="3"/>
  <c r="IZ58" i="3"/>
  <c r="IY58" i="3"/>
  <c r="IX58" i="3"/>
  <c r="IW58" i="3"/>
  <c r="IV58" i="3"/>
  <c r="IU58" i="3"/>
  <c r="IT58" i="3"/>
  <c r="IS58" i="3"/>
  <c r="IR58" i="3"/>
  <c r="IQ58" i="3"/>
  <c r="IP58" i="3"/>
  <c r="IO58" i="3"/>
  <c r="IN58" i="3"/>
  <c r="IM58" i="3"/>
  <c r="IL58" i="3"/>
  <c r="IK58" i="3"/>
  <c r="IJ58" i="3"/>
  <c r="II58" i="3"/>
  <c r="IH58" i="3"/>
  <c r="IG58" i="3"/>
  <c r="IF58" i="3"/>
  <c r="IE58" i="3"/>
  <c r="ID58" i="3"/>
  <c r="GU58" i="3"/>
  <c r="FZ58" i="3"/>
  <c r="FN58" i="3"/>
  <c r="FD58" i="3"/>
  <c r="EG58" i="3"/>
  <c r="EE58" i="3"/>
  <c r="DN58" i="3"/>
  <c r="CK58" i="3"/>
  <c r="BT58" i="3"/>
  <c r="BK58" i="3"/>
  <c r="BH58" i="3"/>
  <c r="AY58" i="3"/>
  <c r="AT58" i="3"/>
  <c r="LO57" i="3"/>
  <c r="LN57" i="3"/>
  <c r="KG57" i="3"/>
  <c r="JX57" i="3"/>
  <c r="JP57" i="3"/>
  <c r="JB57" i="3"/>
  <c r="JA57" i="3"/>
  <c r="IZ57" i="3"/>
  <c r="IY57" i="3"/>
  <c r="IX57" i="3"/>
  <c r="IW57" i="3"/>
  <c r="IV57" i="3"/>
  <c r="IU57" i="3"/>
  <c r="IT57" i="3"/>
  <c r="IS57" i="3"/>
  <c r="IR57" i="3"/>
  <c r="IQ57" i="3"/>
  <c r="IP57" i="3"/>
  <c r="IO57" i="3"/>
  <c r="IN57" i="3"/>
  <c r="IM57" i="3"/>
  <c r="IL57" i="3"/>
  <c r="IK57" i="3"/>
  <c r="IJ57" i="3"/>
  <c r="II57" i="3"/>
  <c r="IH57" i="3"/>
  <c r="IG57" i="3"/>
  <c r="IF57" i="3"/>
  <c r="IE57" i="3"/>
  <c r="ID57" i="3"/>
  <c r="GU57" i="3"/>
  <c r="FZ57" i="3"/>
  <c r="FN57" i="3"/>
  <c r="FD57" i="3"/>
  <c r="EG57" i="3"/>
  <c r="EE57" i="3"/>
  <c r="DN57" i="3"/>
  <c r="CK57" i="3"/>
  <c r="BT57" i="3"/>
  <c r="BK57" i="3"/>
  <c r="BH57" i="3"/>
  <c r="AY57" i="3"/>
  <c r="AT57" i="3"/>
  <c r="LO56" i="3"/>
  <c r="LN56" i="3"/>
  <c r="KG56" i="3"/>
  <c r="JX56" i="3"/>
  <c r="JP56" i="3"/>
  <c r="JB56" i="3"/>
  <c r="JA56" i="3"/>
  <c r="IZ56" i="3"/>
  <c r="IY56" i="3"/>
  <c r="IX56" i="3"/>
  <c r="IW56" i="3"/>
  <c r="IV56" i="3"/>
  <c r="IU56" i="3"/>
  <c r="IT56" i="3"/>
  <c r="IS56" i="3"/>
  <c r="IR56" i="3"/>
  <c r="IQ56" i="3"/>
  <c r="IP56" i="3"/>
  <c r="IO56" i="3"/>
  <c r="IN56" i="3"/>
  <c r="IM56" i="3"/>
  <c r="IL56" i="3"/>
  <c r="IK56" i="3"/>
  <c r="IJ56" i="3"/>
  <c r="II56" i="3"/>
  <c r="IH56" i="3"/>
  <c r="IG56" i="3"/>
  <c r="IF56" i="3"/>
  <c r="IE56" i="3"/>
  <c r="ID56" i="3"/>
  <c r="GU56" i="3"/>
  <c r="FZ56" i="3"/>
  <c r="FN56" i="3"/>
  <c r="FD56" i="3"/>
  <c r="EG56" i="3"/>
  <c r="EE56" i="3"/>
  <c r="DN56" i="3"/>
  <c r="CK56" i="3"/>
  <c r="BT56" i="3"/>
  <c r="BK56" i="3"/>
  <c r="BH56" i="3"/>
  <c r="AY56" i="3"/>
  <c r="AT56" i="3"/>
  <c r="LO55" i="3"/>
  <c r="LN55" i="3"/>
  <c r="KG55" i="3"/>
  <c r="JX55" i="3"/>
  <c r="JP55" i="3"/>
  <c r="JB55" i="3"/>
  <c r="JA55" i="3"/>
  <c r="IZ55" i="3"/>
  <c r="IY55" i="3"/>
  <c r="IX55" i="3"/>
  <c r="IW55" i="3"/>
  <c r="IV55" i="3"/>
  <c r="IU55" i="3"/>
  <c r="IT55" i="3"/>
  <c r="IS55" i="3"/>
  <c r="IR55" i="3"/>
  <c r="IQ55" i="3"/>
  <c r="IP55" i="3"/>
  <c r="IO55" i="3"/>
  <c r="IN55" i="3"/>
  <c r="IM55" i="3"/>
  <c r="IL55" i="3"/>
  <c r="IK55" i="3"/>
  <c r="IJ55" i="3"/>
  <c r="II55" i="3"/>
  <c r="IH55" i="3"/>
  <c r="IG55" i="3"/>
  <c r="IF55" i="3"/>
  <c r="IE55" i="3"/>
  <c r="ID55" i="3"/>
  <c r="GU55" i="3"/>
  <c r="FZ55" i="3"/>
  <c r="FN55" i="3"/>
  <c r="FD55" i="3"/>
  <c r="EG55" i="3"/>
  <c r="EE55" i="3"/>
  <c r="DN55" i="3"/>
  <c r="CK55" i="3"/>
  <c r="BT55" i="3"/>
  <c r="BK55" i="3"/>
  <c r="BH55" i="3"/>
  <c r="AY55" i="3"/>
  <c r="AT55" i="3"/>
  <c r="LO54" i="3"/>
  <c r="LN54" i="3"/>
  <c r="KG54" i="3"/>
  <c r="JX54" i="3"/>
  <c r="JP54" i="3"/>
  <c r="JB54" i="3"/>
  <c r="JA54" i="3"/>
  <c r="IZ54" i="3"/>
  <c r="IY54" i="3"/>
  <c r="IX54" i="3"/>
  <c r="IW54" i="3"/>
  <c r="IV54" i="3"/>
  <c r="IU54" i="3"/>
  <c r="IT54" i="3"/>
  <c r="IS54" i="3"/>
  <c r="IR54" i="3"/>
  <c r="IQ54" i="3"/>
  <c r="IP54" i="3"/>
  <c r="IO54" i="3"/>
  <c r="IN54" i="3"/>
  <c r="IM54" i="3"/>
  <c r="IL54" i="3"/>
  <c r="IK54" i="3"/>
  <c r="IJ54" i="3"/>
  <c r="II54" i="3"/>
  <c r="IH54" i="3"/>
  <c r="IG54" i="3"/>
  <c r="IF54" i="3"/>
  <c r="IE54" i="3"/>
  <c r="ID54" i="3"/>
  <c r="GU54" i="3"/>
  <c r="FZ54" i="3"/>
  <c r="FN54" i="3"/>
  <c r="FD54" i="3"/>
  <c r="EG54" i="3"/>
  <c r="EE54" i="3"/>
  <c r="DN54" i="3"/>
  <c r="CK54" i="3"/>
  <c r="BT54" i="3"/>
  <c r="BK54" i="3"/>
  <c r="BH54" i="3"/>
  <c r="AY54" i="3"/>
  <c r="AT54" i="3"/>
  <c r="LO53" i="3"/>
  <c r="LN53" i="3"/>
  <c r="KG53" i="3"/>
  <c r="JX53" i="3"/>
  <c r="JP53" i="3"/>
  <c r="JB53" i="3"/>
  <c r="JA53" i="3"/>
  <c r="IZ53" i="3"/>
  <c r="IY53" i="3"/>
  <c r="IX53" i="3"/>
  <c r="IW53" i="3"/>
  <c r="IV53" i="3"/>
  <c r="IU53" i="3"/>
  <c r="IT53" i="3"/>
  <c r="IS53" i="3"/>
  <c r="IR53" i="3"/>
  <c r="IQ53" i="3"/>
  <c r="IP53" i="3"/>
  <c r="IO53" i="3"/>
  <c r="IN53" i="3"/>
  <c r="IM53" i="3"/>
  <c r="IL53" i="3"/>
  <c r="IK53" i="3"/>
  <c r="IJ53" i="3"/>
  <c r="II53" i="3"/>
  <c r="IH53" i="3"/>
  <c r="IG53" i="3"/>
  <c r="IF53" i="3"/>
  <c r="IE53" i="3"/>
  <c r="ID53" i="3"/>
  <c r="GU53" i="3"/>
  <c r="FZ53" i="3"/>
  <c r="FN53" i="3"/>
  <c r="FD53" i="3"/>
  <c r="EG53" i="3"/>
  <c r="EE53" i="3"/>
  <c r="DN53" i="3"/>
  <c r="CK53" i="3"/>
  <c r="BT53" i="3"/>
  <c r="BK53" i="3"/>
  <c r="BH53" i="3"/>
  <c r="AY53" i="3"/>
  <c r="AT53" i="3"/>
  <c r="LO52" i="3"/>
  <c r="LN52" i="3"/>
  <c r="KG52" i="3"/>
  <c r="JX52" i="3"/>
  <c r="JP52" i="3"/>
  <c r="JB52" i="3"/>
  <c r="JA52" i="3"/>
  <c r="IZ52" i="3"/>
  <c r="IY52" i="3"/>
  <c r="IX52" i="3"/>
  <c r="IW52" i="3"/>
  <c r="IV52" i="3"/>
  <c r="IU52" i="3"/>
  <c r="IT52" i="3"/>
  <c r="IS52" i="3"/>
  <c r="IR52" i="3"/>
  <c r="IQ52" i="3"/>
  <c r="IP52" i="3"/>
  <c r="IO52" i="3"/>
  <c r="IN52" i="3"/>
  <c r="IM52" i="3"/>
  <c r="IL52" i="3"/>
  <c r="IK52" i="3"/>
  <c r="IJ52" i="3"/>
  <c r="II52" i="3"/>
  <c r="IH52" i="3"/>
  <c r="IG52" i="3"/>
  <c r="IF52" i="3"/>
  <c r="IE52" i="3"/>
  <c r="ID52" i="3"/>
  <c r="GU52" i="3"/>
  <c r="FZ52" i="3"/>
  <c r="FN52" i="3"/>
  <c r="FD52" i="3"/>
  <c r="EG52" i="3"/>
  <c r="EE52" i="3"/>
  <c r="DN52" i="3"/>
  <c r="CK52" i="3"/>
  <c r="BT52" i="3"/>
  <c r="BK52" i="3"/>
  <c r="BH52" i="3"/>
  <c r="AY52" i="3"/>
  <c r="AT52" i="3"/>
  <c r="LO51" i="3"/>
  <c r="LN51" i="3"/>
  <c r="KG51" i="3"/>
  <c r="JX51" i="3"/>
  <c r="JP51" i="3"/>
  <c r="JB51" i="3"/>
  <c r="JA51" i="3"/>
  <c r="IZ51" i="3"/>
  <c r="IY51" i="3"/>
  <c r="IX51" i="3"/>
  <c r="IW51" i="3"/>
  <c r="IV51" i="3"/>
  <c r="IU51" i="3"/>
  <c r="IT51" i="3"/>
  <c r="IS51" i="3"/>
  <c r="IR51" i="3"/>
  <c r="IQ51" i="3"/>
  <c r="IP51" i="3"/>
  <c r="IO51" i="3"/>
  <c r="IN51" i="3"/>
  <c r="IM51" i="3"/>
  <c r="IL51" i="3"/>
  <c r="IK51" i="3"/>
  <c r="IJ51" i="3"/>
  <c r="II51" i="3"/>
  <c r="IH51" i="3"/>
  <c r="IG51" i="3"/>
  <c r="IF51" i="3"/>
  <c r="IE51" i="3"/>
  <c r="ID51" i="3"/>
  <c r="GU51" i="3"/>
  <c r="FZ51" i="3"/>
  <c r="FN51" i="3"/>
  <c r="FD51" i="3"/>
  <c r="EG51" i="3"/>
  <c r="EE51" i="3"/>
  <c r="DN51" i="3"/>
  <c r="CK51" i="3"/>
  <c r="BT51" i="3"/>
  <c r="BK51" i="3"/>
  <c r="BH51" i="3"/>
  <c r="AY51" i="3"/>
  <c r="AT51" i="3"/>
  <c r="LO50" i="3"/>
  <c r="LN50" i="3"/>
  <c r="KG50" i="3"/>
  <c r="JX50" i="3"/>
  <c r="JP50" i="3"/>
  <c r="JB50" i="3"/>
  <c r="JA50" i="3"/>
  <c r="IZ50" i="3"/>
  <c r="IY50" i="3"/>
  <c r="IX50" i="3"/>
  <c r="IW50" i="3"/>
  <c r="IV50" i="3"/>
  <c r="IU50" i="3"/>
  <c r="IT50" i="3"/>
  <c r="IS50" i="3"/>
  <c r="IR50" i="3"/>
  <c r="IQ50" i="3"/>
  <c r="IP50" i="3"/>
  <c r="IO50" i="3"/>
  <c r="IN50" i="3"/>
  <c r="IM50" i="3"/>
  <c r="IL50" i="3"/>
  <c r="IK50" i="3"/>
  <c r="IJ50" i="3"/>
  <c r="II50" i="3"/>
  <c r="IH50" i="3"/>
  <c r="IG50" i="3"/>
  <c r="IF50" i="3"/>
  <c r="IE50" i="3"/>
  <c r="ID50" i="3"/>
  <c r="GU50" i="3"/>
  <c r="FZ50" i="3"/>
  <c r="FN50" i="3"/>
  <c r="FD50" i="3"/>
  <c r="EG50" i="3"/>
  <c r="EE50" i="3"/>
  <c r="DN50" i="3"/>
  <c r="CK50" i="3"/>
  <c r="BT50" i="3"/>
  <c r="BK50" i="3"/>
  <c r="BH50" i="3"/>
  <c r="AY50" i="3"/>
  <c r="AT50" i="3"/>
  <c r="LO49" i="3"/>
  <c r="LN49" i="3"/>
  <c r="KG49" i="3"/>
  <c r="JX49" i="3"/>
  <c r="JP49" i="3"/>
  <c r="JB49" i="3"/>
  <c r="JA49" i="3"/>
  <c r="IZ49" i="3"/>
  <c r="IY49" i="3"/>
  <c r="IX49" i="3"/>
  <c r="IW49" i="3"/>
  <c r="IV49" i="3"/>
  <c r="IU49" i="3"/>
  <c r="IT49" i="3"/>
  <c r="IS49" i="3"/>
  <c r="IR49" i="3"/>
  <c r="IQ49" i="3"/>
  <c r="IP49" i="3"/>
  <c r="IO49" i="3"/>
  <c r="IN49" i="3"/>
  <c r="IM49" i="3"/>
  <c r="IL49" i="3"/>
  <c r="IK49" i="3"/>
  <c r="IJ49" i="3"/>
  <c r="II49" i="3"/>
  <c r="IH49" i="3"/>
  <c r="IG49" i="3"/>
  <c r="IF49" i="3"/>
  <c r="IE49" i="3"/>
  <c r="ID49" i="3"/>
  <c r="GU49" i="3"/>
  <c r="FZ49" i="3"/>
  <c r="FN49" i="3"/>
  <c r="FD49" i="3"/>
  <c r="EG49" i="3"/>
  <c r="EE49" i="3"/>
  <c r="DN49" i="3"/>
  <c r="CK49" i="3"/>
  <c r="BT49" i="3"/>
  <c r="BK49" i="3"/>
  <c r="BH49" i="3"/>
  <c r="AY49" i="3"/>
  <c r="AT49" i="3"/>
  <c r="LO48" i="3"/>
  <c r="LN48" i="3"/>
  <c r="KG48" i="3"/>
  <c r="JX48" i="3"/>
  <c r="JP48" i="3"/>
  <c r="JB48" i="3"/>
  <c r="JA48" i="3"/>
  <c r="IZ48" i="3"/>
  <c r="IY48" i="3"/>
  <c r="IX48" i="3"/>
  <c r="IW48" i="3"/>
  <c r="IV48" i="3"/>
  <c r="IU48" i="3"/>
  <c r="IT48" i="3"/>
  <c r="IS48" i="3"/>
  <c r="IR48" i="3"/>
  <c r="IQ48" i="3"/>
  <c r="IP48" i="3"/>
  <c r="IO48" i="3"/>
  <c r="IN48" i="3"/>
  <c r="IM48" i="3"/>
  <c r="IL48" i="3"/>
  <c r="IK48" i="3"/>
  <c r="IJ48" i="3"/>
  <c r="II48" i="3"/>
  <c r="IH48" i="3"/>
  <c r="IG48" i="3"/>
  <c r="IF48" i="3"/>
  <c r="IE48" i="3"/>
  <c r="ID48" i="3"/>
  <c r="GU48" i="3"/>
  <c r="FZ48" i="3"/>
  <c r="FN48" i="3"/>
  <c r="FD48" i="3"/>
  <c r="EG48" i="3"/>
  <c r="EE48" i="3"/>
  <c r="DN48" i="3"/>
  <c r="CK48" i="3"/>
  <c r="BT48" i="3"/>
  <c r="BK48" i="3"/>
  <c r="BH48" i="3"/>
  <c r="AY48" i="3"/>
  <c r="AT48" i="3"/>
  <c r="LO47" i="3"/>
  <c r="LN47" i="3"/>
  <c r="KG47" i="3"/>
  <c r="JX47" i="3"/>
  <c r="JY47" i="3" s="1"/>
  <c r="JB47" i="3"/>
  <c r="JA47" i="3"/>
  <c r="IZ47" i="3"/>
  <c r="IY47" i="3"/>
  <c r="IX47" i="3"/>
  <c r="IW47" i="3"/>
  <c r="IV47" i="3"/>
  <c r="IU47" i="3"/>
  <c r="IT47" i="3"/>
  <c r="IS47" i="3"/>
  <c r="IR47" i="3"/>
  <c r="IQ47" i="3"/>
  <c r="IP47" i="3"/>
  <c r="IO47" i="3"/>
  <c r="IN47" i="3"/>
  <c r="IM47" i="3"/>
  <c r="IL47" i="3"/>
  <c r="IK47" i="3"/>
  <c r="IJ47" i="3"/>
  <c r="II47" i="3"/>
  <c r="IH47" i="3"/>
  <c r="IG47" i="3"/>
  <c r="IF47" i="3"/>
  <c r="IE47" i="3"/>
  <c r="ID47" i="3"/>
  <c r="GU47" i="3"/>
  <c r="FZ47" i="3"/>
  <c r="FN47" i="3"/>
  <c r="FD47" i="3"/>
  <c r="EG47" i="3"/>
  <c r="EE47" i="3"/>
  <c r="DN47" i="3"/>
  <c r="CK47" i="3"/>
  <c r="BT47" i="3"/>
  <c r="BK47" i="3"/>
  <c r="BH47" i="3"/>
  <c r="AY47" i="3"/>
  <c r="AT47" i="3"/>
  <c r="LO46" i="3"/>
  <c r="LN46" i="3"/>
  <c r="KG46" i="3"/>
  <c r="JX46" i="3"/>
  <c r="JP46" i="3"/>
  <c r="JB46" i="3"/>
  <c r="JA46" i="3"/>
  <c r="IZ46" i="3"/>
  <c r="IY46" i="3"/>
  <c r="IX46" i="3"/>
  <c r="IW46" i="3"/>
  <c r="IV46" i="3"/>
  <c r="IU46" i="3"/>
  <c r="IT46" i="3"/>
  <c r="IS46" i="3"/>
  <c r="IR46" i="3"/>
  <c r="IQ46" i="3"/>
  <c r="IP46" i="3"/>
  <c r="IO46" i="3"/>
  <c r="IN46" i="3"/>
  <c r="IM46" i="3"/>
  <c r="IL46" i="3"/>
  <c r="IK46" i="3"/>
  <c r="IJ46" i="3"/>
  <c r="II46" i="3"/>
  <c r="IH46" i="3"/>
  <c r="IG46" i="3"/>
  <c r="IF46" i="3"/>
  <c r="IE46" i="3"/>
  <c r="ID46" i="3"/>
  <c r="GU46" i="3"/>
  <c r="FZ46" i="3"/>
  <c r="FN46" i="3"/>
  <c r="FD46" i="3"/>
  <c r="EG46" i="3"/>
  <c r="EE46" i="3"/>
  <c r="DN46" i="3"/>
  <c r="CK46" i="3"/>
  <c r="BT46" i="3"/>
  <c r="BK46" i="3"/>
  <c r="BH46" i="3"/>
  <c r="AY46" i="3"/>
  <c r="AT46" i="3"/>
  <c r="LO45" i="3"/>
  <c r="LN45" i="3"/>
  <c r="KG45" i="3"/>
  <c r="JX45" i="3"/>
  <c r="JP45" i="3"/>
  <c r="JB45" i="3"/>
  <c r="JA45" i="3"/>
  <c r="IZ45" i="3"/>
  <c r="IY45" i="3"/>
  <c r="IX45" i="3"/>
  <c r="IW45" i="3"/>
  <c r="IV45" i="3"/>
  <c r="IU45" i="3"/>
  <c r="IT45" i="3"/>
  <c r="IS45" i="3"/>
  <c r="IR45" i="3"/>
  <c r="IQ45" i="3"/>
  <c r="IP45" i="3"/>
  <c r="IO45" i="3"/>
  <c r="IN45" i="3"/>
  <c r="IM45" i="3"/>
  <c r="IL45" i="3"/>
  <c r="IK45" i="3"/>
  <c r="IJ45" i="3"/>
  <c r="II45" i="3"/>
  <c r="IH45" i="3"/>
  <c r="IG45" i="3"/>
  <c r="IF45" i="3"/>
  <c r="IE45" i="3"/>
  <c r="ID45" i="3"/>
  <c r="GU45" i="3"/>
  <c r="FZ45" i="3"/>
  <c r="FN45" i="3"/>
  <c r="FD45" i="3"/>
  <c r="EG45" i="3"/>
  <c r="EE45" i="3"/>
  <c r="DN45" i="3"/>
  <c r="CK45" i="3"/>
  <c r="BT45" i="3"/>
  <c r="BK45" i="3"/>
  <c r="BH45" i="3"/>
  <c r="AY45" i="3"/>
  <c r="AT45" i="3"/>
  <c r="LO44" i="3"/>
  <c r="LN44" i="3"/>
  <c r="KG44" i="3"/>
  <c r="JX44" i="3"/>
  <c r="JP44" i="3"/>
  <c r="JB44" i="3"/>
  <c r="JA44" i="3"/>
  <c r="IZ44" i="3"/>
  <c r="IY44" i="3"/>
  <c r="IX44" i="3"/>
  <c r="IW44" i="3"/>
  <c r="IV44" i="3"/>
  <c r="IU44" i="3"/>
  <c r="IT44" i="3"/>
  <c r="IS44" i="3"/>
  <c r="IR44" i="3"/>
  <c r="IQ44" i="3"/>
  <c r="IP44" i="3"/>
  <c r="IO44" i="3"/>
  <c r="IN44" i="3"/>
  <c r="IM44" i="3"/>
  <c r="IL44" i="3"/>
  <c r="IK44" i="3"/>
  <c r="IJ44" i="3"/>
  <c r="II44" i="3"/>
  <c r="IH44" i="3"/>
  <c r="IG44" i="3"/>
  <c r="IF44" i="3"/>
  <c r="IE44" i="3"/>
  <c r="ID44" i="3"/>
  <c r="GU44" i="3"/>
  <c r="FZ44" i="3"/>
  <c r="FN44" i="3"/>
  <c r="FD44" i="3"/>
  <c r="EG44" i="3"/>
  <c r="EE44" i="3"/>
  <c r="DN44" i="3"/>
  <c r="CK44" i="3"/>
  <c r="BT44" i="3"/>
  <c r="BK44" i="3"/>
  <c r="BH44" i="3"/>
  <c r="AY44" i="3"/>
  <c r="AT44" i="3"/>
  <c r="LO43" i="3"/>
  <c r="LN43" i="3"/>
  <c r="KG43" i="3"/>
  <c r="JX43" i="3"/>
  <c r="JP43" i="3"/>
  <c r="JB43" i="3"/>
  <c r="JA43" i="3"/>
  <c r="IZ43" i="3"/>
  <c r="IY43" i="3"/>
  <c r="IX43" i="3"/>
  <c r="IW43" i="3"/>
  <c r="IV43" i="3"/>
  <c r="IU43" i="3"/>
  <c r="IT43" i="3"/>
  <c r="IS43" i="3"/>
  <c r="IR43" i="3"/>
  <c r="IQ43" i="3"/>
  <c r="IP43" i="3"/>
  <c r="IO43" i="3"/>
  <c r="IN43" i="3"/>
  <c r="IM43" i="3"/>
  <c r="IL43" i="3"/>
  <c r="IK43" i="3"/>
  <c r="IJ43" i="3"/>
  <c r="II43" i="3"/>
  <c r="IH43" i="3"/>
  <c r="IG43" i="3"/>
  <c r="IF43" i="3"/>
  <c r="IE43" i="3"/>
  <c r="ID43" i="3"/>
  <c r="GU43" i="3"/>
  <c r="FZ43" i="3"/>
  <c r="FN43" i="3"/>
  <c r="FD43" i="3"/>
  <c r="EG43" i="3"/>
  <c r="EE43" i="3"/>
  <c r="DN43" i="3"/>
  <c r="CK43" i="3"/>
  <c r="BT43" i="3"/>
  <c r="BK43" i="3"/>
  <c r="BH43" i="3"/>
  <c r="AY43" i="3"/>
  <c r="AT43" i="3"/>
  <c r="LO42" i="3"/>
  <c r="LN42" i="3"/>
  <c r="KG42" i="3"/>
  <c r="JX42" i="3"/>
  <c r="JP42" i="3"/>
  <c r="JB42" i="3"/>
  <c r="JA42" i="3"/>
  <c r="IZ42" i="3"/>
  <c r="IY42" i="3"/>
  <c r="IX42" i="3"/>
  <c r="IW42" i="3"/>
  <c r="IV42" i="3"/>
  <c r="IU42" i="3"/>
  <c r="IT42" i="3"/>
  <c r="IS42" i="3"/>
  <c r="IR42" i="3"/>
  <c r="IQ42" i="3"/>
  <c r="IP42" i="3"/>
  <c r="IO42" i="3"/>
  <c r="IN42" i="3"/>
  <c r="IM42" i="3"/>
  <c r="IL42" i="3"/>
  <c r="IK42" i="3"/>
  <c r="IJ42" i="3"/>
  <c r="II42" i="3"/>
  <c r="IH42" i="3"/>
  <c r="IG42" i="3"/>
  <c r="IF42" i="3"/>
  <c r="IE42" i="3"/>
  <c r="ID42" i="3"/>
  <c r="GU42" i="3"/>
  <c r="FZ42" i="3"/>
  <c r="FN42" i="3"/>
  <c r="FD42" i="3"/>
  <c r="EG42" i="3"/>
  <c r="EE42" i="3"/>
  <c r="DN42" i="3"/>
  <c r="CK42" i="3"/>
  <c r="BT42" i="3"/>
  <c r="BK42" i="3"/>
  <c r="BH42" i="3"/>
  <c r="AY42" i="3"/>
  <c r="AT42" i="3"/>
  <c r="LO41" i="3"/>
  <c r="LN41" i="3"/>
  <c r="KG41" i="3"/>
  <c r="JX41" i="3"/>
  <c r="JP41" i="3"/>
  <c r="JB41" i="3"/>
  <c r="JA41" i="3"/>
  <c r="IZ41" i="3"/>
  <c r="IY41" i="3"/>
  <c r="IX41" i="3"/>
  <c r="IW41" i="3"/>
  <c r="IV41" i="3"/>
  <c r="IU41" i="3"/>
  <c r="IT41" i="3"/>
  <c r="IS41" i="3"/>
  <c r="IR41" i="3"/>
  <c r="IQ41" i="3"/>
  <c r="IP41" i="3"/>
  <c r="IO41" i="3"/>
  <c r="IN41" i="3"/>
  <c r="IM41" i="3"/>
  <c r="IL41" i="3"/>
  <c r="IK41" i="3"/>
  <c r="IJ41" i="3"/>
  <c r="II41" i="3"/>
  <c r="IH41" i="3"/>
  <c r="IG41" i="3"/>
  <c r="IF41" i="3"/>
  <c r="IE41" i="3"/>
  <c r="ID41" i="3"/>
  <c r="GU41" i="3"/>
  <c r="FZ41" i="3"/>
  <c r="FN41" i="3"/>
  <c r="FD41" i="3"/>
  <c r="EG41" i="3"/>
  <c r="EE41" i="3"/>
  <c r="DN41" i="3"/>
  <c r="CK41" i="3"/>
  <c r="BT41" i="3"/>
  <c r="BK41" i="3"/>
  <c r="BH41" i="3"/>
  <c r="AY41" i="3"/>
  <c r="AT41" i="3"/>
  <c r="LO40" i="3"/>
  <c r="LN40" i="3"/>
  <c r="KG40" i="3"/>
  <c r="JX40" i="3"/>
  <c r="JP40" i="3"/>
  <c r="JB40" i="3"/>
  <c r="JA40" i="3"/>
  <c r="IZ40" i="3"/>
  <c r="IY40" i="3"/>
  <c r="IX40" i="3"/>
  <c r="IW40" i="3"/>
  <c r="IV40" i="3"/>
  <c r="IU40" i="3"/>
  <c r="IT40" i="3"/>
  <c r="IS40" i="3"/>
  <c r="IR40" i="3"/>
  <c r="IQ40" i="3"/>
  <c r="IP40" i="3"/>
  <c r="IO40" i="3"/>
  <c r="IN40" i="3"/>
  <c r="IM40" i="3"/>
  <c r="IL40" i="3"/>
  <c r="IK40" i="3"/>
  <c r="IJ40" i="3"/>
  <c r="II40" i="3"/>
  <c r="IH40" i="3"/>
  <c r="IG40" i="3"/>
  <c r="IF40" i="3"/>
  <c r="IE40" i="3"/>
  <c r="ID40" i="3"/>
  <c r="GU40" i="3"/>
  <c r="FZ40" i="3"/>
  <c r="FN40" i="3"/>
  <c r="FD40" i="3"/>
  <c r="EG40" i="3"/>
  <c r="EE40" i="3"/>
  <c r="DN40" i="3"/>
  <c r="CK40" i="3"/>
  <c r="BT40" i="3"/>
  <c r="BK40" i="3"/>
  <c r="BH40" i="3"/>
  <c r="AY40" i="3"/>
  <c r="AT40" i="3"/>
  <c r="LO39" i="3"/>
  <c r="LN39" i="3"/>
  <c r="KG39" i="3"/>
  <c r="JX39" i="3"/>
  <c r="JP39" i="3"/>
  <c r="JB39" i="3"/>
  <c r="JA39" i="3"/>
  <c r="IZ39" i="3"/>
  <c r="IY39" i="3"/>
  <c r="IX39" i="3"/>
  <c r="IW39" i="3"/>
  <c r="IV39" i="3"/>
  <c r="IU39" i="3"/>
  <c r="IT39" i="3"/>
  <c r="IS39" i="3"/>
  <c r="IR39" i="3"/>
  <c r="IQ39" i="3"/>
  <c r="IP39" i="3"/>
  <c r="IO39" i="3"/>
  <c r="IN39" i="3"/>
  <c r="IM39" i="3"/>
  <c r="IL39" i="3"/>
  <c r="IK39" i="3"/>
  <c r="IJ39" i="3"/>
  <c r="II39" i="3"/>
  <c r="IH39" i="3"/>
  <c r="IG39" i="3"/>
  <c r="IF39" i="3"/>
  <c r="IE39" i="3"/>
  <c r="ID39" i="3"/>
  <c r="GU39" i="3"/>
  <c r="FZ39" i="3"/>
  <c r="FN39" i="3"/>
  <c r="FD39" i="3"/>
  <c r="EG39" i="3"/>
  <c r="EE39" i="3"/>
  <c r="DN39" i="3"/>
  <c r="CK39" i="3"/>
  <c r="BT39" i="3"/>
  <c r="BK39" i="3"/>
  <c r="BH39" i="3"/>
  <c r="AY39" i="3"/>
  <c r="AT39" i="3"/>
  <c r="LO38" i="3"/>
  <c r="LN38" i="3"/>
  <c r="KG38" i="3"/>
  <c r="JX38" i="3"/>
  <c r="JP38" i="3"/>
  <c r="JB38" i="3"/>
  <c r="JA38" i="3"/>
  <c r="IZ38" i="3"/>
  <c r="IY38" i="3"/>
  <c r="IX38" i="3"/>
  <c r="IW38" i="3"/>
  <c r="IV38" i="3"/>
  <c r="IU38" i="3"/>
  <c r="IT38" i="3"/>
  <c r="IS38" i="3"/>
  <c r="IR38" i="3"/>
  <c r="IQ38" i="3"/>
  <c r="IP38" i="3"/>
  <c r="IO38" i="3"/>
  <c r="IN38" i="3"/>
  <c r="IM38" i="3"/>
  <c r="IL38" i="3"/>
  <c r="IK38" i="3"/>
  <c r="IJ38" i="3"/>
  <c r="II38" i="3"/>
  <c r="IH38" i="3"/>
  <c r="IG38" i="3"/>
  <c r="IF38" i="3"/>
  <c r="IE38" i="3"/>
  <c r="ID38" i="3"/>
  <c r="GU38" i="3"/>
  <c r="FZ38" i="3"/>
  <c r="FN38" i="3"/>
  <c r="FD38" i="3"/>
  <c r="EG38" i="3"/>
  <c r="EE38" i="3"/>
  <c r="DN38" i="3"/>
  <c r="CK38" i="3"/>
  <c r="BT38" i="3"/>
  <c r="BK38" i="3"/>
  <c r="BH38" i="3"/>
  <c r="AY38" i="3"/>
  <c r="AT38" i="3"/>
  <c r="LO37" i="3"/>
  <c r="LN37" i="3"/>
  <c r="KG37" i="3"/>
  <c r="JX37" i="3"/>
  <c r="JP37" i="3"/>
  <c r="JB37" i="3"/>
  <c r="JA37" i="3"/>
  <c r="IZ37" i="3"/>
  <c r="IY37" i="3"/>
  <c r="IX37" i="3"/>
  <c r="IW37" i="3"/>
  <c r="IV37" i="3"/>
  <c r="IU37" i="3"/>
  <c r="IT37" i="3"/>
  <c r="IS37" i="3"/>
  <c r="IR37" i="3"/>
  <c r="IQ37" i="3"/>
  <c r="IP37" i="3"/>
  <c r="IO37" i="3"/>
  <c r="IN37" i="3"/>
  <c r="IM37" i="3"/>
  <c r="IL37" i="3"/>
  <c r="IK37" i="3"/>
  <c r="IJ37" i="3"/>
  <c r="II37" i="3"/>
  <c r="IH37" i="3"/>
  <c r="IG37" i="3"/>
  <c r="IF37" i="3"/>
  <c r="IE37" i="3"/>
  <c r="ID37" i="3"/>
  <c r="GU37" i="3"/>
  <c r="FZ37" i="3"/>
  <c r="FN37" i="3"/>
  <c r="FD37" i="3"/>
  <c r="EG37" i="3"/>
  <c r="EE37" i="3"/>
  <c r="DN37" i="3"/>
  <c r="CK37" i="3"/>
  <c r="BT37" i="3"/>
  <c r="BK37" i="3"/>
  <c r="BH37" i="3"/>
  <c r="AY37" i="3"/>
  <c r="AT37" i="3"/>
  <c r="LO36" i="3"/>
  <c r="LN36" i="3"/>
  <c r="KG36" i="3"/>
  <c r="JX36" i="3"/>
  <c r="JP36" i="3"/>
  <c r="JB36" i="3"/>
  <c r="JA36" i="3"/>
  <c r="IZ36" i="3"/>
  <c r="IY36" i="3"/>
  <c r="IX36" i="3"/>
  <c r="IW36" i="3"/>
  <c r="IV36" i="3"/>
  <c r="IU36" i="3"/>
  <c r="IT36" i="3"/>
  <c r="IS36" i="3"/>
  <c r="IR36" i="3"/>
  <c r="IQ36" i="3"/>
  <c r="IP36" i="3"/>
  <c r="IO36" i="3"/>
  <c r="IN36" i="3"/>
  <c r="IM36" i="3"/>
  <c r="IL36" i="3"/>
  <c r="IK36" i="3"/>
  <c r="IJ36" i="3"/>
  <c r="II36" i="3"/>
  <c r="IH36" i="3"/>
  <c r="IG36" i="3"/>
  <c r="IF36" i="3"/>
  <c r="IE36" i="3"/>
  <c r="ID36" i="3"/>
  <c r="GU36" i="3"/>
  <c r="FZ36" i="3"/>
  <c r="FN36" i="3"/>
  <c r="FD36" i="3"/>
  <c r="EG36" i="3"/>
  <c r="EE36" i="3"/>
  <c r="DN36" i="3"/>
  <c r="CK36" i="3"/>
  <c r="BT36" i="3"/>
  <c r="BK36" i="3"/>
  <c r="BH36" i="3"/>
  <c r="AY36" i="3"/>
  <c r="AT36" i="3"/>
  <c r="LO35" i="3"/>
  <c r="LN35" i="3"/>
  <c r="KG35" i="3"/>
  <c r="JX35" i="3"/>
  <c r="JP35" i="3"/>
  <c r="JB35" i="3"/>
  <c r="JA35" i="3"/>
  <c r="IZ35" i="3"/>
  <c r="IY35" i="3"/>
  <c r="IX35" i="3"/>
  <c r="IW35" i="3"/>
  <c r="IV35" i="3"/>
  <c r="IU35" i="3"/>
  <c r="IT35" i="3"/>
  <c r="IS35" i="3"/>
  <c r="IR35" i="3"/>
  <c r="IQ35" i="3"/>
  <c r="IP35" i="3"/>
  <c r="IO35" i="3"/>
  <c r="IN35" i="3"/>
  <c r="IM35" i="3"/>
  <c r="IL35" i="3"/>
  <c r="IK35" i="3"/>
  <c r="IJ35" i="3"/>
  <c r="II35" i="3"/>
  <c r="IH35" i="3"/>
  <c r="IG35" i="3"/>
  <c r="IF35" i="3"/>
  <c r="IE35" i="3"/>
  <c r="ID35" i="3"/>
  <c r="GU35" i="3"/>
  <c r="FZ35" i="3"/>
  <c r="FN35" i="3"/>
  <c r="FD35" i="3"/>
  <c r="EG35" i="3"/>
  <c r="EE35" i="3"/>
  <c r="DN35" i="3"/>
  <c r="CK35" i="3"/>
  <c r="BT35" i="3"/>
  <c r="BK35" i="3"/>
  <c r="BH35" i="3"/>
  <c r="AY35" i="3"/>
  <c r="AT35" i="3"/>
  <c r="LO34" i="3"/>
  <c r="LN34" i="3"/>
  <c r="KG34" i="3"/>
  <c r="JX34" i="3"/>
  <c r="JP34" i="3"/>
  <c r="JB34" i="3"/>
  <c r="JA34" i="3"/>
  <c r="IZ34" i="3"/>
  <c r="IY34" i="3"/>
  <c r="IX34" i="3"/>
  <c r="IW34" i="3"/>
  <c r="IV34" i="3"/>
  <c r="IU34" i="3"/>
  <c r="IT34" i="3"/>
  <c r="IS34" i="3"/>
  <c r="IR34" i="3"/>
  <c r="IQ34" i="3"/>
  <c r="IP34" i="3"/>
  <c r="IO34" i="3"/>
  <c r="IN34" i="3"/>
  <c r="IM34" i="3"/>
  <c r="IL34" i="3"/>
  <c r="IK34" i="3"/>
  <c r="IJ34" i="3"/>
  <c r="II34" i="3"/>
  <c r="IH34" i="3"/>
  <c r="IG34" i="3"/>
  <c r="IF34" i="3"/>
  <c r="IE34" i="3"/>
  <c r="ID34" i="3"/>
  <c r="GU34" i="3"/>
  <c r="FZ34" i="3"/>
  <c r="FN34" i="3"/>
  <c r="FD34" i="3"/>
  <c r="EG34" i="3"/>
  <c r="EE34" i="3"/>
  <c r="DN34" i="3"/>
  <c r="CK34" i="3"/>
  <c r="BT34" i="3"/>
  <c r="BK34" i="3"/>
  <c r="BH34" i="3"/>
  <c r="AY34" i="3"/>
  <c r="AT34" i="3"/>
  <c r="LO33" i="3"/>
  <c r="LN33" i="3"/>
  <c r="KG33" i="3"/>
  <c r="JX33" i="3"/>
  <c r="JP33" i="3"/>
  <c r="JB33" i="3"/>
  <c r="JA33" i="3"/>
  <c r="IZ33" i="3"/>
  <c r="IY33" i="3"/>
  <c r="IX33" i="3"/>
  <c r="IW33" i="3"/>
  <c r="IV33" i="3"/>
  <c r="IU33" i="3"/>
  <c r="IT33" i="3"/>
  <c r="IS33" i="3"/>
  <c r="IR33" i="3"/>
  <c r="IQ33" i="3"/>
  <c r="IP33" i="3"/>
  <c r="IO33" i="3"/>
  <c r="IN33" i="3"/>
  <c r="IM33" i="3"/>
  <c r="IL33" i="3"/>
  <c r="IK33" i="3"/>
  <c r="IJ33" i="3"/>
  <c r="II33" i="3"/>
  <c r="IH33" i="3"/>
  <c r="IG33" i="3"/>
  <c r="IF33" i="3"/>
  <c r="IE33" i="3"/>
  <c r="ID33" i="3"/>
  <c r="GU33" i="3"/>
  <c r="FZ33" i="3"/>
  <c r="FN33" i="3"/>
  <c r="FD33" i="3"/>
  <c r="EG33" i="3"/>
  <c r="DN33" i="3"/>
  <c r="CK33" i="3"/>
  <c r="BT33" i="3"/>
  <c r="BK33" i="3"/>
  <c r="BH33" i="3"/>
  <c r="AY33" i="3"/>
  <c r="AT33" i="3"/>
  <c r="LO32" i="3"/>
  <c r="LN32" i="3"/>
  <c r="KG32" i="3"/>
  <c r="JX32" i="3"/>
  <c r="JP32" i="3"/>
  <c r="JB32" i="3"/>
  <c r="JA32" i="3"/>
  <c r="IZ32" i="3"/>
  <c r="IY32" i="3"/>
  <c r="IX32" i="3"/>
  <c r="IW32" i="3"/>
  <c r="IV32" i="3"/>
  <c r="IU32" i="3"/>
  <c r="IT32" i="3"/>
  <c r="IS32" i="3"/>
  <c r="IR32" i="3"/>
  <c r="IQ32" i="3"/>
  <c r="IP32" i="3"/>
  <c r="IO32" i="3"/>
  <c r="IN32" i="3"/>
  <c r="IM32" i="3"/>
  <c r="IL32" i="3"/>
  <c r="IK32" i="3"/>
  <c r="IJ32" i="3"/>
  <c r="II32" i="3"/>
  <c r="IH32" i="3"/>
  <c r="IG32" i="3"/>
  <c r="IF32" i="3"/>
  <c r="IE32" i="3"/>
  <c r="ID32" i="3"/>
  <c r="GU32" i="3"/>
  <c r="FZ32" i="3"/>
  <c r="FN32" i="3"/>
  <c r="FD32" i="3"/>
  <c r="EG32" i="3"/>
  <c r="EE32" i="3"/>
  <c r="DN32" i="3"/>
  <c r="CK32" i="3"/>
  <c r="BT32" i="3"/>
  <c r="BK32" i="3"/>
  <c r="BH32" i="3"/>
  <c r="AY32" i="3"/>
  <c r="AT32" i="3"/>
  <c r="LO31" i="3"/>
  <c r="LN31" i="3"/>
  <c r="KG31" i="3"/>
  <c r="JX31" i="3"/>
  <c r="JP31" i="3"/>
  <c r="JB31" i="3"/>
  <c r="JA31" i="3"/>
  <c r="IZ31" i="3"/>
  <c r="IY31" i="3"/>
  <c r="IX31" i="3"/>
  <c r="IW31" i="3"/>
  <c r="IV31" i="3"/>
  <c r="IU31" i="3"/>
  <c r="IT31" i="3"/>
  <c r="IS31" i="3"/>
  <c r="IR31" i="3"/>
  <c r="IQ31" i="3"/>
  <c r="IP31" i="3"/>
  <c r="IO31" i="3"/>
  <c r="IN31" i="3"/>
  <c r="IM31" i="3"/>
  <c r="IL31" i="3"/>
  <c r="IK31" i="3"/>
  <c r="IJ31" i="3"/>
  <c r="II31" i="3"/>
  <c r="IH31" i="3"/>
  <c r="IG31" i="3"/>
  <c r="IF31" i="3"/>
  <c r="IE31" i="3"/>
  <c r="ID31" i="3"/>
  <c r="GU31" i="3"/>
  <c r="FZ31" i="3"/>
  <c r="FN31" i="3"/>
  <c r="FD31" i="3"/>
  <c r="EG31" i="3"/>
  <c r="EE31" i="3"/>
  <c r="DN31" i="3"/>
  <c r="CK31" i="3"/>
  <c r="BT31" i="3"/>
  <c r="BK31" i="3"/>
  <c r="BH31" i="3"/>
  <c r="AY31" i="3"/>
  <c r="AT31" i="3"/>
  <c r="LO30" i="3"/>
  <c r="LN30" i="3"/>
  <c r="KG30" i="3"/>
  <c r="JX30" i="3"/>
  <c r="JP30" i="3"/>
  <c r="JB30" i="3"/>
  <c r="JA30" i="3"/>
  <c r="IZ30" i="3"/>
  <c r="IY30" i="3"/>
  <c r="IX30" i="3"/>
  <c r="IW30" i="3"/>
  <c r="IV30" i="3"/>
  <c r="IU30" i="3"/>
  <c r="IT30" i="3"/>
  <c r="IS30" i="3"/>
  <c r="IR30" i="3"/>
  <c r="IQ30" i="3"/>
  <c r="IP30" i="3"/>
  <c r="IO30" i="3"/>
  <c r="IN30" i="3"/>
  <c r="IM30" i="3"/>
  <c r="IL30" i="3"/>
  <c r="IK30" i="3"/>
  <c r="IJ30" i="3"/>
  <c r="II30" i="3"/>
  <c r="IH30" i="3"/>
  <c r="IG30" i="3"/>
  <c r="IF30" i="3"/>
  <c r="IE30" i="3"/>
  <c r="ID30" i="3"/>
  <c r="GU30" i="3"/>
  <c r="FZ30" i="3"/>
  <c r="FN30" i="3"/>
  <c r="FD30" i="3"/>
  <c r="EG30" i="3"/>
  <c r="EE30" i="3"/>
  <c r="DN30" i="3"/>
  <c r="CK30" i="3"/>
  <c r="BT30" i="3"/>
  <c r="BK30" i="3"/>
  <c r="BH30" i="3"/>
  <c r="AY30" i="3"/>
  <c r="AT30" i="3"/>
  <c r="LO29" i="3"/>
  <c r="LN29" i="3"/>
  <c r="KG29" i="3"/>
  <c r="JX29" i="3"/>
  <c r="JP29" i="3"/>
  <c r="JB29" i="3"/>
  <c r="JA29" i="3"/>
  <c r="IZ29" i="3"/>
  <c r="IY29" i="3"/>
  <c r="IX29" i="3"/>
  <c r="IW29" i="3"/>
  <c r="IV29" i="3"/>
  <c r="IU29" i="3"/>
  <c r="IT29" i="3"/>
  <c r="IS29" i="3"/>
  <c r="IR29" i="3"/>
  <c r="IQ29" i="3"/>
  <c r="IP29" i="3"/>
  <c r="IO29" i="3"/>
  <c r="IN29" i="3"/>
  <c r="IM29" i="3"/>
  <c r="IL29" i="3"/>
  <c r="IK29" i="3"/>
  <c r="IJ29" i="3"/>
  <c r="II29" i="3"/>
  <c r="IH29" i="3"/>
  <c r="IG29" i="3"/>
  <c r="IF29" i="3"/>
  <c r="IE29" i="3"/>
  <c r="ID29" i="3"/>
  <c r="GU29" i="3"/>
  <c r="FZ29" i="3"/>
  <c r="FN29" i="3"/>
  <c r="FD29" i="3"/>
  <c r="EG29" i="3"/>
  <c r="EE29" i="3"/>
  <c r="DN29" i="3"/>
  <c r="CK29" i="3"/>
  <c r="BT29" i="3"/>
  <c r="BK29" i="3"/>
  <c r="BH29" i="3"/>
  <c r="AY29" i="3"/>
  <c r="AT29" i="3"/>
  <c r="LO28" i="3"/>
  <c r="LN28" i="3"/>
  <c r="KG28" i="3"/>
  <c r="JX28" i="3"/>
  <c r="JP28" i="3"/>
  <c r="JB28" i="3"/>
  <c r="JA28" i="3"/>
  <c r="IZ28" i="3"/>
  <c r="IY28" i="3"/>
  <c r="IX28" i="3"/>
  <c r="IW28" i="3"/>
  <c r="IV28" i="3"/>
  <c r="IU28" i="3"/>
  <c r="IT28" i="3"/>
  <c r="IS28" i="3"/>
  <c r="IR28" i="3"/>
  <c r="IQ28" i="3"/>
  <c r="IP28" i="3"/>
  <c r="IO28" i="3"/>
  <c r="IN28" i="3"/>
  <c r="IM28" i="3"/>
  <c r="IL28" i="3"/>
  <c r="IK28" i="3"/>
  <c r="IJ28" i="3"/>
  <c r="II28" i="3"/>
  <c r="IH28" i="3"/>
  <c r="IG28" i="3"/>
  <c r="IF28" i="3"/>
  <c r="IE28" i="3"/>
  <c r="ID28" i="3"/>
  <c r="GU28" i="3"/>
  <c r="FZ28" i="3"/>
  <c r="FN28" i="3"/>
  <c r="FD28" i="3"/>
  <c r="EG28" i="3"/>
  <c r="EE28" i="3"/>
  <c r="DN28" i="3"/>
  <c r="CK28" i="3"/>
  <c r="BT28" i="3"/>
  <c r="BK28" i="3"/>
  <c r="BH28" i="3"/>
  <c r="AY28" i="3"/>
  <c r="AT28" i="3"/>
  <c r="LO27" i="3"/>
  <c r="LN27" i="3"/>
  <c r="KG27" i="3"/>
  <c r="JX27" i="3"/>
  <c r="JP27" i="3"/>
  <c r="JB27" i="3"/>
  <c r="JA27" i="3"/>
  <c r="IZ27" i="3"/>
  <c r="IY27" i="3"/>
  <c r="IX27" i="3"/>
  <c r="IW27" i="3"/>
  <c r="IV27" i="3"/>
  <c r="IU27" i="3"/>
  <c r="IT27" i="3"/>
  <c r="IS27" i="3"/>
  <c r="IR27" i="3"/>
  <c r="IQ27" i="3"/>
  <c r="IP27" i="3"/>
  <c r="IO27" i="3"/>
  <c r="IN27" i="3"/>
  <c r="IM27" i="3"/>
  <c r="IL27" i="3"/>
  <c r="IK27" i="3"/>
  <c r="IJ27" i="3"/>
  <c r="II27" i="3"/>
  <c r="IH27" i="3"/>
  <c r="IG27" i="3"/>
  <c r="IF27" i="3"/>
  <c r="IE27" i="3"/>
  <c r="ID27" i="3"/>
  <c r="GU27" i="3"/>
  <c r="FZ27" i="3"/>
  <c r="FN27" i="3"/>
  <c r="FD27" i="3"/>
  <c r="EG27" i="3"/>
  <c r="EE27" i="3"/>
  <c r="DN27" i="3"/>
  <c r="CK27" i="3"/>
  <c r="BT27" i="3"/>
  <c r="BK27" i="3"/>
  <c r="BH27" i="3"/>
  <c r="AY27" i="3"/>
  <c r="AT27" i="3"/>
  <c r="LO26" i="3"/>
  <c r="LN26" i="3"/>
  <c r="KG26" i="3"/>
  <c r="JX26" i="3"/>
  <c r="JP26" i="3"/>
  <c r="JB26" i="3"/>
  <c r="JA26" i="3"/>
  <c r="IZ26" i="3"/>
  <c r="IY26" i="3"/>
  <c r="IX26" i="3"/>
  <c r="IW26" i="3"/>
  <c r="IV26" i="3"/>
  <c r="IU26" i="3"/>
  <c r="IT26" i="3"/>
  <c r="IS26" i="3"/>
  <c r="IR26" i="3"/>
  <c r="IQ26" i="3"/>
  <c r="IP26" i="3"/>
  <c r="IO26" i="3"/>
  <c r="IN26" i="3"/>
  <c r="IM26" i="3"/>
  <c r="IL26" i="3"/>
  <c r="IK26" i="3"/>
  <c r="IJ26" i="3"/>
  <c r="II26" i="3"/>
  <c r="IH26" i="3"/>
  <c r="IG26" i="3"/>
  <c r="IF26" i="3"/>
  <c r="IE26" i="3"/>
  <c r="ID26" i="3"/>
  <c r="GU26" i="3"/>
  <c r="FZ26" i="3"/>
  <c r="FN26" i="3"/>
  <c r="FD26" i="3"/>
  <c r="EG26" i="3"/>
  <c r="EE26" i="3"/>
  <c r="DN26" i="3"/>
  <c r="CK26" i="3"/>
  <c r="BT26" i="3"/>
  <c r="BK26" i="3"/>
  <c r="BH26" i="3"/>
  <c r="AY26" i="3"/>
  <c r="AT26" i="3"/>
  <c r="LO25" i="3"/>
  <c r="LN25" i="3"/>
  <c r="KG25" i="3"/>
  <c r="JX25" i="3"/>
  <c r="JP25" i="3"/>
  <c r="JB25" i="3"/>
  <c r="JA25" i="3"/>
  <c r="IZ25" i="3"/>
  <c r="IY25" i="3"/>
  <c r="IX25" i="3"/>
  <c r="IW25" i="3"/>
  <c r="IV25" i="3"/>
  <c r="IU25" i="3"/>
  <c r="IT25" i="3"/>
  <c r="IS25" i="3"/>
  <c r="IR25" i="3"/>
  <c r="IQ25" i="3"/>
  <c r="IP25" i="3"/>
  <c r="IO25" i="3"/>
  <c r="IN25" i="3"/>
  <c r="IM25" i="3"/>
  <c r="IL25" i="3"/>
  <c r="IK25" i="3"/>
  <c r="IJ25" i="3"/>
  <c r="II25" i="3"/>
  <c r="IH25" i="3"/>
  <c r="IG25" i="3"/>
  <c r="IF25" i="3"/>
  <c r="IE25" i="3"/>
  <c r="ID25" i="3"/>
  <c r="GU25" i="3"/>
  <c r="FZ25" i="3"/>
  <c r="FN25" i="3"/>
  <c r="FD25" i="3"/>
  <c r="EG25" i="3"/>
  <c r="EE25" i="3"/>
  <c r="DN25" i="3"/>
  <c r="CK25" i="3"/>
  <c r="BT25" i="3"/>
  <c r="BK25" i="3"/>
  <c r="BH25" i="3"/>
  <c r="AY25" i="3"/>
  <c r="AT25" i="3"/>
  <c r="LO24" i="3"/>
  <c r="LN24" i="3"/>
  <c r="KG24" i="3"/>
  <c r="JX24" i="3"/>
  <c r="JP24" i="3"/>
  <c r="JB24" i="3"/>
  <c r="JA24" i="3"/>
  <c r="IZ24" i="3"/>
  <c r="IY24" i="3"/>
  <c r="IX24" i="3"/>
  <c r="IW24" i="3"/>
  <c r="IV24" i="3"/>
  <c r="IU24" i="3"/>
  <c r="IT24" i="3"/>
  <c r="IS24" i="3"/>
  <c r="IR24" i="3"/>
  <c r="IQ24" i="3"/>
  <c r="IP24" i="3"/>
  <c r="IO24" i="3"/>
  <c r="IN24" i="3"/>
  <c r="IM24" i="3"/>
  <c r="IL24" i="3"/>
  <c r="IK24" i="3"/>
  <c r="IJ24" i="3"/>
  <c r="II24" i="3"/>
  <c r="IH24" i="3"/>
  <c r="IG24" i="3"/>
  <c r="IF24" i="3"/>
  <c r="IE24" i="3"/>
  <c r="ID24" i="3"/>
  <c r="GU24" i="3"/>
  <c r="FZ24" i="3"/>
  <c r="FN24" i="3"/>
  <c r="FD24" i="3"/>
  <c r="EG24" i="3"/>
  <c r="EE24" i="3"/>
  <c r="DN24" i="3"/>
  <c r="CK24" i="3"/>
  <c r="BT24" i="3"/>
  <c r="BK24" i="3"/>
  <c r="BH24" i="3"/>
  <c r="AY24" i="3"/>
  <c r="AT24" i="3"/>
  <c r="LO23" i="3"/>
  <c r="LN23" i="3"/>
  <c r="KG23" i="3"/>
  <c r="JX23" i="3"/>
  <c r="JP23" i="3"/>
  <c r="JB23" i="3"/>
  <c r="JA23" i="3"/>
  <c r="IZ23" i="3"/>
  <c r="IY23" i="3"/>
  <c r="IX23" i="3"/>
  <c r="IW23" i="3"/>
  <c r="IV23" i="3"/>
  <c r="IU23" i="3"/>
  <c r="IT23" i="3"/>
  <c r="IS23" i="3"/>
  <c r="IR23" i="3"/>
  <c r="IQ23" i="3"/>
  <c r="IP23" i="3"/>
  <c r="IO23" i="3"/>
  <c r="IN23" i="3"/>
  <c r="IM23" i="3"/>
  <c r="IL23" i="3"/>
  <c r="IK23" i="3"/>
  <c r="IJ23" i="3"/>
  <c r="II23" i="3"/>
  <c r="IH23" i="3"/>
  <c r="IG23" i="3"/>
  <c r="IF23" i="3"/>
  <c r="IE23" i="3"/>
  <c r="ID23" i="3"/>
  <c r="GU23" i="3"/>
  <c r="FZ23" i="3"/>
  <c r="FN23" i="3"/>
  <c r="FD23" i="3"/>
  <c r="EG23" i="3"/>
  <c r="EE23" i="3"/>
  <c r="DN23" i="3"/>
  <c r="CK23" i="3"/>
  <c r="BT23" i="3"/>
  <c r="BK23" i="3"/>
  <c r="BH23" i="3"/>
  <c r="AY23" i="3"/>
  <c r="AT23" i="3"/>
  <c r="LO22" i="3"/>
  <c r="LN22" i="3"/>
  <c r="KG22" i="3"/>
  <c r="JX22" i="3"/>
  <c r="JP22" i="3"/>
  <c r="JB22" i="3"/>
  <c r="JA22" i="3"/>
  <c r="IZ22" i="3"/>
  <c r="IY22" i="3"/>
  <c r="IX22" i="3"/>
  <c r="IW22" i="3"/>
  <c r="IV22" i="3"/>
  <c r="IU22" i="3"/>
  <c r="IT22" i="3"/>
  <c r="IS22" i="3"/>
  <c r="IR22" i="3"/>
  <c r="IQ22" i="3"/>
  <c r="IP22" i="3"/>
  <c r="IO22" i="3"/>
  <c r="IN22" i="3"/>
  <c r="IM22" i="3"/>
  <c r="IL22" i="3"/>
  <c r="IK22" i="3"/>
  <c r="IJ22" i="3"/>
  <c r="II22" i="3"/>
  <c r="IH22" i="3"/>
  <c r="IG22" i="3"/>
  <c r="IF22" i="3"/>
  <c r="IE22" i="3"/>
  <c r="ID22" i="3"/>
  <c r="GU22" i="3"/>
  <c r="FZ22" i="3"/>
  <c r="FN22" i="3"/>
  <c r="FD22" i="3"/>
  <c r="EG22" i="3"/>
  <c r="EE22" i="3"/>
  <c r="DN22" i="3"/>
  <c r="CK22" i="3"/>
  <c r="BT22" i="3"/>
  <c r="BK22" i="3"/>
  <c r="BH22" i="3"/>
  <c r="AY22" i="3"/>
  <c r="AT22" i="3"/>
  <c r="LO21" i="3"/>
  <c r="LN21" i="3"/>
  <c r="KG21" i="3"/>
  <c r="JX21" i="3"/>
  <c r="JP21" i="3"/>
  <c r="JB21" i="3"/>
  <c r="JA21" i="3"/>
  <c r="IZ21" i="3"/>
  <c r="IY21" i="3"/>
  <c r="IX21" i="3"/>
  <c r="IW21" i="3"/>
  <c r="IV21" i="3"/>
  <c r="IU21" i="3"/>
  <c r="IT21" i="3"/>
  <c r="IS21" i="3"/>
  <c r="IR21" i="3"/>
  <c r="IQ21" i="3"/>
  <c r="IP21" i="3"/>
  <c r="IO21" i="3"/>
  <c r="IN21" i="3"/>
  <c r="IM21" i="3"/>
  <c r="IL21" i="3"/>
  <c r="IK21" i="3"/>
  <c r="IJ21" i="3"/>
  <c r="II21" i="3"/>
  <c r="IH21" i="3"/>
  <c r="IG21" i="3"/>
  <c r="IF21" i="3"/>
  <c r="IE21" i="3"/>
  <c r="ID21" i="3"/>
  <c r="GU21" i="3"/>
  <c r="FZ21" i="3"/>
  <c r="FN21" i="3"/>
  <c r="FD21" i="3"/>
  <c r="EG21" i="3"/>
  <c r="EE21" i="3"/>
  <c r="DN21" i="3"/>
  <c r="CK21" i="3"/>
  <c r="BT21" i="3"/>
  <c r="BK21" i="3"/>
  <c r="BH21" i="3"/>
  <c r="AY21" i="3"/>
  <c r="AT21" i="3"/>
  <c r="LO20" i="3"/>
  <c r="LN20" i="3"/>
  <c r="KG20" i="3"/>
  <c r="JX20" i="3"/>
  <c r="JP20" i="3"/>
  <c r="JB20" i="3"/>
  <c r="JA20" i="3"/>
  <c r="IZ20" i="3"/>
  <c r="IY20" i="3"/>
  <c r="IX20" i="3"/>
  <c r="IW20" i="3"/>
  <c r="IV20" i="3"/>
  <c r="IU20" i="3"/>
  <c r="IT20" i="3"/>
  <c r="IS20" i="3"/>
  <c r="IR20" i="3"/>
  <c r="IQ20" i="3"/>
  <c r="IP20" i="3"/>
  <c r="IO20" i="3"/>
  <c r="IN20" i="3"/>
  <c r="IM20" i="3"/>
  <c r="IL20" i="3"/>
  <c r="IK20" i="3"/>
  <c r="IJ20" i="3"/>
  <c r="II20" i="3"/>
  <c r="IH20" i="3"/>
  <c r="IG20" i="3"/>
  <c r="IF20" i="3"/>
  <c r="IE20" i="3"/>
  <c r="ID20" i="3"/>
  <c r="GU20" i="3"/>
  <c r="FZ20" i="3"/>
  <c r="FN20" i="3"/>
  <c r="FD20" i="3"/>
  <c r="EG20" i="3"/>
  <c r="EE20" i="3"/>
  <c r="DN20" i="3"/>
  <c r="CK20" i="3"/>
  <c r="BT20" i="3"/>
  <c r="BK20" i="3"/>
  <c r="BH20" i="3"/>
  <c r="AY20" i="3"/>
  <c r="AT20" i="3"/>
  <c r="LO19" i="3"/>
  <c r="LN19" i="3"/>
  <c r="KG19" i="3"/>
  <c r="JX19" i="3"/>
  <c r="JP19" i="3"/>
  <c r="JB19" i="3"/>
  <c r="JA19" i="3"/>
  <c r="IZ19" i="3"/>
  <c r="IY19" i="3"/>
  <c r="IX19" i="3"/>
  <c r="IW19" i="3"/>
  <c r="IV19" i="3"/>
  <c r="IU19" i="3"/>
  <c r="IT19" i="3"/>
  <c r="IS19" i="3"/>
  <c r="IR19" i="3"/>
  <c r="IQ19" i="3"/>
  <c r="IP19" i="3"/>
  <c r="IO19" i="3"/>
  <c r="IN19" i="3"/>
  <c r="IM19" i="3"/>
  <c r="IL19" i="3"/>
  <c r="IK19" i="3"/>
  <c r="IJ19" i="3"/>
  <c r="II19" i="3"/>
  <c r="IH19" i="3"/>
  <c r="IG19" i="3"/>
  <c r="IF19" i="3"/>
  <c r="IE19" i="3"/>
  <c r="ID19" i="3"/>
  <c r="GU19" i="3"/>
  <c r="FZ19" i="3"/>
  <c r="FN19" i="3"/>
  <c r="FD19" i="3"/>
  <c r="EG19" i="3"/>
  <c r="EE19" i="3"/>
  <c r="DN19" i="3"/>
  <c r="CK19" i="3"/>
  <c r="BT19" i="3"/>
  <c r="BK19" i="3"/>
  <c r="BH19" i="3"/>
  <c r="AY19" i="3"/>
  <c r="AT19" i="3"/>
  <c r="LO18" i="3"/>
  <c r="LN18" i="3"/>
  <c r="KG18" i="3"/>
  <c r="JX18" i="3"/>
  <c r="JP18" i="3"/>
  <c r="JB18" i="3"/>
  <c r="JA18" i="3"/>
  <c r="IZ18" i="3"/>
  <c r="IY18" i="3"/>
  <c r="IX18" i="3"/>
  <c r="IW18" i="3"/>
  <c r="IV18" i="3"/>
  <c r="IU18" i="3"/>
  <c r="IT18" i="3"/>
  <c r="IS18" i="3"/>
  <c r="IR18" i="3"/>
  <c r="IQ18" i="3"/>
  <c r="IP18" i="3"/>
  <c r="IO18" i="3"/>
  <c r="IN18" i="3"/>
  <c r="IM18" i="3"/>
  <c r="IL18" i="3"/>
  <c r="IK18" i="3"/>
  <c r="IJ18" i="3"/>
  <c r="II18" i="3"/>
  <c r="IH18" i="3"/>
  <c r="IG18" i="3"/>
  <c r="IF18" i="3"/>
  <c r="IE18" i="3"/>
  <c r="ID18" i="3"/>
  <c r="GU18" i="3"/>
  <c r="FZ18" i="3"/>
  <c r="FN18" i="3"/>
  <c r="FD18" i="3"/>
  <c r="EG18" i="3"/>
  <c r="EE18" i="3"/>
  <c r="DN18" i="3"/>
  <c r="CK18" i="3"/>
  <c r="BT18" i="3"/>
  <c r="BK18" i="3"/>
  <c r="BH18" i="3"/>
  <c r="AY18" i="3"/>
  <c r="AT18" i="3"/>
  <c r="LO17" i="3"/>
  <c r="LN17" i="3"/>
  <c r="KG17" i="3"/>
  <c r="JX17" i="3"/>
  <c r="JP17" i="3"/>
  <c r="JB17" i="3"/>
  <c r="JA17" i="3"/>
  <c r="IZ17" i="3"/>
  <c r="IY17" i="3"/>
  <c r="IX17" i="3"/>
  <c r="IW17" i="3"/>
  <c r="IV17" i="3"/>
  <c r="IU17" i="3"/>
  <c r="IT17" i="3"/>
  <c r="IS17" i="3"/>
  <c r="IR17" i="3"/>
  <c r="IQ17" i="3"/>
  <c r="IP17" i="3"/>
  <c r="IO17" i="3"/>
  <c r="IN17" i="3"/>
  <c r="IM17" i="3"/>
  <c r="IL17" i="3"/>
  <c r="IK17" i="3"/>
  <c r="IJ17" i="3"/>
  <c r="II17" i="3"/>
  <c r="IH17" i="3"/>
  <c r="IG17" i="3"/>
  <c r="IF17" i="3"/>
  <c r="IE17" i="3"/>
  <c r="ID17" i="3"/>
  <c r="GU17" i="3"/>
  <c r="FZ17" i="3"/>
  <c r="FN17" i="3"/>
  <c r="FD17" i="3"/>
  <c r="EG17" i="3"/>
  <c r="EE17" i="3"/>
  <c r="DN17" i="3"/>
  <c r="CK17" i="3"/>
  <c r="BT17" i="3"/>
  <c r="BK17" i="3"/>
  <c r="BH17" i="3"/>
  <c r="AY17" i="3"/>
  <c r="AT17" i="3"/>
  <c r="LO16" i="3"/>
  <c r="LN16" i="3"/>
  <c r="KG16" i="3"/>
  <c r="JX16" i="3"/>
  <c r="JP16" i="3"/>
  <c r="JB16" i="3"/>
  <c r="JA16" i="3"/>
  <c r="IZ16" i="3"/>
  <c r="IY16" i="3"/>
  <c r="IX16" i="3"/>
  <c r="IW16" i="3"/>
  <c r="IV16" i="3"/>
  <c r="IU16" i="3"/>
  <c r="IT16" i="3"/>
  <c r="IS16" i="3"/>
  <c r="IR16" i="3"/>
  <c r="IQ16" i="3"/>
  <c r="IP16" i="3"/>
  <c r="IO16" i="3"/>
  <c r="IN16" i="3"/>
  <c r="IM16" i="3"/>
  <c r="IL16" i="3"/>
  <c r="IK16" i="3"/>
  <c r="IJ16" i="3"/>
  <c r="II16" i="3"/>
  <c r="IH16" i="3"/>
  <c r="IG16" i="3"/>
  <c r="IF16" i="3"/>
  <c r="IE16" i="3"/>
  <c r="ID16" i="3"/>
  <c r="GU16" i="3"/>
  <c r="FZ16" i="3"/>
  <c r="FN16" i="3"/>
  <c r="FD16" i="3"/>
  <c r="EG16" i="3"/>
  <c r="EE16" i="3"/>
  <c r="DN16" i="3"/>
  <c r="CK16" i="3"/>
  <c r="BT16" i="3"/>
  <c r="BK16" i="3"/>
  <c r="BH16" i="3"/>
  <c r="AY16" i="3"/>
  <c r="AT16" i="3"/>
  <c r="LO15" i="3"/>
  <c r="LN15" i="3"/>
  <c r="KG15" i="3"/>
  <c r="JX15" i="3"/>
  <c r="JP15" i="3"/>
  <c r="JB15" i="3"/>
  <c r="JA15" i="3"/>
  <c r="IZ15" i="3"/>
  <c r="IY15" i="3"/>
  <c r="IX15" i="3"/>
  <c r="IW15" i="3"/>
  <c r="IV15" i="3"/>
  <c r="IU15" i="3"/>
  <c r="IT15" i="3"/>
  <c r="IS15" i="3"/>
  <c r="IR15" i="3"/>
  <c r="IQ15" i="3"/>
  <c r="IP15" i="3"/>
  <c r="IO15" i="3"/>
  <c r="IN15" i="3"/>
  <c r="IM15" i="3"/>
  <c r="IL15" i="3"/>
  <c r="IK15" i="3"/>
  <c r="IJ15" i="3"/>
  <c r="II15" i="3"/>
  <c r="IH15" i="3"/>
  <c r="IG15" i="3"/>
  <c r="IF15" i="3"/>
  <c r="IE15" i="3"/>
  <c r="ID15" i="3"/>
  <c r="GU15" i="3"/>
  <c r="FZ15" i="3"/>
  <c r="FN15" i="3"/>
  <c r="FD15" i="3"/>
  <c r="EG15" i="3"/>
  <c r="EE15" i="3"/>
  <c r="DN15" i="3"/>
  <c r="CK15" i="3"/>
  <c r="BT15" i="3"/>
  <c r="BK15" i="3"/>
  <c r="BH15" i="3"/>
  <c r="AY15" i="3"/>
  <c r="AT15" i="3"/>
  <c r="LO14" i="3"/>
  <c r="LN14" i="3"/>
  <c r="KG14" i="3"/>
  <c r="JX14" i="3"/>
  <c r="JP14" i="3"/>
  <c r="JB14" i="3"/>
  <c r="JA14" i="3"/>
  <c r="IZ14" i="3"/>
  <c r="IY14" i="3"/>
  <c r="IX14" i="3"/>
  <c r="IW14" i="3"/>
  <c r="IV14" i="3"/>
  <c r="IU14" i="3"/>
  <c r="IT14" i="3"/>
  <c r="IS14" i="3"/>
  <c r="IR14" i="3"/>
  <c r="IQ14" i="3"/>
  <c r="IP14" i="3"/>
  <c r="IO14" i="3"/>
  <c r="IN14" i="3"/>
  <c r="IM14" i="3"/>
  <c r="IL14" i="3"/>
  <c r="IK14" i="3"/>
  <c r="IJ14" i="3"/>
  <c r="II14" i="3"/>
  <c r="IH14" i="3"/>
  <c r="IG14" i="3"/>
  <c r="IF14" i="3"/>
  <c r="IE14" i="3"/>
  <c r="ID14" i="3"/>
  <c r="GU14" i="3"/>
  <c r="FZ14" i="3"/>
  <c r="FN14" i="3"/>
  <c r="FD14" i="3"/>
  <c r="EG14" i="3"/>
  <c r="EE14" i="3"/>
  <c r="DN14" i="3"/>
  <c r="CK14" i="3"/>
  <c r="BT14" i="3"/>
  <c r="BK14" i="3"/>
  <c r="BH14" i="3"/>
  <c r="AY14" i="3"/>
  <c r="AT14" i="3"/>
  <c r="LO13" i="3"/>
  <c r="LN13" i="3"/>
  <c r="KG13" i="3"/>
  <c r="JX13" i="3"/>
  <c r="JP13" i="3"/>
  <c r="JB13" i="3"/>
  <c r="JA13" i="3"/>
  <c r="IZ13" i="3"/>
  <c r="IY13" i="3"/>
  <c r="IX13" i="3"/>
  <c r="IW13" i="3"/>
  <c r="IV13" i="3"/>
  <c r="IU13" i="3"/>
  <c r="IT13" i="3"/>
  <c r="IS13" i="3"/>
  <c r="IR13" i="3"/>
  <c r="IQ13" i="3"/>
  <c r="IP13" i="3"/>
  <c r="IO13" i="3"/>
  <c r="IN13" i="3"/>
  <c r="IM13" i="3"/>
  <c r="IL13" i="3"/>
  <c r="IK13" i="3"/>
  <c r="IJ13" i="3"/>
  <c r="II13" i="3"/>
  <c r="IH13" i="3"/>
  <c r="IG13" i="3"/>
  <c r="IF13" i="3"/>
  <c r="IE13" i="3"/>
  <c r="ID13" i="3"/>
  <c r="GU13" i="3"/>
  <c r="FZ13" i="3"/>
  <c r="FN13" i="3"/>
  <c r="FD13" i="3"/>
  <c r="EG13" i="3"/>
  <c r="EE13" i="3"/>
  <c r="DN13" i="3"/>
  <c r="CK13" i="3"/>
  <c r="BT13" i="3"/>
  <c r="BK13" i="3"/>
  <c r="BH13" i="3"/>
  <c r="AY13" i="3"/>
  <c r="AT13" i="3"/>
  <c r="LO12" i="3"/>
  <c r="LN12" i="3"/>
  <c r="KG12" i="3"/>
  <c r="JX12" i="3"/>
  <c r="JP12" i="3"/>
  <c r="JB12" i="3"/>
  <c r="JA12" i="3"/>
  <c r="IZ12" i="3"/>
  <c r="IY12" i="3"/>
  <c r="IX12" i="3"/>
  <c r="IW12" i="3"/>
  <c r="IV12" i="3"/>
  <c r="IU12" i="3"/>
  <c r="IT12" i="3"/>
  <c r="IS12" i="3"/>
  <c r="IR12" i="3"/>
  <c r="IQ12" i="3"/>
  <c r="IP12" i="3"/>
  <c r="IO12" i="3"/>
  <c r="IN12" i="3"/>
  <c r="IM12" i="3"/>
  <c r="IL12" i="3"/>
  <c r="IK12" i="3"/>
  <c r="IJ12" i="3"/>
  <c r="II12" i="3"/>
  <c r="IH12" i="3"/>
  <c r="IG12" i="3"/>
  <c r="IF12" i="3"/>
  <c r="IE12" i="3"/>
  <c r="ID12" i="3"/>
  <c r="GU12" i="3"/>
  <c r="FZ12" i="3"/>
  <c r="FN12" i="3"/>
  <c r="FD12" i="3"/>
  <c r="EG12" i="3"/>
  <c r="EE12" i="3"/>
  <c r="DN12" i="3"/>
  <c r="CK12" i="3"/>
  <c r="BT12" i="3"/>
  <c r="BK12" i="3"/>
  <c r="BH12" i="3"/>
  <c r="AY12" i="3"/>
  <c r="AT12" i="3"/>
  <c r="LO11" i="3"/>
  <c r="LN11" i="3"/>
  <c r="KG11" i="3"/>
  <c r="JX11" i="3"/>
  <c r="JP11" i="3"/>
  <c r="JB11" i="3"/>
  <c r="JA11" i="3"/>
  <c r="IZ11" i="3"/>
  <c r="IY11" i="3"/>
  <c r="IX11" i="3"/>
  <c r="IW11" i="3"/>
  <c r="IV11" i="3"/>
  <c r="IU11" i="3"/>
  <c r="IT11" i="3"/>
  <c r="IS11" i="3"/>
  <c r="IR11" i="3"/>
  <c r="IQ11" i="3"/>
  <c r="IP11" i="3"/>
  <c r="IO11" i="3"/>
  <c r="IN11" i="3"/>
  <c r="IM11" i="3"/>
  <c r="IL11" i="3"/>
  <c r="IK11" i="3"/>
  <c r="IJ11" i="3"/>
  <c r="II11" i="3"/>
  <c r="IH11" i="3"/>
  <c r="IG11" i="3"/>
  <c r="IF11" i="3"/>
  <c r="IE11" i="3"/>
  <c r="ID11" i="3"/>
  <c r="GU11" i="3"/>
  <c r="FZ11" i="3"/>
  <c r="FN11" i="3"/>
  <c r="FD11" i="3"/>
  <c r="EG11" i="3"/>
  <c r="EE11" i="3"/>
  <c r="DN11" i="3"/>
  <c r="CK11" i="3"/>
  <c r="BT11" i="3"/>
  <c r="BK11" i="3"/>
  <c r="BH11" i="3"/>
  <c r="AY11" i="3"/>
  <c r="AT11" i="3"/>
  <c r="LO10" i="3"/>
  <c r="LN10" i="3"/>
  <c r="KG10" i="3"/>
  <c r="JX10" i="3"/>
  <c r="JP10" i="3"/>
  <c r="JB10" i="3"/>
  <c r="JA10" i="3"/>
  <c r="IZ10" i="3"/>
  <c r="IY10" i="3"/>
  <c r="IX10" i="3"/>
  <c r="IW10" i="3"/>
  <c r="IV10" i="3"/>
  <c r="IU10" i="3"/>
  <c r="IT10" i="3"/>
  <c r="IS10" i="3"/>
  <c r="IR10" i="3"/>
  <c r="IQ10" i="3"/>
  <c r="IP10" i="3"/>
  <c r="IO10" i="3"/>
  <c r="IN10" i="3"/>
  <c r="IM10" i="3"/>
  <c r="IL10" i="3"/>
  <c r="IK10" i="3"/>
  <c r="IJ10" i="3"/>
  <c r="II10" i="3"/>
  <c r="IH10" i="3"/>
  <c r="IG10" i="3"/>
  <c r="IF10" i="3"/>
  <c r="IE10" i="3"/>
  <c r="ID10" i="3"/>
  <c r="GU10" i="3"/>
  <c r="FZ10" i="3"/>
  <c r="FN10" i="3"/>
  <c r="FD10" i="3"/>
  <c r="EG10" i="3"/>
  <c r="EE10" i="3"/>
  <c r="DN10" i="3"/>
  <c r="CK10" i="3"/>
  <c r="BT10" i="3"/>
  <c r="BK10" i="3"/>
  <c r="BH10" i="3"/>
  <c r="AY10" i="3"/>
  <c r="AT10" i="3"/>
  <c r="LO9" i="3"/>
  <c r="LN9" i="3"/>
  <c r="KG9" i="3"/>
  <c r="JX9" i="3"/>
  <c r="JP9" i="3"/>
  <c r="JB9" i="3"/>
  <c r="JA9" i="3"/>
  <c r="IZ9" i="3"/>
  <c r="IY9" i="3"/>
  <c r="IX9" i="3"/>
  <c r="IW9" i="3"/>
  <c r="IV9" i="3"/>
  <c r="IU9" i="3"/>
  <c r="IT9" i="3"/>
  <c r="IS9" i="3"/>
  <c r="IR9" i="3"/>
  <c r="IQ9" i="3"/>
  <c r="IP9" i="3"/>
  <c r="IO9" i="3"/>
  <c r="IN9" i="3"/>
  <c r="IM9" i="3"/>
  <c r="IL9" i="3"/>
  <c r="IK9" i="3"/>
  <c r="IJ9" i="3"/>
  <c r="II9" i="3"/>
  <c r="IH9" i="3"/>
  <c r="IG9" i="3"/>
  <c r="IF9" i="3"/>
  <c r="IE9" i="3"/>
  <c r="ID9" i="3"/>
  <c r="GU9" i="3"/>
  <c r="FZ9" i="3"/>
  <c r="FN9" i="3"/>
  <c r="FD9" i="3"/>
  <c r="EG9" i="3"/>
  <c r="EE9" i="3"/>
  <c r="DN9" i="3"/>
  <c r="CK9" i="3"/>
  <c r="BT9" i="3"/>
  <c r="BK9" i="3"/>
  <c r="BH9" i="3"/>
  <c r="AY9" i="3"/>
  <c r="AT9" i="3"/>
  <c r="LO8" i="3"/>
  <c r="LN8" i="3"/>
  <c r="KG8" i="3"/>
  <c r="JX8" i="3"/>
  <c r="JP8" i="3"/>
  <c r="JB8" i="3"/>
  <c r="JA8" i="3"/>
  <c r="IZ8" i="3"/>
  <c r="IY8" i="3"/>
  <c r="IX8" i="3"/>
  <c r="IW8" i="3"/>
  <c r="IV8" i="3"/>
  <c r="IU8" i="3"/>
  <c r="IT8" i="3"/>
  <c r="IS8" i="3"/>
  <c r="IR8" i="3"/>
  <c r="IQ8" i="3"/>
  <c r="IP8" i="3"/>
  <c r="IO8" i="3"/>
  <c r="IN8" i="3"/>
  <c r="IM8" i="3"/>
  <c r="IL8" i="3"/>
  <c r="IK8" i="3"/>
  <c r="IJ8" i="3"/>
  <c r="II8" i="3"/>
  <c r="IH8" i="3"/>
  <c r="IG8" i="3"/>
  <c r="IF8" i="3"/>
  <c r="IE8" i="3"/>
  <c r="ID8" i="3"/>
  <c r="GU8" i="3"/>
  <c r="FZ8" i="3"/>
  <c r="FN8" i="3"/>
  <c r="FD8" i="3"/>
  <c r="EG8" i="3"/>
  <c r="EE8" i="3"/>
  <c r="DN8" i="3"/>
  <c r="CK8" i="3"/>
  <c r="BT8" i="3"/>
  <c r="BK8" i="3"/>
  <c r="BH8" i="3"/>
  <c r="AY8" i="3"/>
  <c r="AT8" i="3"/>
  <c r="LO7" i="3"/>
  <c r="LN7" i="3"/>
  <c r="KG7" i="3"/>
  <c r="JX7" i="3"/>
  <c r="JP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GU7" i="3"/>
  <c r="FZ7" i="3"/>
  <c r="FN7" i="3"/>
  <c r="FD7" i="3"/>
  <c r="EG7" i="3"/>
  <c r="EE7" i="3"/>
  <c r="DN7" i="3"/>
  <c r="CK7" i="3"/>
  <c r="BT7" i="3"/>
  <c r="BK7" i="3"/>
  <c r="BH7" i="3"/>
  <c r="AY7" i="3"/>
  <c r="AT7" i="3"/>
  <c r="LO6" i="3"/>
  <c r="LN6" i="3"/>
  <c r="KG6" i="3"/>
  <c r="JX6" i="3"/>
  <c r="JP6" i="3"/>
  <c r="JB6" i="3"/>
  <c r="JA6" i="3"/>
  <c r="IZ6" i="3"/>
  <c r="IY6" i="3"/>
  <c r="IX6" i="3"/>
  <c r="IW6" i="3"/>
  <c r="IV6" i="3"/>
  <c r="IU6" i="3"/>
  <c r="IT6" i="3"/>
  <c r="IS6" i="3"/>
  <c r="IR6" i="3"/>
  <c r="IQ6" i="3"/>
  <c r="IP6" i="3"/>
  <c r="IO6" i="3"/>
  <c r="IN6" i="3"/>
  <c r="IM6" i="3"/>
  <c r="IL6" i="3"/>
  <c r="IK6" i="3"/>
  <c r="IJ6" i="3"/>
  <c r="II6" i="3"/>
  <c r="IH6" i="3"/>
  <c r="IG6" i="3"/>
  <c r="IF6" i="3"/>
  <c r="IE6" i="3"/>
  <c r="ID6" i="3"/>
  <c r="GU6" i="3"/>
  <c r="FZ6" i="3"/>
  <c r="FN6" i="3"/>
  <c r="FD6" i="3"/>
  <c r="EG6" i="3"/>
  <c r="EE6" i="3"/>
  <c r="DN6" i="3"/>
  <c r="CK6" i="3"/>
  <c r="BT6" i="3"/>
  <c r="BK6" i="3"/>
  <c r="BH6" i="3"/>
  <c r="AY6" i="3"/>
  <c r="AT6" i="3"/>
  <c r="LO5" i="3"/>
  <c r="LN5" i="3"/>
  <c r="KG5" i="3"/>
  <c r="JX5" i="3"/>
  <c r="JP5" i="3"/>
  <c r="JY5" i="3" s="1"/>
  <c r="JB5" i="3"/>
  <c r="JA5" i="3"/>
  <c r="IZ5" i="3"/>
  <c r="IY5" i="3"/>
  <c r="IX5" i="3"/>
  <c r="IW5" i="3"/>
  <c r="IV5" i="3"/>
  <c r="IU5" i="3"/>
  <c r="IT5" i="3"/>
  <c r="IS5" i="3"/>
  <c r="IR5" i="3"/>
  <c r="IQ5" i="3"/>
  <c r="IP5" i="3"/>
  <c r="IO5" i="3"/>
  <c r="IN5" i="3"/>
  <c r="IM5" i="3"/>
  <c r="IL5" i="3"/>
  <c r="IK5" i="3"/>
  <c r="IJ5" i="3"/>
  <c r="II5" i="3"/>
  <c r="IH5" i="3"/>
  <c r="IG5" i="3"/>
  <c r="IF5" i="3"/>
  <c r="IE5" i="3"/>
  <c r="ID5" i="3"/>
  <c r="GU5" i="3"/>
  <c r="FZ5" i="3"/>
  <c r="FN5" i="3"/>
  <c r="FD5" i="3"/>
  <c r="EG5" i="3"/>
  <c r="EE5" i="3"/>
  <c r="DN5" i="3"/>
  <c r="CK5" i="3"/>
  <c r="BT5" i="3"/>
  <c r="BK5" i="3"/>
  <c r="BH5" i="3"/>
  <c r="AY5" i="3"/>
  <c r="AT5" i="3"/>
  <c r="LO4" i="3"/>
  <c r="LN4" i="3"/>
  <c r="KG4" i="3"/>
  <c r="JX4" i="3"/>
  <c r="JP4" i="3"/>
  <c r="JB4" i="3"/>
  <c r="JA4" i="3"/>
  <c r="IZ4" i="3"/>
  <c r="IY4" i="3"/>
  <c r="IX4" i="3"/>
  <c r="IW4" i="3"/>
  <c r="IV4" i="3"/>
  <c r="IU4" i="3"/>
  <c r="IT4" i="3"/>
  <c r="IS4" i="3"/>
  <c r="IR4" i="3"/>
  <c r="IQ4" i="3"/>
  <c r="IP4" i="3"/>
  <c r="IO4" i="3"/>
  <c r="IN4" i="3"/>
  <c r="IM4" i="3"/>
  <c r="IL4" i="3"/>
  <c r="IK4" i="3"/>
  <c r="IJ4" i="3"/>
  <c r="II4" i="3"/>
  <c r="IH4" i="3"/>
  <c r="IG4" i="3"/>
  <c r="IF4" i="3"/>
  <c r="IE4" i="3"/>
  <c r="ID4" i="3"/>
  <c r="GU4" i="3"/>
  <c r="FZ4" i="3"/>
  <c r="FN4" i="3"/>
  <c r="FD4" i="3"/>
  <c r="EG4" i="3"/>
  <c r="EE4" i="3"/>
  <c r="DN4" i="3"/>
  <c r="CK4" i="3"/>
  <c r="BT4" i="3"/>
  <c r="BK4" i="3"/>
  <c r="BH4" i="3"/>
  <c r="AY4" i="3"/>
  <c r="AT4" i="3"/>
  <c r="LO3" i="3"/>
  <c r="LN3" i="3"/>
  <c r="KG3" i="3"/>
  <c r="JX3" i="3"/>
  <c r="JP3" i="3"/>
  <c r="JB3" i="3"/>
  <c r="JA3" i="3"/>
  <c r="IZ3" i="3"/>
  <c r="IY3" i="3"/>
  <c r="IX3" i="3"/>
  <c r="IW3" i="3"/>
  <c r="IV3" i="3"/>
  <c r="IU3" i="3"/>
  <c r="IT3" i="3"/>
  <c r="IS3" i="3"/>
  <c r="IR3" i="3"/>
  <c r="IQ3" i="3"/>
  <c r="IP3" i="3"/>
  <c r="IO3" i="3"/>
  <c r="IN3" i="3"/>
  <c r="IM3" i="3"/>
  <c r="IL3" i="3"/>
  <c r="IK3" i="3"/>
  <c r="IJ3" i="3"/>
  <c r="II3" i="3"/>
  <c r="IH3" i="3"/>
  <c r="IG3" i="3"/>
  <c r="IF3" i="3"/>
  <c r="IE3" i="3"/>
  <c r="ID3" i="3"/>
  <c r="GU3" i="3"/>
  <c r="FZ3" i="3"/>
  <c r="FN3" i="3"/>
  <c r="FD3" i="3"/>
  <c r="EG3" i="3"/>
  <c r="DN3" i="3"/>
  <c r="CK3" i="3"/>
  <c r="BT3" i="3"/>
  <c r="BK3" i="3"/>
  <c r="BH3" i="3"/>
  <c r="AY3" i="3"/>
  <c r="AT3" i="3"/>
  <c r="LO2" i="3"/>
  <c r="LN2" i="3"/>
  <c r="KG2" i="3"/>
  <c r="JX2" i="3"/>
  <c r="JP2" i="3"/>
  <c r="JB2" i="3"/>
  <c r="JA2" i="3"/>
  <c r="IZ2" i="3"/>
  <c r="IY2" i="3"/>
  <c r="IX2" i="3"/>
  <c r="IW2" i="3"/>
  <c r="IV2" i="3"/>
  <c r="IU2" i="3"/>
  <c r="IT2" i="3"/>
  <c r="IS2" i="3"/>
  <c r="IR2" i="3"/>
  <c r="IQ2" i="3"/>
  <c r="IP2" i="3"/>
  <c r="IO2" i="3"/>
  <c r="IN2" i="3"/>
  <c r="IM2" i="3"/>
  <c r="IL2" i="3"/>
  <c r="IK2" i="3"/>
  <c r="IJ2" i="3"/>
  <c r="II2" i="3"/>
  <c r="IH2" i="3"/>
  <c r="IG2" i="3"/>
  <c r="IF2" i="3"/>
  <c r="IE2" i="3"/>
  <c r="ID2" i="3"/>
  <c r="GU2" i="3"/>
  <c r="FZ2" i="3"/>
  <c r="FN2" i="3"/>
  <c r="FD2" i="3"/>
  <c r="EG2" i="3"/>
  <c r="EE2" i="3"/>
  <c r="DN2" i="3"/>
  <c r="CK2" i="3"/>
  <c r="BT2" i="3"/>
  <c r="BK2" i="3"/>
  <c r="BH2" i="3"/>
  <c r="AY2" i="3"/>
  <c r="AT2" i="3"/>
  <c r="JY22" i="3" l="1"/>
  <c r="JY33" i="3"/>
  <c r="JY37" i="3"/>
  <c r="JY13" i="3"/>
  <c r="LP13" i="3" s="1"/>
  <c r="JY61" i="3"/>
  <c r="LP61" i="3" s="1"/>
  <c r="JC63" i="3"/>
  <c r="LP64" i="3"/>
  <c r="JY39" i="3"/>
  <c r="LP39" i="3" s="1"/>
  <c r="JY50" i="3"/>
  <c r="JY60" i="3"/>
  <c r="LP60" i="3" s="1"/>
  <c r="JY21" i="3"/>
  <c r="LP21" i="3" s="1"/>
  <c r="JY7" i="3"/>
  <c r="LP7" i="3" s="1"/>
  <c r="JY11" i="3"/>
  <c r="LP11" i="3" s="1"/>
  <c r="JY16" i="3"/>
  <c r="JC19" i="3"/>
  <c r="JY19" i="3"/>
  <c r="LP19" i="3" s="1"/>
  <c r="JC22" i="3"/>
  <c r="JY23" i="3"/>
  <c r="JY34" i="3"/>
  <c r="LP34" i="3" s="1"/>
  <c r="LP33" i="3"/>
  <c r="JY55" i="3"/>
  <c r="LP55" i="3" s="1"/>
  <c r="JY14" i="3"/>
  <c r="LP14" i="3" s="1"/>
  <c r="BU15" i="3"/>
  <c r="JY29" i="3"/>
  <c r="LP29" i="3" s="1"/>
  <c r="JC40" i="3"/>
  <c r="JY41" i="3"/>
  <c r="LP41" i="3" s="1"/>
  <c r="BU44" i="3"/>
  <c r="JC44" i="3"/>
  <c r="JY48" i="3"/>
  <c r="LP48" i="3" s="1"/>
  <c r="JY49" i="3"/>
  <c r="LP49" i="3" s="1"/>
  <c r="JC57" i="3"/>
  <c r="JY57" i="3"/>
  <c r="LP57" i="3" s="1"/>
  <c r="JY51" i="3"/>
  <c r="LP51" i="3" s="1"/>
  <c r="JY4" i="3"/>
  <c r="LP4" i="3" s="1"/>
  <c r="JY24" i="3"/>
  <c r="LP24" i="3" s="1"/>
  <c r="JY28" i="3"/>
  <c r="LP28" i="3" s="1"/>
  <c r="JY32" i="3"/>
  <c r="JC39" i="3"/>
  <c r="JY52" i="3"/>
  <c r="LP52" i="3" s="1"/>
  <c r="JC25" i="3"/>
  <c r="JY25" i="3"/>
  <c r="LP25" i="3" s="1"/>
  <c r="JY26" i="3"/>
  <c r="LP26" i="3" s="1"/>
  <c r="BU27" i="3"/>
  <c r="JY38" i="3"/>
  <c r="LP38" i="3" s="1"/>
  <c r="JC46" i="3"/>
  <c r="JY46" i="3"/>
  <c r="LP46" i="3" s="1"/>
  <c r="JC48" i="3"/>
  <c r="BU49" i="3"/>
  <c r="JY12" i="3"/>
  <c r="LP12" i="3" s="1"/>
  <c r="BU43" i="3"/>
  <c r="JY45" i="3"/>
  <c r="LP45" i="3" s="1"/>
  <c r="BU61" i="3"/>
  <c r="JY3" i="3"/>
  <c r="LP3" i="3" s="1"/>
  <c r="JC6" i="3"/>
  <c r="JC7" i="3"/>
  <c r="JC10" i="3"/>
  <c r="BU13" i="3"/>
  <c r="LP16" i="3"/>
  <c r="BU25" i="3"/>
  <c r="JC37" i="3"/>
  <c r="BU38" i="3"/>
  <c r="BU59" i="3"/>
  <c r="JY63" i="3"/>
  <c r="LP63" i="3" s="1"/>
  <c r="BU2" i="3"/>
  <c r="JY2" i="3"/>
  <c r="LP2" i="3" s="1"/>
  <c r="JY6" i="3"/>
  <c r="LP6" i="3" s="1"/>
  <c r="JY10" i="3"/>
  <c r="LP10" i="3" s="1"/>
  <c r="JY18" i="3"/>
  <c r="LP22" i="3"/>
  <c r="JY27" i="3"/>
  <c r="LP27" i="3" s="1"/>
  <c r="JC32" i="3"/>
  <c r="LP32" i="3"/>
  <c r="BU35" i="3"/>
  <c r="BU36" i="3"/>
  <c r="JY44" i="3"/>
  <c r="LP44" i="3" s="1"/>
  <c r="JC50" i="3"/>
  <c r="JC51" i="3"/>
  <c r="BU55" i="3"/>
  <c r="JC55" i="3"/>
  <c r="JY56" i="3"/>
  <c r="LP56" i="3" s="1"/>
  <c r="JY65" i="3"/>
  <c r="LP65" i="3" s="1"/>
  <c r="JY20" i="3"/>
  <c r="LP20" i="3" s="1"/>
  <c r="BU22" i="3"/>
  <c r="BU23" i="3"/>
  <c r="JC24" i="3"/>
  <c r="JC27" i="3"/>
  <c r="JY30" i="3"/>
  <c r="LP30" i="3" s="1"/>
  <c r="BU32" i="3"/>
  <c r="BU33" i="3"/>
  <c r="JC34" i="3"/>
  <c r="JY35" i="3"/>
  <c r="LP35" i="3" s="1"/>
  <c r="JC36" i="3"/>
  <c r="JY36" i="3"/>
  <c r="LP36" i="3" s="1"/>
  <c r="JY43" i="3"/>
  <c r="LP43" i="3" s="1"/>
  <c r="BU45" i="3"/>
  <c r="BU46" i="3"/>
  <c r="JC47" i="3"/>
  <c r="JC49" i="3"/>
  <c r="BU51" i="3"/>
  <c r="BU52" i="3"/>
  <c r="JY54" i="3"/>
  <c r="LP54" i="3" s="1"/>
  <c r="BU56" i="3"/>
  <c r="BU57" i="3"/>
  <c r="JC58" i="3"/>
  <c r="JC61" i="3"/>
  <c r="BU62" i="3"/>
  <c r="JY62" i="3"/>
  <c r="LP62" i="3" s="1"/>
  <c r="BU63" i="3"/>
  <c r="JC11" i="3"/>
  <c r="BU14" i="3"/>
  <c r="JY15" i="3"/>
  <c r="LP15" i="3" s="1"/>
  <c r="BU16" i="3"/>
  <c r="BU17" i="3"/>
  <c r="JC18" i="3"/>
  <c r="BU31" i="3"/>
  <c r="BU37" i="3"/>
  <c r="LP37" i="3"/>
  <c r="BU39" i="3"/>
  <c r="BU40" i="3"/>
  <c r="JC41" i="3"/>
  <c r="JC42" i="3"/>
  <c r="JY42" i="3"/>
  <c r="LP42" i="3" s="1"/>
  <c r="JC45" i="3"/>
  <c r="LP47" i="3"/>
  <c r="BU48" i="3"/>
  <c r="BU50" i="3"/>
  <c r="LP50" i="3"/>
  <c r="JC52" i="3"/>
  <c r="JC53" i="3"/>
  <c r="JY53" i="3"/>
  <c r="LP53" i="3" s="1"/>
  <c r="JC56" i="3"/>
  <c r="JY58" i="3"/>
  <c r="LP58" i="3" s="1"/>
  <c r="JC59" i="3"/>
  <c r="JY59" i="3"/>
  <c r="LP59" i="3" s="1"/>
  <c r="JC64" i="3"/>
  <c r="BU4" i="3"/>
  <c r="BU5" i="3"/>
  <c r="BU8" i="3"/>
  <c r="BU9" i="3"/>
  <c r="BU3" i="3"/>
  <c r="JC3" i="3"/>
  <c r="JC4" i="3"/>
  <c r="LP5" i="3"/>
  <c r="BU6" i="3"/>
  <c r="BU7" i="3"/>
  <c r="JC17" i="3"/>
  <c r="BU20" i="3"/>
  <c r="JC23" i="3"/>
  <c r="LP23" i="3"/>
  <c r="BU28" i="3"/>
  <c r="BU54" i="3"/>
  <c r="BU60" i="3"/>
  <c r="JC65" i="3"/>
  <c r="JC13" i="3"/>
  <c r="JC2" i="3"/>
  <c r="JC5" i="3"/>
  <c r="JC9" i="3"/>
  <c r="JC8" i="3"/>
  <c r="BU12" i="3"/>
  <c r="JC14" i="3"/>
  <c r="LP18" i="3"/>
  <c r="BU21" i="3"/>
  <c r="JC21" i="3"/>
  <c r="BU26" i="3"/>
  <c r="BU29" i="3"/>
  <c r="BU30" i="3"/>
  <c r="BU34" i="3"/>
  <c r="JY8" i="3"/>
  <c r="LP8" i="3" s="1"/>
  <c r="JY9" i="3"/>
  <c r="LP9" i="3" s="1"/>
  <c r="BU10" i="3"/>
  <c r="BU11" i="3"/>
  <c r="JC12" i="3"/>
  <c r="JC15" i="3"/>
  <c r="JC16" i="3"/>
  <c r="JY17" i="3"/>
  <c r="LP17" i="3" s="1"/>
  <c r="BU18" i="3"/>
  <c r="BU19" i="3"/>
  <c r="JC20" i="3"/>
  <c r="BU24" i="3"/>
  <c r="JC26" i="3"/>
  <c r="JC28" i="3"/>
  <c r="JC29" i="3"/>
  <c r="JC30" i="3"/>
  <c r="JC31" i="3"/>
  <c r="JY31" i="3"/>
  <c r="LP31" i="3" s="1"/>
  <c r="JC33" i="3"/>
  <c r="JC35" i="3"/>
  <c r="JC38" i="3"/>
  <c r="JY40" i="3"/>
  <c r="LP40" i="3" s="1"/>
  <c r="BU41" i="3"/>
  <c r="BU42" i="3"/>
  <c r="JC43" i="3"/>
  <c r="BU47" i="3"/>
  <c r="BU53" i="3"/>
  <c r="JC54" i="3"/>
  <c r="BU58" i="3"/>
  <c r="JC60" i="3"/>
  <c r="JC62" i="3"/>
  <c r="BU64" i="3"/>
  <c r="BU65" i="3"/>
</calcChain>
</file>

<file path=xl/sharedStrings.xml><?xml version="1.0" encoding="utf-8"?>
<sst xmlns="http://schemas.openxmlformats.org/spreadsheetml/2006/main" count="2497" uniqueCount="1042">
  <si>
    <t>Nombres y Apellidos</t>
  </si>
  <si>
    <t>1-CORTE +12 anios estudios:&gt;=88 sanos(1);&lt;88 deterioro cognitivo(2)</t>
  </si>
  <si>
    <t>Edad</t>
  </si>
  <si>
    <t>Género</t>
  </si>
  <si>
    <t>Estado civil</t>
  </si>
  <si>
    <t>Años de estudio</t>
  </si>
  <si>
    <t>Lateralidad</t>
  </si>
  <si>
    <t>Profesión/Oficio</t>
  </si>
  <si>
    <t>Déficit sensorial</t>
  </si>
  <si>
    <t>ITEM1-PRE-SG ¿Con qué frecuencia realizas ejercicio físico?(1-2-3-4-5(1nada-5mucho)</t>
  </si>
  <si>
    <t>ITEM2-PRE-SG ¿Con qué frecuencia realizas alguna actividad para ejercitar tu cerebro?(1-2-3-4-5(1nada-5mucho)</t>
  </si>
  <si>
    <t>ITEM3-PRE-SG ¿Estás interesado/a en las nuevas tecnologías? (1-2-3-4-5(1nada-5mucho)</t>
  </si>
  <si>
    <t>ITEM4-PRE-SG ¿Con qué frecuencia juegas con videojuegos? (1-2-3-4-5(1nada-5mucho)</t>
  </si>
  <si>
    <t>ITEM5-PRE-SG ¿Cuál es tu motivación para jugar a videojuegos? (1-2-3-4-5(1nada-5mucho)</t>
  </si>
  <si>
    <t>ITEM6-PRE-SG ¿Sueles pasar mucho tiempo solo/a? (1-2-3-4-5(1nada-5mucho tiempo en soledad)</t>
  </si>
  <si>
    <t>ITEM7-PRE-SG ¿Sueles realizar actividades sociales con amigos, familiares, pareja…?(1-2-3-4-5(1nada-5mucho</t>
  </si>
  <si>
    <t>8. ¿Con qué frecuencia utilizas el móvil?</t>
  </si>
  <si>
    <t>9. ¿Con qué frecuencia utilizas ordenadores o tablets?</t>
  </si>
  <si>
    <t>10.¿Consideras que tienes un buen manejo de la tecnología?</t>
  </si>
  <si>
    <t>11. ¿Qué nivel de ansiedad/malestar te produce utilizar las nuevas tecnologías?</t>
  </si>
  <si>
    <t>ITEM12-PRE-SG ¿Cómo de útil consideras que puede ser el uso de las nuevas tecnologías para evaluar la salud cognitiva?</t>
  </si>
  <si>
    <t>ITEM13-PRE-SG ¿Cómo de útil consideras que puede ser el uso de videojuegos para evaluar la salud cognitiva?</t>
  </si>
  <si>
    <t>14.¿Estás interesado/a en la memoria y su evaluación?</t>
  </si>
  <si>
    <t>ITEM15-PRE-SG ¿Crees que una persona mayor podría tener un buen manejo de las nuevas tecnologías?</t>
  </si>
  <si>
    <t>RESULTADO FINAL PRE</t>
  </si>
  <si>
    <t>ITEM1A-POST-SEG           Preguntas POST   1.A ¿Cómo te has sentido durante la prueba? (1: nada relajado,.... 5: muy relajado)</t>
  </si>
  <si>
    <t>ITEM1B-POST-SEG        Preguntas POST   1. B ¿Cómo te has sentido durante la prueba? (1: aburrido...... 5: muy aburrido)</t>
  </si>
  <si>
    <t>2. ¿Cómo evaluarías tu experiencia con los juegos y el dispositivo? (Nada postitiva: 1- muy positiva:5)</t>
  </si>
  <si>
    <t>3. ¿Cómo evaluarías tu experiencia con las pruebas de papel y lápiz?(1: nada positivo/5: muy positivo)</t>
  </si>
  <si>
    <t>4.A¿Qué tipo de prueba prefieres? ¿Con el dispositivo o las de papel y lápiz? (lapiz puntuacion 1 y dispositivos 2)</t>
  </si>
  <si>
    <t>4.B¿Qué tipo de prueba prefieres? ¿Con el dispositivo o las de papel y lápiz? CALF1-5.</t>
  </si>
  <si>
    <t>ITEM5-POST-SG ¿Te atreverías a tener este dispositivo en casa, y realizar las pruebas por tu cuenta? CONTESTA SÍ O NO. (SI 1, NO 2)</t>
  </si>
  <si>
    <t>ITEM6-POST-SG ¿Cómo de útil consideras que puede ser el uso de videojuegos para evaluar la salud cognitiva? (3 util 2 no util) calif:1-5.</t>
  </si>
  <si>
    <t>ITEM7-POST-SG ¿Cómo de útil consideras que puede ser el uso de las nuevas tecnologías para evaluar la salud cognitiva?</t>
  </si>
  <si>
    <t>ITEM8-POST-SG  ¿Consideras que es una prueba fácil? (3  util -todos)calif:1-5.</t>
  </si>
  <si>
    <t>ITEM9-POST-SG ¿Consideras que es una prueba útil?(PREGUNTA 7).</t>
  </si>
  <si>
    <t>ITEM10-POST-SG ¿Utilizarías los juegos con el fin de entretenimiento y diversión?. CONTESTA SÍ:1 O NO:0. (PREGUNTA 7).</t>
  </si>
  <si>
    <t>ITEM11-POST-SG ¿Te gustaría utilizar esta herramienta con más frecuencia? CONTESTA SÍ:1 O NO:0. (respuesta Comandos  basicos).</t>
  </si>
  <si>
    <t>12.¿Qué prueba te ha parecido más fácil? ¿La de colores:1/animales:2/vehículos:3 o la de dígitos:4, fiestas:5? (COLORES).</t>
  </si>
  <si>
    <t>13.¿Qué prueba te ha parecido más interesante? ¿La de colores:1/animales:2/vehículos:3 o la de dígitos:4, fiestas:5? (COLORES).</t>
  </si>
  <si>
    <t>ITEM14-POST-SG ¿Te has sentido seguro/a durante la prueba? (PREGUNTA7)</t>
  </si>
  <si>
    <t>15.¿Consideras que es una forma ecológica de evaluación? Es decir, es una prueba más natural y podría parecer que no es para evaluar</t>
  </si>
  <si>
    <t>ITEM16-POST-SG La apariencia de los juegos, ¿Te ha parecido atractiva? (PREGUNTA 7).</t>
  </si>
  <si>
    <t>ITEM17-POST-SG ¿Has entendido las instrucciones de Alexa en todo momento? (PREGUNTA7).</t>
  </si>
  <si>
    <t>18.¿Crees que Alexa ha dicho el nombre de los ítems (colores, animales, vehículos y números) a una velocidad adecuada?</t>
  </si>
  <si>
    <t>ITEM19-POST-SG ¿Te ha parecido una prueba intuitiva?</t>
  </si>
  <si>
    <t>ITEM20.¿Has visualizado las imágenes y escuchado los ítems (¿La de colores:1/animales:2/vehículos:3 o la de dígitos:4, fiestas:5?) correctamente en todo momento?</t>
  </si>
  <si>
    <t>ITEM21-POST-SG ¿Crees que una persona mayor podría utilizar esta herramienta? (PREGUNTA 7)</t>
  </si>
  <si>
    <t>ITEM22-POST-SG ¿Crees que utilizar este dispositivo es una buena forma de evaluar la memoria?</t>
  </si>
  <si>
    <t>23.A la hora de responder, ¿prefieres dar la respuesta por voz o de forma táctil en la pantalla? (3. voz, 2 tactil, 1 las dos).</t>
  </si>
  <si>
    <t>24.¿Crees que los juegos deberían tener un componente de desafío?</t>
  </si>
  <si>
    <t>25.A¿Añadirías algún cambio a los juegos? En caso afirmativo, ¿cuál? (Respuestas comando basico 0 ,1 y 2=NO ,3 si).</t>
  </si>
  <si>
    <t>25.B¿Añadirías algún cambio a los juegos? En caso afirmativo, ¿cuál? (mejora de tiempo:1, hable mas fuerte: 2, mas grande la imganes:3).</t>
  </si>
  <si>
    <t>RESULTADO FINAL POST</t>
  </si>
  <si>
    <t>Acentuación de palabras
30/30</t>
  </si>
  <si>
    <t>EDG 1 (ESCALA GERATRICA)</t>
  </si>
  <si>
    <t>EDG 2</t>
  </si>
  <si>
    <t>EDG 3</t>
  </si>
  <si>
    <t>EDG  4</t>
  </si>
  <si>
    <t>EDG 5</t>
  </si>
  <si>
    <t>EDG 6</t>
  </si>
  <si>
    <t>EDG 7</t>
  </si>
  <si>
    <t>EDG 8</t>
  </si>
  <si>
    <t>EDG 9</t>
  </si>
  <si>
    <t>EDG 10</t>
  </si>
  <si>
    <t>EDG 11</t>
  </si>
  <si>
    <t>EDG 12</t>
  </si>
  <si>
    <t>EDG 13</t>
  </si>
  <si>
    <t>EDG 14</t>
  </si>
  <si>
    <t>EDG 15</t>
  </si>
  <si>
    <t xml:space="preserve">Total Escala de Depresión Geriátrica
</t>
  </si>
  <si>
    <t>EDG-ESTADO (SI=apto,NO=no apto</t>
  </si>
  <si>
    <t>Valoración: 0-5: Normal
5-10: Depresión moderada
+ 10: Depresión severa</t>
  </si>
  <si>
    <t>EDBIRCE</t>
  </si>
  <si>
    <t>EDBIOC</t>
  </si>
  <si>
    <t>EDBIOCF</t>
  </si>
  <si>
    <t>EDBIVE</t>
  </si>
  <si>
    <t>EDBIRHR</t>
  </si>
  <si>
    <t>EDBTRP</t>
  </si>
  <si>
    <t>Cambios al comer
Limpiamente con los cubiertos =0
Desaliñadamente solo con cuchara=1
Solo come sólidos simples=2
Ha de ser alimentado = 3</t>
  </si>
  <si>
    <t xml:space="preserve">Cambios al vestir
Se viste sin ayuda = 0
Fallos ocasionales=1
Errores y otvidos frecuentes en la secuencia de vestirse=2
Incapaz de vestirse=3
</t>
  </si>
  <si>
    <t>Control de esfinteres
Normal=0
Incontinencia urinaria ocasional=1
Incontinencia urinaria frecuente=2
Doble incontinencia=3</t>
  </si>
  <si>
    <t>Retraimiento creciente
Si=1,No=0</t>
  </si>
  <si>
    <t>Egocentrismo aumentado
Si=1,No=0</t>
  </si>
  <si>
    <t>Pérdida de interés por los sentimientos de otros
Si=1,No=0</t>
  </si>
  <si>
    <t>Afectividad embotada.
Si=1,No=0</t>
  </si>
  <si>
    <t>Perturbación de control emocional
Si=1,No=0</t>
  </si>
  <si>
    <t>Hilaridad inapropiada
Si=1,No=0</t>
  </si>
  <si>
    <t>Respuesta emocional disminuida
Si=1,No=0</t>
  </si>
  <si>
    <t>Indiscrecciones sexuales faparición reciente)
Si=1,No=0</t>
  </si>
  <si>
    <t>Falta de interés en aficiones habituales.
Si=1,No=0</t>
  </si>
  <si>
    <t>Disminución de la iniciativa o apatía progresiva
Si=1,No=0</t>
  </si>
  <si>
    <t>PUNTUACION TOTAL:Esacala de blessed</t>
  </si>
  <si>
    <t>Sanos&lt;=4 es 1; Deterioro&gt;4 es 2</t>
  </si>
  <si>
    <t>Lawton_Brody-A.Capacidad para usar el teléfono
U1=1,M2=1,C3=,N4=0</t>
  </si>
  <si>
    <t>Lawton_Brody-B.Ir de compras
R1=1,C=0,N3=0,C4=0</t>
  </si>
  <si>
    <t>Lawton_Brody-C. Preparación de la comida 
P1=1,P2=0,C3=0,N4=0</t>
  </si>
  <si>
    <t>Lawton_Brody-D. Cuidar la casa 
C1=1,R2=1,R3=1,N4=1,N5=0</t>
  </si>
  <si>
    <t>Lawton_Brody-E. Lavado de ropa 
R1=1,L2=1,N3=0</t>
  </si>
  <si>
    <t>Lawton_Brody-F. Medio de transporte 
V1=1,C2=1,V3=1,S4=0,N5=0</t>
  </si>
  <si>
    <t>Lawton_Brody-G. Responsabilidad sobre la medicación 
E1=1,T2=0,N3=0</t>
  </si>
  <si>
    <t>Lawton_Brody-H. Capacidad de utilizar el dinero 
M1=1,MA2=1,I3=0</t>
  </si>
  <si>
    <t>Máxima dependencia: 0 puntos
Independencia total: 8 puntos</t>
  </si>
  <si>
    <t>8 puntos: independencia total – CÓDIGO 1 - 6-7 puntos: dependencia leve – CODIGO 2 - 4-5 puntos: dependencia moderada – CÓDIGO 3 - 2-3 puntos: dependencia grave – CÓDIGO 4 - 0-1 puntos: dependencia total – CÓDIGO 5</t>
  </si>
  <si>
    <t>I. BARTHEL-Comer: I=10
N=5
D=0</t>
  </si>
  <si>
    <t>I. BARTHEL-Lavarse: I=5
D=0</t>
  </si>
  <si>
    <t>I. BARTHEL--Vestirse: I=10
N=5
D=0</t>
  </si>
  <si>
    <t>INDICE BARTHEL-Arreglarse: I=5
D:0</t>
  </si>
  <si>
    <t>INDICE BARTHEL-Deposiciones (valórese la
semana previa)
CN=10
OEL=5
Incontinecia: 0</t>
  </si>
  <si>
    <t>Micción (valórese la semana
previa)
CN=10
UIAS=5
I=0</t>
  </si>
  <si>
    <t>Usar el retrete
I=10
N=5
D=0</t>
  </si>
  <si>
    <t>Trasladarse
I=15
M=10,N=5,D=0</t>
  </si>
  <si>
    <t>Deambular
I=15,N=10,IS=5,D=0</t>
  </si>
  <si>
    <t>Escalones
I=10,N=5,D=0</t>
  </si>
  <si>
    <t>Máxima puntuación: 100 puntos (90 si va en silla de ruedas)
&lt;20 Total
20-35 Grave
40-55 Moderado
≥60 Leve
100 Independiente</t>
  </si>
  <si>
    <t>GRADO DE DEPENDENCIA BARTHEL (&gt;=60 ES 2 LEVE; 100 ES 1 INDEPENDIENTE)</t>
  </si>
  <si>
    <t xml:space="preserve">CRITERIOS CDR </t>
  </si>
  <si>
    <t>ORIENTACIÓN 
Sa=0,Cu= 0,5,Le=1, Mo=2,Se=3</t>
  </si>
  <si>
    <t>JUCIO Y SOLUCION DE PROBLEMAS
Sa=0,Cu= 0,5,Le=1, Mo=2,Se=3</t>
  </si>
  <si>
    <t>TRABAJO EN LA COMUNIDAD 
Sa=0,Cu= 0,5,Le=1, Mo=2,Se=3</t>
  </si>
  <si>
    <t>CASA Y HOBBIES
Sa=0,Cu= 0,5,Le=1, Mo=2,Se=3</t>
  </si>
  <si>
    <t>CUIDADO PERSONAL 
Sa=0,Cu= 0,5,Le=1, Mo=2,Se=3</t>
  </si>
  <si>
    <t>Delirios
Severidad 0-1-2-3
Estres en el cuidador 0-1-2-3-4-5</t>
  </si>
  <si>
    <t>Alucinaciones
Severidad 0-1-2-3
Estres en el cuidador 0-1-2-3-4-5</t>
  </si>
  <si>
    <t>Agitación
Severidad 0-1-2-3
Estres en el cuidador 0-1-2-3-4-5</t>
  </si>
  <si>
    <t>Depresión/disforia 
Severidad 0-1-2-3
Estres en el cuidador 0-1-2-3-4-5</t>
  </si>
  <si>
    <t>Ansiedad 
Severidad 0-1-2-3
Estres en el cuidador 0-1-2-3-4-5</t>
  </si>
  <si>
    <t>Euforia/júbilo 
Severidad 0-1-2-3
Estres en el cuidador 0-1-2-3-4-5</t>
  </si>
  <si>
    <t>Apatia/indiferencia
Severidad 0-1-2-3
Estres en el cuidador 0-1-2-3-4-5</t>
  </si>
  <si>
    <t>Desinhibición 
Severidad 0-1-2-3
Estres en el cuidador 0-1-2-3-4-5</t>
  </si>
  <si>
    <t>Irritabilidad/labilidad 
Severidad 0-1-2-3
Estres en el cuidador 0-1-2-3-4-5</t>
  </si>
  <si>
    <t>Conducta motora sin
finalidad
Severidad 0-1-2-3
Estres en el cuidador 0-1-2-3-4-5</t>
  </si>
  <si>
    <t>Trast. de conducta en
relación al sueño
Severidad 0-1-2-3
Estres en el cuidador 0-1-2-3-4-5</t>
  </si>
  <si>
    <t>Comida y Apetito
Severidad 0-1-2-3
Estres en el cuidador 0-1-2-3-4-5</t>
  </si>
  <si>
    <t>Puntuación total Trastornos neuropsiquiátricos</t>
  </si>
  <si>
    <t>SIGNIFICADO_VALORES_SEVERIDAD</t>
  </si>
  <si>
    <t>SIGNIFICADO_ESTRES DEL CUIDADO</t>
  </si>
  <si>
    <t>ACTIVA (SI=  tiene problemas cognitivo,NO= no  tiene problemas cognitivo)</t>
  </si>
  <si>
    <t>OT/R</t>
  </si>
  <si>
    <t>OE/R</t>
  </si>
  <si>
    <t>AR/PEL-BAN(RES)</t>
  </si>
  <si>
    <t>AC/PEL-BAN(ENS)</t>
  </si>
  <si>
    <t>2.AC/R</t>
  </si>
  <si>
    <t>AC/ODNUM</t>
  </si>
  <si>
    <t>VALOR ALTO DE (AC/R-AC/ODNUM)</t>
  </si>
  <si>
    <t>AC2/PUN</t>
  </si>
  <si>
    <t>1.M/PEL-BAN,AR(R)</t>
  </si>
  <si>
    <t>2.M/E</t>
  </si>
  <si>
    <t>2.M/E-Repeticion</t>
  </si>
  <si>
    <t>VALOR ALTO (M/E-M/E-Repeticion)</t>
  </si>
  <si>
    <t>3.M/RET</t>
  </si>
  <si>
    <t>1.F/L(R)</t>
  </si>
  <si>
    <t>2.F/C®</t>
  </si>
  <si>
    <t>1.L/C-A(R)</t>
  </si>
  <si>
    <t>2.L/C-B(R)</t>
  </si>
  <si>
    <t>3.L/E(R)</t>
  </si>
  <si>
    <t>4.L/R-PS(R)</t>
  </si>
  <si>
    <t>5.L/R(F1)</t>
  </si>
  <si>
    <t>5.L/R(F2)</t>
  </si>
  <si>
    <t xml:space="preserve">6.DenominaciónL/D(REL,LAP) 2 imagen </t>
  </si>
  <si>
    <t>6.2 L/C(R)</t>
  </si>
  <si>
    <t>7.L/LI</t>
  </si>
  <si>
    <t>1. HV/PS</t>
  </si>
  <si>
    <t>2. HV/C</t>
  </si>
  <si>
    <t>3. HV/R</t>
  </si>
  <si>
    <t>4. HV/CP</t>
  </si>
  <si>
    <t>5. HV/IL</t>
  </si>
  <si>
    <t>MD/RD</t>
  </si>
  <si>
    <t>R/SINO REC</t>
  </si>
  <si>
    <t>ORIENTACIÓN_TEMPORAL_ACER</t>
  </si>
  <si>
    <t>ORIENTACION_ESPACIAL_ACE-R</t>
  </si>
  <si>
    <t>ATENCIÓN_P1_ACE-R</t>
  </si>
  <si>
    <t>ATENCIÓN_P1_NUM_ENSAYOS_ACE-R</t>
  </si>
  <si>
    <t>ATENCIÓN_P2_ACE-R</t>
  </si>
  <si>
    <t>MEMORIA_P1_ACE-R</t>
  </si>
  <si>
    <t>MEMORIA_P2_ACE-R</t>
  </si>
  <si>
    <t>MEMORIA_P3_ACE-R</t>
  </si>
  <si>
    <t>FLUIDEZ_P1_ACE-R</t>
  </si>
  <si>
    <t>FLUIDEZ_P2_ACE-R</t>
  </si>
  <si>
    <t>LENGUAJE_P1_ACE-R</t>
  </si>
  <si>
    <t>LENGUAJE_P2_ACE-R</t>
  </si>
  <si>
    <t>LENGUAJE_P3_ACE-R</t>
  </si>
  <si>
    <t>LENGUAJE_P4_ACE-R</t>
  </si>
  <si>
    <t>LENGUAJE_P5_ACE-R</t>
  </si>
  <si>
    <t>LENGUAJE_P6.1_ACE-R</t>
  </si>
  <si>
    <t>LENGUAJE_P6.2_ACE-R</t>
  </si>
  <si>
    <t>LENGUAJE_P7_ACE-R</t>
  </si>
  <si>
    <t>HAB. VISIO_P1_ACE-R</t>
  </si>
  <si>
    <t>HAB. VISIO_P2_ACE-R</t>
  </si>
  <si>
    <t>HAB. VISIO_P3_ACE-R</t>
  </si>
  <si>
    <t>HAB. VISIO_P4_ACE-R</t>
  </si>
  <si>
    <t>HAB. VISIO_P5_ACE-R</t>
  </si>
  <si>
    <t>MEMORIA RETROACTIVA_ACE-R</t>
  </si>
  <si>
    <t>MMSE</t>
  </si>
  <si>
    <t>TOTAL ACE-R</t>
  </si>
  <si>
    <t>2-CORTE -=12 anios estudios:&gt;=68 sanos(1);&lt;68 deterioro cognitivo(2)</t>
  </si>
  <si>
    <t>Clave de numeros de Elementos</t>
  </si>
  <si>
    <t>Tiempo CLN</t>
  </si>
  <si>
    <t>DIRECTO 1</t>
  </si>
  <si>
    <t>DIRECTO 2</t>
  </si>
  <si>
    <t>DIRECTO 3</t>
  </si>
  <si>
    <t>DIRECTO 4</t>
  </si>
  <si>
    <t>DIRECTO 5</t>
  </si>
  <si>
    <t>DIRECTO 6</t>
  </si>
  <si>
    <t>DIRECTO 7</t>
  </si>
  <si>
    <t>DIRECTO 8</t>
  </si>
  <si>
    <t>RESULTADO DIRECTO FINAL</t>
  </si>
  <si>
    <t xml:space="preserve">INVERSO 1 </t>
  </si>
  <si>
    <t>INVERSO 2</t>
  </si>
  <si>
    <t>INVERSO 3</t>
  </si>
  <si>
    <t>INVERSO 4</t>
  </si>
  <si>
    <t>INVERSO 5</t>
  </si>
  <si>
    <t>INVERSO 6</t>
  </si>
  <si>
    <t>INVERSO 7</t>
  </si>
  <si>
    <t>RESULTADO INVERSO FINAL</t>
  </si>
  <si>
    <t>RESULTADO FINAL DIRECTO-INVERSO</t>
  </si>
  <si>
    <t>LETRAS Y NÚMEROS 1</t>
  </si>
  <si>
    <t>LETRAS Y NÚMEROS 2</t>
  </si>
  <si>
    <t>LETRAS Y NÚMEROS 3</t>
  </si>
  <si>
    <t>LETRAS Y NÚMEROS 4</t>
  </si>
  <si>
    <t>LETRAS Y NÚMEROS 5</t>
  </si>
  <si>
    <t>LETRAS Y NÚMEROS 6</t>
  </si>
  <si>
    <t>LETRAS Y NÚMEROS 7</t>
  </si>
  <si>
    <t>RESULTADO FINAL LETRAS Y NUMEROS</t>
  </si>
  <si>
    <t>1_20T</t>
  </si>
  <si>
    <t>1_20E</t>
  </si>
  <si>
    <t>1_20P</t>
  </si>
  <si>
    <t>1_20BT</t>
  </si>
  <si>
    <t>ABC_T</t>
  </si>
  <si>
    <t>ABC_E</t>
  </si>
  <si>
    <t>ABC_P</t>
  </si>
  <si>
    <t>ABC_BT</t>
  </si>
  <si>
    <t>DIAS_T</t>
  </si>
  <si>
    <t>DIAS_E</t>
  </si>
  <si>
    <t>DIAS_P</t>
  </si>
  <si>
    <t>DIAS_BT</t>
  </si>
  <si>
    <t>MESES_T</t>
  </si>
  <si>
    <t>MESES_E</t>
  </si>
  <si>
    <t>MESES_P</t>
  </si>
  <si>
    <t>MESES_BT</t>
  </si>
  <si>
    <t>20_1_T</t>
  </si>
  <si>
    <t>20_1_E</t>
  </si>
  <si>
    <t>20_1_P</t>
  </si>
  <si>
    <t>20_1_BT</t>
  </si>
  <si>
    <t>DIAS_INV_T</t>
  </si>
  <si>
    <t>DIAS_INV_E</t>
  </si>
  <si>
    <t>DIAS_INV_P</t>
  </si>
  <si>
    <t>DIAS_INV_BT</t>
  </si>
  <si>
    <t>MESES_INV_T</t>
  </si>
  <si>
    <t>MESES_INV_E</t>
  </si>
  <si>
    <t>MESES_INV_P</t>
  </si>
  <si>
    <t>MESES_INV_BT</t>
  </si>
  <si>
    <t>DIAS_ALT_T</t>
  </si>
  <si>
    <t>DIAS_ALT_E</t>
  </si>
  <si>
    <t>DIAS_ALT_P</t>
  </si>
  <si>
    <t>DIAS_ALT_BT</t>
  </si>
  <si>
    <t>TOTAL_P_CONT_MENTAL</t>
  </si>
  <si>
    <t>PUNT_SUMAD_BONIFICA_CONTROL_M</t>
  </si>
  <si>
    <t>TOTAL WAIS</t>
  </si>
  <si>
    <t>Femenino</t>
  </si>
  <si>
    <t>Soltero/a</t>
  </si>
  <si>
    <t>Primario(8 años)</t>
  </si>
  <si>
    <t>Diestro</t>
  </si>
  <si>
    <t>Costura/Jubilada</t>
  </si>
  <si>
    <t>Visual</t>
  </si>
  <si>
    <t>SI</t>
  </si>
  <si>
    <t>Leve</t>
  </si>
  <si>
    <t>NO</t>
  </si>
  <si>
    <t>13.33</t>
  </si>
  <si>
    <t>11.24</t>
  </si>
  <si>
    <t>03.36</t>
  </si>
  <si>
    <t>07.31</t>
  </si>
  <si>
    <t>11.63</t>
  </si>
  <si>
    <t>06.58</t>
  </si>
  <si>
    <t>11.59</t>
  </si>
  <si>
    <t>34.69</t>
  </si>
  <si>
    <t>Divorciado/a</t>
  </si>
  <si>
    <t>Superiores(+12 años)</t>
  </si>
  <si>
    <t>jubilada-laboratorio de anoatomia solca</t>
  </si>
  <si>
    <t>Ninguno</t>
  </si>
  <si>
    <t>14.18</t>
  </si>
  <si>
    <t>4.91</t>
  </si>
  <si>
    <t>5.74</t>
  </si>
  <si>
    <t>8.13</t>
  </si>
  <si>
    <t>8.83</t>
  </si>
  <si>
    <t>19.14</t>
  </si>
  <si>
    <t>26.69</t>
  </si>
  <si>
    <t>Viudo/a</t>
  </si>
  <si>
    <t>Básicos (6 años)</t>
  </si>
  <si>
    <t>Ama de casa</t>
  </si>
  <si>
    <t>11.50</t>
  </si>
  <si>
    <t>16.00</t>
  </si>
  <si>
    <t>6.08</t>
  </si>
  <si>
    <t>7.24</t>
  </si>
  <si>
    <t>16.02</t>
  </si>
  <si>
    <t>8.34</t>
  </si>
  <si>
    <t>1.06</t>
  </si>
  <si>
    <t>17.32</t>
  </si>
  <si>
    <t>Casado/a</t>
  </si>
  <si>
    <t>Modista</t>
  </si>
  <si>
    <t>Auditivo</t>
  </si>
  <si>
    <t>No hay sintomas</t>
  </si>
  <si>
    <t>09.43</t>
  </si>
  <si>
    <t>06.98</t>
  </si>
  <si>
    <t>03.83</t>
  </si>
  <si>
    <t>07.18</t>
  </si>
  <si>
    <t>19.56</t>
  </si>
  <si>
    <t>08.59</t>
  </si>
  <si>
    <t>33.01</t>
  </si>
  <si>
    <t>53.09</t>
  </si>
  <si>
    <t>Masculino</t>
  </si>
  <si>
    <t>Medios(9-12 años)</t>
  </si>
  <si>
    <t>Jubilado</t>
  </si>
  <si>
    <t>12.42</t>
  </si>
  <si>
    <t>12.49</t>
  </si>
  <si>
    <t>05.00</t>
  </si>
  <si>
    <t>09.16</t>
  </si>
  <si>
    <t>14.14</t>
  </si>
  <si>
    <t>1.26.81</t>
  </si>
  <si>
    <t>07.00</t>
  </si>
  <si>
    <t>04.00</t>
  </si>
  <si>
    <t>11.00</t>
  </si>
  <si>
    <t>12.00</t>
  </si>
  <si>
    <t>Jubilada</t>
  </si>
  <si>
    <t>Moderado</t>
  </si>
  <si>
    <t>30.00</t>
  </si>
  <si>
    <t>15.00</t>
  </si>
  <si>
    <t>10.00</t>
  </si>
  <si>
    <t>60.00</t>
  </si>
  <si>
    <t>1.20.00</t>
  </si>
  <si>
    <t>08.00</t>
  </si>
  <si>
    <t>09.00</t>
  </si>
  <si>
    <t>03.00</t>
  </si>
  <si>
    <t>06.00</t>
  </si>
  <si>
    <t>17.00</t>
  </si>
  <si>
    <t>21.00</t>
  </si>
  <si>
    <t>Jubilada/Chef</t>
  </si>
  <si>
    <t>6.52</t>
  </si>
  <si>
    <t>7.66</t>
  </si>
  <si>
    <t>2.45</t>
  </si>
  <si>
    <t>4.43</t>
  </si>
  <si>
    <t>7.86</t>
  </si>
  <si>
    <t>9.47</t>
  </si>
  <si>
    <t>12.66</t>
  </si>
  <si>
    <t>10.15</t>
  </si>
  <si>
    <t>Auxiliar de enfermería</t>
  </si>
  <si>
    <t>11.39</t>
  </si>
  <si>
    <t>13.71</t>
  </si>
  <si>
    <t>04.44</t>
  </si>
  <si>
    <t>09.84</t>
  </si>
  <si>
    <t>13.88</t>
  </si>
  <si>
    <t>06.41</t>
  </si>
  <si>
    <t>17.46</t>
  </si>
  <si>
    <t>32.05</t>
  </si>
  <si>
    <t>Docente</t>
  </si>
  <si>
    <t>08.44</t>
  </si>
  <si>
    <t>03.16</t>
  </si>
  <si>
    <t>05.39</t>
  </si>
  <si>
    <t>09.78</t>
  </si>
  <si>
    <t>04.53</t>
  </si>
  <si>
    <t>16.79</t>
  </si>
  <si>
    <t>16.50</t>
  </si>
  <si>
    <t>Auxiliar en servicio de alimentación</t>
  </si>
  <si>
    <t>28.34</t>
  </si>
  <si>
    <t>05.88</t>
  </si>
  <si>
    <t>19.25</t>
  </si>
  <si>
    <t>10.22</t>
  </si>
  <si>
    <t>13.78</t>
  </si>
  <si>
    <t>18.20</t>
  </si>
  <si>
    <t xml:space="preserve">Femenino </t>
  </si>
  <si>
    <t>05.27</t>
  </si>
  <si>
    <t>06.66</t>
  </si>
  <si>
    <t>03.98</t>
  </si>
  <si>
    <t>06.99</t>
  </si>
  <si>
    <t>04.71</t>
  </si>
  <si>
    <t>09.48</t>
  </si>
  <si>
    <t>10.33</t>
  </si>
  <si>
    <t>Comerciante</t>
  </si>
  <si>
    <t>5.00</t>
  </si>
  <si>
    <t>13.00</t>
  </si>
  <si>
    <t>7.00</t>
  </si>
  <si>
    <t>14.00</t>
  </si>
  <si>
    <t>Secretaria - Jubilada</t>
  </si>
  <si>
    <t>10.24</t>
  </si>
  <si>
    <t>06.23</t>
  </si>
  <si>
    <t>06.43</t>
  </si>
  <si>
    <t>10.43</t>
  </si>
  <si>
    <t>05.13</t>
  </si>
  <si>
    <t>46.14</t>
  </si>
  <si>
    <t>22.59</t>
  </si>
  <si>
    <t>Jubilada / Ventas</t>
  </si>
  <si>
    <t>08.49</t>
  </si>
  <si>
    <t>08.76</t>
  </si>
  <si>
    <t>03.50</t>
  </si>
  <si>
    <t>04.81</t>
  </si>
  <si>
    <t>11.33</t>
  </si>
  <si>
    <t>03.60</t>
  </si>
  <si>
    <t>16.34</t>
  </si>
  <si>
    <t>13.22</t>
  </si>
  <si>
    <t xml:space="preserve">Lcda en enfermería </t>
  </si>
  <si>
    <t>06.68</t>
  </si>
  <si>
    <t>02.35</t>
  </si>
  <si>
    <t>04.27</t>
  </si>
  <si>
    <t>07.93</t>
  </si>
  <si>
    <t>04.37</t>
  </si>
  <si>
    <t>08.80</t>
  </si>
  <si>
    <t>15.90</t>
  </si>
  <si>
    <t>Costurera</t>
  </si>
  <si>
    <t xml:space="preserve">Quehaceres domésticos </t>
  </si>
  <si>
    <t>18.15</t>
  </si>
  <si>
    <t>04.92</t>
  </si>
  <si>
    <t>08.61</t>
  </si>
  <si>
    <t>21.94</t>
  </si>
  <si>
    <t>16.42</t>
  </si>
  <si>
    <t>33.28</t>
  </si>
  <si>
    <t>18.25</t>
  </si>
  <si>
    <t>Costura</t>
  </si>
  <si>
    <t>16.57</t>
  </si>
  <si>
    <t>05.74</t>
  </si>
  <si>
    <t>14.43</t>
  </si>
  <si>
    <t>21.15</t>
  </si>
  <si>
    <t>Conductor</t>
  </si>
  <si>
    <t>13.30</t>
  </si>
  <si>
    <t>30.90</t>
  </si>
  <si>
    <t>19.42</t>
  </si>
  <si>
    <t>33.75</t>
  </si>
  <si>
    <t>10.86</t>
  </si>
  <si>
    <t>1.17.00</t>
  </si>
  <si>
    <t>Contadora</t>
  </si>
  <si>
    <t>25.00</t>
  </si>
  <si>
    <t>20.00</t>
  </si>
  <si>
    <t>23.00</t>
  </si>
  <si>
    <t>Negocio de transporte</t>
  </si>
  <si>
    <t>Economista</t>
  </si>
  <si>
    <t>11.83</t>
  </si>
  <si>
    <t>06.78</t>
  </si>
  <si>
    <t>05.81</t>
  </si>
  <si>
    <t>10.51</t>
  </si>
  <si>
    <t>05.33</t>
  </si>
  <si>
    <t>12.20</t>
  </si>
  <si>
    <t>Ingeniera Comercial</t>
  </si>
  <si>
    <t>06.40</t>
  </si>
  <si>
    <t>07.49</t>
  </si>
  <si>
    <t>06.57</t>
  </si>
  <si>
    <t>08.21</t>
  </si>
  <si>
    <t>Jubilada/Asistente Dental</t>
  </si>
  <si>
    <t>08.45</t>
  </si>
  <si>
    <t>18.77</t>
  </si>
  <si>
    <t>3.23</t>
  </si>
  <si>
    <t>5.20</t>
  </si>
  <si>
    <t>15.28</t>
  </si>
  <si>
    <t>5.72</t>
  </si>
  <si>
    <t>30.14</t>
  </si>
  <si>
    <t>35.10</t>
  </si>
  <si>
    <t xml:space="preserve">Profesora de nivel primario </t>
  </si>
  <si>
    <t>Joyera</t>
  </si>
  <si>
    <t>11.16</t>
  </si>
  <si>
    <t>10.49</t>
  </si>
  <si>
    <t>04.31</t>
  </si>
  <si>
    <t>06.71</t>
  </si>
  <si>
    <t>18.71</t>
  </si>
  <si>
    <t>27.76</t>
  </si>
  <si>
    <t>Arreglo planta</t>
  </si>
  <si>
    <t>40.00</t>
  </si>
  <si>
    <t>18.00</t>
  </si>
  <si>
    <t>31.00</t>
  </si>
  <si>
    <t>33.00</t>
  </si>
  <si>
    <t>06.82</t>
  </si>
  <si>
    <t>04.42</t>
  </si>
  <si>
    <t>14.53</t>
  </si>
  <si>
    <t>10.65</t>
  </si>
  <si>
    <t>Jubilida</t>
  </si>
  <si>
    <t>05.40</t>
  </si>
  <si>
    <t>04.57</t>
  </si>
  <si>
    <t>22.61</t>
  </si>
  <si>
    <t>18.17</t>
  </si>
  <si>
    <t>08.66</t>
  </si>
  <si>
    <t>3.70</t>
  </si>
  <si>
    <t>05.63</t>
  </si>
  <si>
    <t>04.82</t>
  </si>
  <si>
    <t>11.23</t>
  </si>
  <si>
    <t>04.72</t>
  </si>
  <si>
    <t>Docente jubilada</t>
  </si>
  <si>
    <t>07.13</t>
  </si>
  <si>
    <t>08.23</t>
  </si>
  <si>
    <t>04.41</t>
  </si>
  <si>
    <t>08.29</t>
  </si>
  <si>
    <t>06.80</t>
  </si>
  <si>
    <t>Magisterio/Jubilada</t>
  </si>
  <si>
    <t>19.00</t>
  </si>
  <si>
    <t>Jubilada- technologica neuropatia</t>
  </si>
  <si>
    <t>02.00</t>
  </si>
  <si>
    <t>Docencia/Jubilada</t>
  </si>
  <si>
    <t>Imprenta</t>
  </si>
  <si>
    <t>06.70</t>
  </si>
  <si>
    <t>13.51</t>
  </si>
  <si>
    <t>10.21</t>
  </si>
  <si>
    <t>18.50</t>
  </si>
  <si>
    <t>09.50</t>
  </si>
  <si>
    <t>07.50</t>
  </si>
  <si>
    <t>18.72</t>
  </si>
  <si>
    <t>22.15</t>
  </si>
  <si>
    <t>Docente Jubilado</t>
  </si>
  <si>
    <t>10.28</t>
  </si>
  <si>
    <t>14.94</t>
  </si>
  <si>
    <t>04.16</t>
  </si>
  <si>
    <t>06.83</t>
  </si>
  <si>
    <t>14.54</t>
  </si>
  <si>
    <t>38.69</t>
  </si>
  <si>
    <t>30.86</t>
  </si>
  <si>
    <t>Profesora de Manualidades</t>
  </si>
  <si>
    <t>11.78</t>
  </si>
  <si>
    <t>13.89</t>
  </si>
  <si>
    <t>07.68</t>
  </si>
  <si>
    <t>05.78</t>
  </si>
  <si>
    <t>34.21</t>
  </si>
  <si>
    <t>34.28</t>
  </si>
  <si>
    <t xml:space="preserve">Empelado público </t>
  </si>
  <si>
    <t>09.51</t>
  </si>
  <si>
    <t>3.22</t>
  </si>
  <si>
    <t>05.91</t>
  </si>
  <si>
    <t>05.45</t>
  </si>
  <si>
    <t>13.19</t>
  </si>
  <si>
    <t>12.81</t>
  </si>
  <si>
    <t>04.64</t>
  </si>
  <si>
    <t>13.87</t>
  </si>
  <si>
    <t>03.34</t>
  </si>
  <si>
    <t>11.14</t>
  </si>
  <si>
    <t>16.68</t>
  </si>
  <si>
    <t>15.57</t>
  </si>
  <si>
    <t>Administrativo/Jubilada</t>
  </si>
  <si>
    <t>28.00</t>
  </si>
  <si>
    <t>Horario/carta concentimiento</t>
  </si>
  <si>
    <t>FECHA</t>
  </si>
  <si>
    <t>en_juego_festividades</t>
  </si>
  <si>
    <t>en_secuencia_directa</t>
  </si>
  <si>
    <t>en_secuencia_indirecta</t>
  </si>
  <si>
    <t>t_juego_festividades (minutos)</t>
  </si>
  <si>
    <t>t_secuencia_directa (minutos)</t>
  </si>
  <si>
    <t>t_secuencia_indirecta (minutos)</t>
  </si>
  <si>
    <t>Código ID(cedula)</t>
  </si>
  <si>
    <t>Código del sujeto (ej:ECU-IUTA-CAAM-APELLIDONOMBRE000)</t>
  </si>
  <si>
    <t>Núm de Evaluación (Seleccionar la opción 1)</t>
  </si>
  <si>
    <t>Fecha de nacimiento</t>
  </si>
  <si>
    <t>Teléfono (sino tiene colocar 000000)</t>
  </si>
  <si>
    <t>Status</t>
  </si>
  <si>
    <t>Grupo de estudio (Seleccionar la opción Otra)</t>
  </si>
  <si>
    <t>Enfermedad psiquiátrica activa.</t>
  </si>
  <si>
    <t>Alcohol/Historial de drogas</t>
  </si>
  <si>
    <t>Escribir sí presenta Condiciones médicas y/o neurológicas subyacentes (Toma medicina para dormir, toma medicina neurológico) caso contrario colocar N/A.</t>
  </si>
  <si>
    <t>Algún familiar ha presentado demencia</t>
  </si>
  <si>
    <t>Si su respuesta anterior fue afirmativa, describa el tipo de demencia</t>
  </si>
  <si>
    <t>1)Cambio en cognición
¿Ha tenido algún problema de pensamiento o memoria?</t>
  </si>
  <si>
    <t>¿Ha habido algún declive de la memoria en el ultimo año?</t>
  </si>
  <si>
    <t>Si su respuesta es positiva indique la fecha cuando lo notó por primera vez que su memoria no era la de antes?</t>
  </si>
  <si>
    <t>OBSERVACION</t>
  </si>
  <si>
    <t>CT1</t>
  </si>
  <si>
    <t>CT2</t>
  </si>
  <si>
    <t>CT3</t>
  </si>
  <si>
    <t>CT4</t>
  </si>
  <si>
    <t>CT5</t>
  </si>
  <si>
    <t>CT6</t>
  </si>
  <si>
    <t>CT7</t>
  </si>
  <si>
    <t>CT8</t>
  </si>
  <si>
    <t>TOTAL PREGUNTAS BASICAS TAREA 1</t>
  </si>
  <si>
    <t>CT9</t>
  </si>
  <si>
    <t>CT10</t>
  </si>
  <si>
    <t>CT11</t>
  </si>
  <si>
    <t>CT12</t>
  </si>
  <si>
    <t>TOTAL PREGUNTAS MUSICA  TAREA 2</t>
  </si>
  <si>
    <t>CT13</t>
  </si>
  <si>
    <t>CT14</t>
  </si>
  <si>
    <t>CT15</t>
  </si>
  <si>
    <t>CT16</t>
  </si>
  <si>
    <t>CT17</t>
  </si>
  <si>
    <t>CT18</t>
  </si>
  <si>
    <t>CT19</t>
  </si>
  <si>
    <t>CT20</t>
  </si>
  <si>
    <t>TOTAL PREGUNTAS MEMORIA  TAREA 3</t>
  </si>
  <si>
    <t>CT21</t>
  </si>
  <si>
    <t>CT22</t>
  </si>
  <si>
    <t>TOTAL PREGUNTAS Tarea 4 (T4) -Llamada Teléfonica</t>
  </si>
  <si>
    <t>CT23</t>
  </si>
  <si>
    <t>CT24</t>
  </si>
  <si>
    <t>CT25</t>
  </si>
  <si>
    <t>CT26</t>
  </si>
  <si>
    <t>CT27</t>
  </si>
  <si>
    <t>CT28</t>
  </si>
  <si>
    <t>CT29</t>
  </si>
  <si>
    <t>CT30</t>
  </si>
  <si>
    <t>Tarea 5 (T5) -Casa inteligente</t>
  </si>
  <si>
    <t>TOTAL DE COMANDOS BASICOS</t>
  </si>
  <si>
    <t>Miercoles 14:00/CS</t>
  </si>
  <si>
    <t>ECU-IUTA-CAAM-LARREAMARTHA031</t>
  </si>
  <si>
    <t>1/30/1950</t>
  </si>
  <si>
    <t>Inclusión</t>
  </si>
  <si>
    <t>Otra</t>
  </si>
  <si>
    <t>No</t>
  </si>
  <si>
    <t>nA</t>
  </si>
  <si>
    <t>Si</t>
  </si>
  <si>
    <t>9/17/2023</t>
  </si>
  <si>
    <t>ECU-IUTA-CAAAM-QUINTEROCRUZDEJESUS056</t>
  </si>
  <si>
    <t>N/A</t>
  </si>
  <si>
    <t>9/17/2025</t>
  </si>
  <si>
    <t>Miercoles 15:00/CS</t>
  </si>
  <si>
    <t>ECU-IUTA-CAAM-CORDEROEVA021</t>
  </si>
  <si>
    <t>Diabetes y Presión Alta</t>
  </si>
  <si>
    <t>ECU-IUTA-CAAM-CALDERONHILDA012</t>
  </si>
  <si>
    <t>0984573504</t>
  </si>
  <si>
    <t>Ninguna m</t>
  </si>
  <si>
    <t>Ninguna</t>
  </si>
  <si>
    <t>ECU-IUTA-CAAM-CAMPOVERDELUCIA016</t>
  </si>
  <si>
    <t>Alzheimer</t>
  </si>
  <si>
    <t>Jueves 14:00 CS</t>
  </si>
  <si>
    <t>ECU-IUTA-CAAM-GUZMANEFRAIN027</t>
  </si>
  <si>
    <t>Parkinson, infartos (usa placas)</t>
  </si>
  <si>
    <t>S/A</t>
  </si>
  <si>
    <t>Presenta Parkinson, habla bien, es sociable</t>
  </si>
  <si>
    <t>ECU-IUTS-CAAM-ARTEAGALIGIA005</t>
  </si>
  <si>
    <t>0999815387</t>
  </si>
  <si>
    <t xml:space="preserve">Artrosis, analgésicos para el dolor </t>
  </si>
  <si>
    <t xml:space="preserve">Ninguno </t>
  </si>
  <si>
    <t xml:space="preserve">Ninguna </t>
  </si>
  <si>
    <t>ECU-IUTA-CAAM-QISHIPIMARIA057</t>
  </si>
  <si>
    <t xml:space="preserve">Inclusión </t>
  </si>
  <si>
    <t>Artrosis, medicación calcibon D</t>
  </si>
  <si>
    <t>ECU-IUTA-CAAM-PINTADOROSA054</t>
  </si>
  <si>
    <t>0983223718</t>
  </si>
  <si>
    <t>NINGUNA</t>
  </si>
  <si>
    <t>Jueves 15:00/CS</t>
  </si>
  <si>
    <t>ECU-IUTA-CAAM-MALDONADOEULALIA034</t>
  </si>
  <si>
    <t>0989772048</t>
  </si>
  <si>
    <t>ECU-IUTA-CAAM-MOLINANORMA042</t>
  </si>
  <si>
    <t>0992630289</t>
  </si>
  <si>
    <t>Jueves 16:00/CS</t>
  </si>
  <si>
    <t>ECU-IUTA-CAAM-CARRERALAURA018</t>
  </si>
  <si>
    <t>0997119670</t>
  </si>
  <si>
    <t>Demencia Senil</t>
  </si>
  <si>
    <t>ECU-IUTA-CAAM-CALLEMILTON013</t>
  </si>
  <si>
    <t>4/14/1963</t>
  </si>
  <si>
    <t>No sé</t>
  </si>
  <si>
    <t>ECU-IUTA-CAAM-COBOSNANCY020</t>
  </si>
  <si>
    <t>No refiere</t>
  </si>
  <si>
    <t>23 oct, 6 nov</t>
  </si>
  <si>
    <t>ECU-IUTA-CAAM-GALARZAMARIA025</t>
  </si>
  <si>
    <t>0994954850</t>
  </si>
  <si>
    <t>ECU-IUTA-CAAM-MARIACAMPOVERDE015</t>
  </si>
  <si>
    <t>0992996877</t>
  </si>
  <si>
    <t>DCL amnésico</t>
  </si>
  <si>
    <t>Na</t>
  </si>
  <si>
    <t>ECU-IUTA-CAAM-LUCEROCARMEN033</t>
  </si>
  <si>
    <t>6/30/1950</t>
  </si>
  <si>
    <t>No presenta</t>
  </si>
  <si>
    <t>ECU-IUTA-CAAM-NIETOGRADYS046</t>
  </si>
  <si>
    <t xml:space="preserve">Diabetes, tiroides </t>
  </si>
  <si>
    <t>Ninguna, lúcida</t>
  </si>
  <si>
    <t>ECU-IUTA-CAAM-NAULAROSA045</t>
  </si>
  <si>
    <t>0994166852</t>
  </si>
  <si>
    <t xml:space="preserve">Paciente oncologica de cancer, 8 años, sin medicación </t>
  </si>
  <si>
    <t>ECU-IUTA-CAAM-MUÑOZLUIS053</t>
  </si>
  <si>
    <t>0993823635</t>
  </si>
  <si>
    <t>Gastritis, prostata, medicina natural, osteoporosis</t>
  </si>
  <si>
    <t>ECU-IUTA-CAAM-TOROMARIA055</t>
  </si>
  <si>
    <t>0986977748</t>
  </si>
  <si>
    <t>Calcio</t>
  </si>
  <si>
    <t>ECU-IUTA-CAAM-BEATRIZLAURA036</t>
  </si>
  <si>
    <t>Diabetes, Tiroides, toma medicamentos para la diabetes, tiroides y dolor muscular</t>
  </si>
  <si>
    <t>9/18/2025</t>
  </si>
  <si>
    <t>ECU-IUTA-CAAM-HINOSTROZABLANCA028</t>
  </si>
  <si>
    <t>Parkinson y hipotiroidismos</t>
  </si>
  <si>
    <t>Nadie</t>
  </si>
  <si>
    <t>Por el Parkinson tiene temblores en la mano y brazo izquierdo</t>
  </si>
  <si>
    <t>ECU-IUTA-CAAM-MATUTEBLANCA037</t>
  </si>
  <si>
    <t>Quiste al cerebro dice Que vive no crece</t>
  </si>
  <si>
    <t>ECU-IUTA-CAAM-MATUTELUZ038</t>
  </si>
  <si>
    <t>Para dormir, artritis</t>
  </si>
  <si>
    <t>No escucha bien</t>
  </si>
  <si>
    <t>ECU-IUTA-CAAM-CALLEGONZALO014</t>
  </si>
  <si>
    <t>0969431991</t>
  </si>
  <si>
    <t>Prostata, toma medicina para lo mismo y para dormir</t>
  </si>
  <si>
    <t>ECU-IUTA-CAAM-CAJASBLANCA010</t>
  </si>
  <si>
    <t>ECU-IUTA-CAAM-MARINELSA035</t>
  </si>
  <si>
    <t>0999880474</t>
  </si>
  <si>
    <t xml:space="preserve">No </t>
  </si>
  <si>
    <t>ECU-IUTA-CAAM-MERCHANYOLANDA040</t>
  </si>
  <si>
    <t>ECU-IUTA-CAAM-PAUTAANA050</t>
  </si>
  <si>
    <t>0995775214</t>
  </si>
  <si>
    <t>Para la presión alta, gastritis</t>
  </si>
  <si>
    <t>ECU-IUTA-CAAM-ARMIJOSLIBIA004</t>
  </si>
  <si>
    <t>0979382384</t>
  </si>
  <si>
    <t>Celepla</t>
  </si>
  <si>
    <t>ECU-IUTA-CAAM-PESANTESPAQUITA052</t>
  </si>
  <si>
    <t>4/20/1959</t>
  </si>
  <si>
    <t>Medicamentos para bajar ansiedad, omeprazol, gastritis, digeril, cancibol (artrosis, ortroporosis)</t>
  </si>
  <si>
    <t>ECU-IUTA-CAAM-JARACECILIA009</t>
  </si>
  <si>
    <t>Comienzo de demencia senil</t>
  </si>
  <si>
    <t>ECU-IUTA-CAAM-ESPINOZAMARIANA023</t>
  </si>
  <si>
    <t>0995917525</t>
  </si>
  <si>
    <t xml:space="preserve">Medicina para dormir (no recuerda), toma para la diabetes y la hipertensión </t>
  </si>
  <si>
    <t xml:space="preserve">Refiere que la madre tenía convulsiones constantes </t>
  </si>
  <si>
    <t>ECU-IUTA-CAAM-QUEZADALISENIA055</t>
  </si>
  <si>
    <t>Dolores de huesos, estómago, no toma medicamentos</t>
  </si>
  <si>
    <t>Refiere que la madre y ella también se olvida de donde deja las cosas, a veces nombres</t>
  </si>
  <si>
    <t>ECU-IUTA-CAAM-BRAVOLUIS008</t>
  </si>
  <si>
    <t>Medicamento hipotiroidismo, hipertensión. Problemas de gastritis y prostata</t>
  </si>
  <si>
    <t>ECU-IUTA-CAAM-PEÑAMANUEL051</t>
  </si>
  <si>
    <t>0992797956</t>
  </si>
  <si>
    <t>ECU-IUTA-CAAMSENOVIAROSA029</t>
  </si>
  <si>
    <t>0995857681</t>
  </si>
  <si>
    <t>Activo</t>
  </si>
  <si>
    <t>ECU-IUTA-CAAM-ALVARADOMAURA001</t>
  </si>
  <si>
    <t>000000</t>
  </si>
  <si>
    <t>Ansiedad</t>
  </si>
  <si>
    <t>ECU-IUTA-CAAM-MOLINAROSA041</t>
  </si>
  <si>
    <t>0980183075</t>
  </si>
  <si>
    <t xml:space="preserve">Medicina para dormir </t>
  </si>
  <si>
    <t>Demencia senil</t>
  </si>
  <si>
    <t>ECU-IUTA-CAAM-AMONJULIA002</t>
  </si>
  <si>
    <t>no</t>
  </si>
  <si>
    <t>ninguno</t>
  </si>
  <si>
    <t>ninguno, tuvo problema de nervio facial</t>
  </si>
  <si>
    <t>ECU-IUTA-CAAM-DAQUILEMAMARIA022</t>
  </si>
  <si>
    <t xml:space="preserve">Exclusión </t>
  </si>
  <si>
    <t>ECU-IUTA-CAAM-CHUNGATAROSA019</t>
  </si>
  <si>
    <t>0992213840</t>
  </si>
  <si>
    <t>Diabetes, Levotiroxina, Insulina</t>
  </si>
  <si>
    <t>ECU-IUTA-CAAM-GUACHICHULLCAMARIA026</t>
  </si>
  <si>
    <t>0968877462</t>
  </si>
  <si>
    <t>ECU-IUTA-CAAM-OCHOAELVA049</t>
  </si>
  <si>
    <t>ECU-IUTA-CAAM-PACHECOMARIA048</t>
  </si>
  <si>
    <t>Para tiroida</t>
  </si>
  <si>
    <t>Hermano Despues Que le dieron escopolqmina</t>
  </si>
  <si>
    <t>ECU-IUTA-CAAM-RODASEFREN058</t>
  </si>
  <si>
    <t>0990832108</t>
  </si>
  <si>
    <t>ECU-IUTA-CAAM-JARAMILLOCORREA030</t>
  </si>
  <si>
    <t>11/17/1934</t>
  </si>
  <si>
    <t>Artrosis en la columna</t>
  </si>
  <si>
    <t>ECU-IUTA-CAAM-BARAHONSFLORA050</t>
  </si>
  <si>
    <t>0968767260</t>
  </si>
  <si>
    <t>ECU-IUTA-CAAM-CAPELOOLIVIA017</t>
  </si>
  <si>
    <t>Artrosis, medicina (glucosamine)</t>
  </si>
  <si>
    <t>ECU-IUTA-CAAM-SINCHILILIA060</t>
  </si>
  <si>
    <t>0987913464</t>
  </si>
  <si>
    <t>COMPLETOS</t>
  </si>
  <si>
    <t xml:space="preserve"> </t>
  </si>
  <si>
    <t>num_usuario</t>
  </si>
  <si>
    <t>Audio personal</t>
  </si>
  <si>
    <t>Audio Amazon</t>
  </si>
  <si>
    <r>
      <rPr>
        <b/>
        <sz val="12"/>
        <color theme="1"/>
        <rFont val="Arial"/>
        <family val="2"/>
      </rPr>
      <t xml:space="preserve">EDBID
</t>
    </r>
    <r>
      <rPr>
        <b/>
        <sz val="12"/>
        <color theme="1"/>
        <rFont val="Arial"/>
        <family val="2"/>
      </rPr>
      <t>SI=1,PARCIAL=0,5
NO=0</t>
    </r>
  </si>
  <si>
    <r>
      <rPr>
        <b/>
        <sz val="12"/>
        <color theme="1"/>
        <rFont val="Arial"/>
        <family val="2"/>
      </rPr>
      <t xml:space="preserve">EDBICD
</t>
    </r>
    <r>
      <rPr>
        <b/>
        <sz val="12"/>
        <color theme="1"/>
        <rFont val="Arial"/>
        <family val="2"/>
      </rPr>
      <t>SI=1,PARCIAL=0,5
NO=0</t>
    </r>
  </si>
  <si>
    <r>
      <rPr>
        <b/>
        <sz val="12"/>
        <color theme="1"/>
        <rFont val="Arial"/>
        <family val="2"/>
      </rPr>
      <t xml:space="preserve">Hiperactividad no justificada
</t>
    </r>
    <r>
      <rPr>
        <b/>
        <sz val="12"/>
        <color theme="1"/>
        <rFont val="Arial"/>
        <family val="2"/>
      </rPr>
      <t>Si=1,No=0</t>
    </r>
  </si>
  <si>
    <r>
      <rPr>
        <b/>
        <sz val="12"/>
        <color theme="1"/>
        <rFont val="Arial"/>
        <family val="2"/>
      </rPr>
      <t xml:space="preserve">MEMORIA
</t>
    </r>
    <r>
      <rPr>
        <b/>
        <sz val="12"/>
        <color theme="1"/>
        <rFont val="Arial"/>
        <family val="2"/>
      </rPr>
      <t>Sa=0,Cu= 0,5,Le=1, Mo=2,Se=3</t>
    </r>
  </si>
  <si>
    <t>ECU-IUTA-CAAM-NELLYAMOROSO003</t>
  </si>
  <si>
    <t>Control</t>
  </si>
  <si>
    <t>jubilada fabrica de tejido</t>
  </si>
  <si>
    <t>artritis , reumas, hipoteroidismo</t>
  </si>
  <si>
    <t>na</t>
  </si>
  <si>
    <t>ninguna, toma pastilla para dormir desde que ha fallecido el papa 10 años pero toma hace 9 años</t>
  </si>
  <si>
    <t>04.58</t>
  </si>
  <si>
    <t>05.24</t>
  </si>
  <si>
    <t>10.73</t>
  </si>
  <si>
    <t>05.98</t>
  </si>
  <si>
    <t>18.84</t>
  </si>
  <si>
    <t>F,D,I</t>
  </si>
  <si>
    <t>Solo alexa</t>
  </si>
  <si>
    <t>ECU-IUTA-CAAM-ASTUDILLOCESAR0006</t>
  </si>
  <si>
    <t>9/19/1952</t>
  </si>
  <si>
    <t>Zurdo</t>
  </si>
  <si>
    <t>Profesor/Jubilado</t>
  </si>
  <si>
    <t>Medicamentos para depresion, queteapina, dificiltades de sueño, presión alta</t>
  </si>
  <si>
    <t>ECU-IUTA-CAAM-BONILLACARMEN007</t>
  </si>
  <si>
    <t>Medicamento para ansiedad, presion, ortopédico y tiroides</t>
  </si>
  <si>
    <t>Es sociable, tranquilidad, camina sola</t>
  </si>
  <si>
    <t>00.00</t>
  </si>
  <si>
    <t>26.00</t>
  </si>
  <si>
    <t>ECU-IUTA-CAAM-CAJILIMASEGUNDO11</t>
  </si>
  <si>
    <t>Agente/Jubilado</t>
  </si>
  <si>
    <t>Tiroides, parkinson (comienzo)</t>
  </si>
  <si>
    <t>D</t>
  </si>
  <si>
    <t>ECU-IUTA-CAAM-ESQUIVELSERGIO024</t>
  </si>
  <si>
    <t>D,I</t>
  </si>
  <si>
    <t>F, D,I</t>
  </si>
  <si>
    <t>F, D</t>
  </si>
  <si>
    <t>ECU-IUTA-CAAM-LEONMARIO032</t>
  </si>
  <si>
    <t>3/14/1959</t>
  </si>
  <si>
    <t>APOYO ADMINISTRATIVO</t>
  </si>
  <si>
    <t>ECU-IUTA-CAAM-MATUTEVICTOR039</t>
  </si>
  <si>
    <t>0989607961</t>
  </si>
  <si>
    <t xml:space="preserve">Para insomnio </t>
  </si>
  <si>
    <t>06.94</t>
  </si>
  <si>
    <t>10.23</t>
  </si>
  <si>
    <t>03.62</t>
  </si>
  <si>
    <t>05.69</t>
  </si>
  <si>
    <t>11.31</t>
  </si>
  <si>
    <t>04.30</t>
  </si>
  <si>
    <t>19.50</t>
  </si>
  <si>
    <t>ECU-IUTA-CAAM-MOROCHO043</t>
  </si>
  <si>
    <t>0987237132</t>
  </si>
  <si>
    <t xml:space="preserve">Secretaría </t>
  </si>
  <si>
    <t xml:space="preserve">Presión, Sertralina </t>
  </si>
  <si>
    <t>04.69</t>
  </si>
  <si>
    <t>05.83</t>
  </si>
  <si>
    <t>09.34</t>
  </si>
  <si>
    <t>03.80</t>
  </si>
  <si>
    <t>17.38</t>
  </si>
  <si>
    <t>ECU-IUTA-CAAM-NARVAEZOLGA044</t>
  </si>
  <si>
    <t>17.51</t>
  </si>
  <si>
    <t>06.61</t>
  </si>
  <si>
    <t>15.96</t>
  </si>
  <si>
    <t>07.77</t>
  </si>
  <si>
    <t>35.06</t>
  </si>
  <si>
    <t>ECU-IUTA-CAAM-OCHOAELVA047</t>
  </si>
  <si>
    <t>0988491466</t>
  </si>
  <si>
    <t>Para los huesos y colesterol</t>
  </si>
  <si>
    <t>29.00</t>
  </si>
  <si>
    <t>D, I</t>
  </si>
  <si>
    <t>F, D, I</t>
  </si>
  <si>
    <t>ECU-IUTA-CAAM-ROSEROGUADALUPE059</t>
  </si>
  <si>
    <t>9/13/2023</t>
  </si>
  <si>
    <t>ECU-IUTA-CAAM-VELEZALICIA061</t>
  </si>
  <si>
    <t>0987118615</t>
  </si>
  <si>
    <t xml:space="preserve">Para la presión y tiroides </t>
  </si>
  <si>
    <t>09.24</t>
  </si>
  <si>
    <t>03.59</t>
  </si>
  <si>
    <t>05.97</t>
  </si>
  <si>
    <t>13.44</t>
  </si>
  <si>
    <t>06.75</t>
  </si>
  <si>
    <t>18.63</t>
  </si>
  <si>
    <t xml:space="preserve">POR COMPLETAR </t>
  </si>
  <si>
    <t>REGISTROS ELIMINADOS</t>
  </si>
  <si>
    <t>REPORTE INICIAL</t>
  </si>
  <si>
    <t>REPORTE FINAL</t>
  </si>
  <si>
    <t>NO COMPLETO LOS JUEGOS</t>
  </si>
  <si>
    <t>NO COMPLETO PRUEBAS CLASICAS</t>
  </si>
  <si>
    <t>DATOS RECUPERADOS</t>
  </si>
  <si>
    <t>ENFERMEDAD PSIQUIATRICA</t>
  </si>
  <si>
    <t>ACE-R</t>
  </si>
  <si>
    <t>Escala de Depresión Geriátrica</t>
  </si>
  <si>
    <t xml:space="preserve">EDG </t>
  </si>
  <si>
    <t>Resultado de Pelota Bandera, Arbol</t>
  </si>
  <si>
    <t>Criterios CDR</t>
  </si>
  <si>
    <t>Escala de Blessed</t>
  </si>
  <si>
    <t>EDB</t>
  </si>
  <si>
    <t>Ensayos de Pelota Bandera, Arbol</t>
  </si>
  <si>
    <t>Sano=0</t>
  </si>
  <si>
    <t>Sa</t>
  </si>
  <si>
    <t>Leve=1,</t>
  </si>
  <si>
    <t>Le</t>
  </si>
  <si>
    <t>Cambios en la ejecución de las actividades diarias</t>
  </si>
  <si>
    <t>AC/R</t>
  </si>
  <si>
    <t>Atención y concentracion resta</t>
  </si>
  <si>
    <t>Cuestionable= 0,5</t>
  </si>
  <si>
    <t>Cu</t>
  </si>
  <si>
    <t>Incapacidad para realizar tareas domésticas.</t>
  </si>
  <si>
    <t>EDBID</t>
  </si>
  <si>
    <t xml:space="preserve">Pedir al sujeto </t>
  </si>
  <si>
    <t>Moderada=2</t>
  </si>
  <si>
    <t>Mo</t>
  </si>
  <si>
    <t>Incap. para el uso de pequeñas cantidades de dinero.</t>
  </si>
  <si>
    <t>EDBICD</t>
  </si>
  <si>
    <t>Otorgar 1 punto solo si es igual a 5, menor a 5 es 0</t>
  </si>
  <si>
    <t>Severa=3</t>
  </si>
  <si>
    <t>Se</t>
  </si>
  <si>
    <t>Incap, para recordar listas cortas de elementos</t>
  </si>
  <si>
    <t>M/PEL-BAN,AR(R)</t>
  </si>
  <si>
    <t>Memoria, repetir y recordar las 3 palabras</t>
  </si>
  <si>
    <t>Incap, para orientarse en casa</t>
  </si>
  <si>
    <t>M/E</t>
  </si>
  <si>
    <t>segundo intento</t>
  </si>
  <si>
    <t>Incap, para orientarse en calles familiares</t>
  </si>
  <si>
    <t>M/E-Repeticion</t>
  </si>
  <si>
    <t xml:space="preserve">Tercer intento </t>
  </si>
  <si>
    <t>Incap. para valorar el entormo</t>
  </si>
  <si>
    <t>M/RET</t>
  </si>
  <si>
    <t>Memoria Retrógrada</t>
  </si>
  <si>
    <t>Incap, para recordai hechos recientes</t>
  </si>
  <si>
    <t>F/L(R)</t>
  </si>
  <si>
    <t xml:space="preserve">Resultado de fuidez verbal letras </t>
  </si>
  <si>
    <t>Tendencia a nememorar el pasado.</t>
  </si>
  <si>
    <t>F/C®</t>
  </si>
  <si>
    <t>Resultado de fuidez verbal categoria</t>
  </si>
  <si>
    <t>L/C-A(R)</t>
  </si>
  <si>
    <t>lenguaje compresión A</t>
  </si>
  <si>
    <t xml:space="preserve">Independiente </t>
  </si>
  <si>
    <t>I</t>
  </si>
  <si>
    <t>L/C-B(R)</t>
  </si>
  <si>
    <t>Lenguaje compresión  B</t>
  </si>
  <si>
    <t xml:space="preserve">Necesita ayuda para cortar carne, el pan, etc. </t>
  </si>
  <si>
    <t>N</t>
  </si>
  <si>
    <t>L/R-PS(R)</t>
  </si>
  <si>
    <t xml:space="preserve">Lenguaje Escritura </t>
  </si>
  <si>
    <t>Dependiente</t>
  </si>
  <si>
    <t>Repetición palabras simples</t>
  </si>
  <si>
    <t>Continencia normal</t>
  </si>
  <si>
    <t>CN</t>
  </si>
  <si>
    <t>L/R(F1)</t>
  </si>
  <si>
    <t>Repetición de frases 1 (El flan tiene.......)</t>
  </si>
  <si>
    <t>Ocasionalmente algún episodio de incontinencia, o necesita ayuda
para administrarse supositorios o lavativas</t>
  </si>
  <si>
    <t>OEL</t>
  </si>
  <si>
    <t>L/R(F2)</t>
  </si>
  <si>
    <t>Repetición de frases 2(La orquesta..)</t>
  </si>
  <si>
    <t>Incontinencia</t>
  </si>
  <si>
    <t>L/D(REL,LAP)</t>
  </si>
  <si>
    <t>Denominación Reloj , Lapiz</t>
  </si>
  <si>
    <t xml:space="preserve">Minima ayuda fisica o supervisión para hacerlo </t>
  </si>
  <si>
    <t>M</t>
  </si>
  <si>
    <t>L/GR10I</t>
  </si>
  <si>
    <t>Puntaje de las 10 imagenes dichas correctas</t>
  </si>
  <si>
    <t>Independiente en silla de ruedas sin ayuda</t>
  </si>
  <si>
    <t>IS</t>
  </si>
  <si>
    <t>L/C(R)</t>
  </si>
  <si>
    <t>Compresión Usando las figuras....</t>
  </si>
  <si>
    <t>L/LI</t>
  </si>
  <si>
    <t>Lectura irregular</t>
  </si>
  <si>
    <t>Utiliza el teléfono a iniciativa propia, busca y márca los números</t>
  </si>
  <si>
    <t>U1</t>
  </si>
  <si>
    <t>HV/PS</t>
  </si>
  <si>
    <t>Habilidades vis.....(Pentagono superpuestos)</t>
  </si>
  <si>
    <t xml:space="preserve">Мarca unos cuantos números bien conocidos </t>
  </si>
  <si>
    <t>M2</t>
  </si>
  <si>
    <t>HV/C</t>
  </si>
  <si>
    <t>Habilidades vis.....(Cubo)</t>
  </si>
  <si>
    <t>Contesta el teléfono pero no marca</t>
  </si>
  <si>
    <t>C3</t>
  </si>
  <si>
    <t>HV/R</t>
  </si>
  <si>
    <t>Habilidades vis.(Reloj)</t>
  </si>
  <si>
    <t>No usa el teléfono</t>
  </si>
  <si>
    <t>N4</t>
  </si>
  <si>
    <t>HV/CP</t>
  </si>
  <si>
    <t>Habilidades vis..(Cuente los puntos)</t>
  </si>
  <si>
    <t>HV/IL</t>
  </si>
  <si>
    <t>Habilidades vis.(Indentifique las letras )</t>
  </si>
  <si>
    <t>Realiza todas las compras necesarias con independencia=1</t>
  </si>
  <si>
    <t>R1</t>
  </si>
  <si>
    <t>Memoria retroactiva</t>
  </si>
  <si>
    <t>Compra con independencia pequeñas cosas=0</t>
  </si>
  <si>
    <t>C2</t>
  </si>
  <si>
    <t>Reconocimiento</t>
  </si>
  <si>
    <t>Necesita compañía para realizar cualquier compra=0</t>
  </si>
  <si>
    <t>N3</t>
  </si>
  <si>
    <t>Completamente incapaz de ir de compras=0</t>
  </si>
  <si>
    <t>C4</t>
  </si>
  <si>
    <t>Planea, prepara y sirve las comidas adecuadas con independencia=1</t>
  </si>
  <si>
    <t>P1</t>
  </si>
  <si>
    <t>Prepara las comidas si se le dan los ingredientes=0</t>
  </si>
  <si>
    <t>P2</t>
  </si>
  <si>
    <t>Calienta y sirve las comidas pero no mantiene una dieta adecuada=0</t>
  </si>
  <si>
    <t>Necesita que se le prepare y sirva la comida=0</t>
  </si>
  <si>
    <t>Cuida la casa sólo o con ayuda ocasional =1</t>
  </si>
  <si>
    <t>C1</t>
  </si>
  <si>
    <t>Realiza tareas domésticas ligeras como fregar o hacer cama =1</t>
  </si>
  <si>
    <t>R2</t>
  </si>
  <si>
    <t>Realiza tareas domésticas ligeras pero no puede mantener
un nivel de limpieza aceptable =1</t>
  </si>
  <si>
    <t>R3</t>
  </si>
  <si>
    <t>Necesita ayuda en todas las tareas de la casa =1</t>
  </si>
  <si>
    <t>No participa en ninguna tarea doméstica =0</t>
  </si>
  <si>
    <t>N5</t>
  </si>
  <si>
    <t>Realiza completamente el lavado de ropa personal =1</t>
  </si>
  <si>
    <t>Lava ropa pequeña=1</t>
  </si>
  <si>
    <t>L2</t>
  </si>
  <si>
    <t xml:space="preserve"> Necesita que otro se ocupe del lavado=0</t>
  </si>
  <si>
    <t xml:space="preserve"> Viaja con independencia en transportes públicos o conduce su coche 1
</t>
  </si>
  <si>
    <t>V1</t>
  </si>
  <si>
    <t>Capaz de organizar su propio transporte en taxi, pero
no usa transporte público 1</t>
  </si>
  <si>
    <t>Viaja en transportes públicos si le acompaña otra persona 1</t>
  </si>
  <si>
    <t>V3</t>
  </si>
  <si>
    <t>Sólo viaja en taxi o automóvil con ayuda de otros 0</t>
  </si>
  <si>
    <t>S4</t>
  </si>
  <si>
    <t>No viaja</t>
  </si>
  <si>
    <t xml:space="preserve"> Es responsable en el uso de la medicación, dosis y horas correctas 1</t>
  </si>
  <si>
    <t>E1</t>
  </si>
  <si>
    <t>Toma responsablemente la medicación si se le prepara con anticipación 0</t>
  </si>
  <si>
    <t>T2</t>
  </si>
  <si>
    <t>No es capaz de responsabilizarse de su propia medicación 이</t>
  </si>
  <si>
    <t>tareas_alexa_direct</t>
  </si>
  <si>
    <t>tareas_alexa_indirecto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</si>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</sst>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"/>
    <numFmt numFmtId="165" formatCode="d\.m"/>
    <numFmt numFmtId="166" formatCode="dd\.mm\.yy"/>
    <numFmt numFmtId="167" formatCode="d\.m\.yy"/>
    <numFmt numFmtId="168" formatCode="d\ mmm"/>
  </numFmts>
  <fonts count="22">
    <font>
      <sz val="10"/>
      <color rgb="FF000000"/>
      <name val="Arial"/>
      <scheme val="minor"/>
    </font>
    <font>
      <b/>
      <sz val="12"/>
      <color theme="1"/>
      <name val="Arial"/>
      <family val="2"/>
    </font>
    <font>
      <b/>
      <sz val="12"/>
      <color rgb="FF202124"/>
      <name val="Docs-Roboto"/>
    </font>
    <font>
      <b/>
      <sz val="12"/>
      <color rgb="FF202124"/>
      <name val="Roboto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434343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sz val="10"/>
      <color rgb="FFFF0000"/>
      <name val="Calibri"/>
      <family val="2"/>
    </font>
    <font>
      <sz val="10"/>
      <color rgb="FF000000"/>
      <name val="Roboto"/>
    </font>
    <font>
      <sz val="8"/>
      <name val="Arial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B7E1CD"/>
        <bgColor rgb="FFB7E1CD"/>
      </patternFill>
    </fill>
    <fill>
      <patternFill patternType="solid">
        <fgColor rgb="FFD7E4BC"/>
        <bgColor rgb="FFD7E4BC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6" fillId="4" borderId="0" xfId="0" applyFont="1" applyFill="1"/>
    <xf numFmtId="0" fontId="7" fillId="3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/>
    <xf numFmtId="0" fontId="1" fillId="2" borderId="1" xfId="0" applyFont="1" applyFill="1" applyBorder="1" applyAlignment="1">
      <alignment horizontal="left"/>
    </xf>
    <xf numFmtId="0" fontId="6" fillId="14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0" borderId="4" xfId="0" applyFont="1" applyBorder="1"/>
    <xf numFmtId="0" fontId="8" fillId="0" borderId="0" xfId="0" applyFont="1"/>
    <xf numFmtId="0" fontId="6" fillId="11" borderId="0" xfId="0" applyFont="1" applyFill="1"/>
    <xf numFmtId="0" fontId="6" fillId="9" borderId="0" xfId="0" applyFont="1" applyFill="1"/>
    <xf numFmtId="0" fontId="6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8" fillId="2" borderId="1" xfId="0" applyNumberFormat="1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4" borderId="2" xfId="0" applyFont="1" applyFill="1" applyBorder="1" applyAlignment="1">
      <alignment horizontal="center" wrapText="1"/>
    </xf>
    <xf numFmtId="0" fontId="1" fillId="25" borderId="1" xfId="0" applyFont="1" applyFill="1" applyBorder="1" applyAlignment="1">
      <alignment horizontal="center" wrapText="1"/>
    </xf>
    <xf numFmtId="0" fontId="1" fillId="25" borderId="2" xfId="0" applyFont="1" applyFill="1" applyBorder="1" applyAlignment="1">
      <alignment horizontal="center" wrapText="1"/>
    </xf>
    <xf numFmtId="0" fontId="1" fillId="24" borderId="2" xfId="0" applyFont="1" applyFill="1" applyBorder="1" applyAlignment="1">
      <alignment wrapText="1"/>
    </xf>
    <xf numFmtId="0" fontId="6" fillId="0" borderId="1" xfId="0" applyFont="1" applyBorder="1"/>
    <xf numFmtId="0" fontId="10" fillId="12" borderId="1" xfId="0" applyFont="1" applyFill="1" applyBorder="1"/>
    <xf numFmtId="0" fontId="6" fillId="12" borderId="1" xfId="0" applyFont="1" applyFill="1" applyBorder="1"/>
    <xf numFmtId="0" fontId="10" fillId="0" borderId="0" xfId="0" applyFont="1"/>
    <xf numFmtId="0" fontId="6" fillId="0" borderId="0" xfId="0" applyFont="1" applyAlignment="1">
      <alignment horizontal="right"/>
    </xf>
    <xf numFmtId="0" fontId="6" fillId="27" borderId="0" xfId="0" applyFont="1" applyFill="1"/>
    <xf numFmtId="0" fontId="6" fillId="24" borderId="0" xfId="0" applyFont="1" applyFill="1"/>
    <xf numFmtId="0" fontId="6" fillId="10" borderId="0" xfId="0" applyFont="1" applyFill="1" applyAlignment="1">
      <alignment horizontal="right"/>
    </xf>
    <xf numFmtId="0" fontId="6" fillId="0" borderId="0" xfId="0" applyFont="1"/>
    <xf numFmtId="0" fontId="6" fillId="22" borderId="0" xfId="0" applyFont="1" applyFill="1" applyAlignment="1">
      <alignment horizontal="right"/>
    </xf>
    <xf numFmtId="0" fontId="10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0" fillId="12" borderId="0" xfId="0" applyFont="1" applyFill="1"/>
    <xf numFmtId="0" fontId="6" fillId="0" borderId="0" xfId="0" applyFont="1" applyAlignment="1">
      <alignment horizontal="center"/>
    </xf>
    <xf numFmtId="0" fontId="11" fillId="0" borderId="1" xfId="0" applyFont="1" applyBorder="1"/>
    <xf numFmtId="0" fontId="6" fillId="28" borderId="1" xfId="0" applyFont="1" applyFill="1" applyBorder="1"/>
    <xf numFmtId="0" fontId="10" fillId="0" borderId="1" xfId="0" applyFont="1" applyBorder="1"/>
    <xf numFmtId="0" fontId="1" fillId="14" borderId="1" xfId="0" applyFont="1" applyFill="1" applyBorder="1"/>
    <xf numFmtId="0" fontId="10" fillId="14" borderId="1" xfId="0" applyFont="1" applyFill="1" applyBorder="1"/>
    <xf numFmtId="0" fontId="12" fillId="0" borderId="0" xfId="0" applyFont="1" applyAlignment="1">
      <alignment horizontal="center"/>
    </xf>
    <xf numFmtId="0" fontId="10" fillId="29" borderId="1" xfId="0" applyFont="1" applyFill="1" applyBorder="1"/>
    <xf numFmtId="168" fontId="13" fillId="12" borderId="0" xfId="0" applyNumberFormat="1" applyFont="1" applyFill="1" applyAlignment="1">
      <alignment horizontal="right"/>
    </xf>
    <xf numFmtId="0" fontId="13" fillId="12" borderId="1" xfId="0" applyFont="1" applyFill="1" applyBorder="1" applyAlignment="1">
      <alignment horizontal="right"/>
    </xf>
    <xf numFmtId="0" fontId="13" fillId="12" borderId="1" xfId="0" applyFont="1" applyFill="1" applyBorder="1" applyAlignment="1">
      <alignment horizontal="center"/>
    </xf>
    <xf numFmtId="20" fontId="14" fillId="26" borderId="0" xfId="0" applyNumberFormat="1" applyFont="1" applyFill="1"/>
    <xf numFmtId="0" fontId="10" fillId="10" borderId="1" xfId="0" applyFont="1" applyFill="1" applyBorder="1"/>
    <xf numFmtId="49" fontId="10" fillId="12" borderId="1" xfId="0" quotePrefix="1" applyNumberFormat="1" applyFont="1" applyFill="1" applyBorder="1" applyAlignment="1">
      <alignment horizontal="left"/>
    </xf>
    <xf numFmtId="0" fontId="10" fillId="12" borderId="1" xfId="0" applyFont="1" applyFill="1" applyBorder="1" applyAlignment="1">
      <alignment horizontal="left"/>
    </xf>
    <xf numFmtId="14" fontId="10" fillId="12" borderId="1" xfId="0" applyNumberFormat="1" applyFont="1" applyFill="1" applyBorder="1" applyAlignment="1">
      <alignment horizontal="left"/>
    </xf>
    <xf numFmtId="0" fontId="10" fillId="12" borderId="1" xfId="0" quotePrefix="1" applyFont="1" applyFill="1" applyBorder="1" applyAlignment="1">
      <alignment horizontal="left"/>
    </xf>
    <xf numFmtId="0" fontId="10" fillId="27" borderId="1" xfId="0" applyFont="1" applyFill="1" applyBorder="1"/>
    <xf numFmtId="0" fontId="10" fillId="24" borderId="1" xfId="0" applyFont="1" applyFill="1" applyBorder="1"/>
    <xf numFmtId="0" fontId="15" fillId="27" borderId="1" xfId="0" applyFont="1" applyFill="1" applyBorder="1"/>
    <xf numFmtId="0" fontId="10" fillId="18" borderId="1" xfId="0" applyFont="1" applyFill="1" applyBorder="1"/>
    <xf numFmtId="0" fontId="10" fillId="3" borderId="1" xfId="0" applyFont="1" applyFill="1" applyBorder="1"/>
    <xf numFmtId="0" fontId="15" fillId="3" borderId="1" xfId="0" applyFont="1" applyFill="1" applyBorder="1" applyAlignment="1">
      <alignment horizontal="right"/>
    </xf>
    <xf numFmtId="0" fontId="10" fillId="4" borderId="1" xfId="0" applyFont="1" applyFill="1" applyBorder="1"/>
    <xf numFmtId="0" fontId="10" fillId="13" borderId="1" xfId="0" applyFont="1" applyFill="1" applyBorder="1"/>
    <xf numFmtId="0" fontId="10" fillId="14" borderId="1" xfId="0" applyFont="1" applyFill="1" applyBorder="1" applyAlignment="1">
      <alignment horizontal="right"/>
    </xf>
    <xf numFmtId="0" fontId="10" fillId="15" borderId="1" xfId="0" applyFont="1" applyFill="1" applyBorder="1" applyAlignment="1">
      <alignment horizontal="right"/>
    </xf>
    <xf numFmtId="0" fontId="10" fillId="6" borderId="1" xfId="0" applyFont="1" applyFill="1" applyBorder="1" applyAlignment="1">
      <alignment horizontal="right"/>
    </xf>
    <xf numFmtId="0" fontId="10" fillId="6" borderId="1" xfId="0" applyFont="1" applyFill="1" applyBorder="1"/>
    <xf numFmtId="0" fontId="10" fillId="7" borderId="1" xfId="0" applyFont="1" applyFill="1" applyBorder="1" applyAlignment="1">
      <alignment horizontal="right"/>
    </xf>
    <xf numFmtId="0" fontId="10" fillId="7" borderId="1" xfId="0" applyFont="1" applyFill="1" applyBorder="1"/>
    <xf numFmtId="0" fontId="10" fillId="8" borderId="1" xfId="0" applyFont="1" applyFill="1" applyBorder="1" applyAlignment="1">
      <alignment horizontal="right"/>
    </xf>
    <xf numFmtId="0" fontId="10" fillId="8" borderId="1" xfId="0" applyFont="1" applyFill="1" applyBorder="1"/>
    <xf numFmtId="0" fontId="16" fillId="0" borderId="1" xfId="0" applyFont="1" applyBorder="1" applyAlignment="1">
      <alignment horizontal="right"/>
    </xf>
    <xf numFmtId="0" fontId="10" fillId="16" borderId="1" xfId="0" applyFont="1" applyFill="1" applyBorder="1" applyAlignment="1">
      <alignment horizontal="right"/>
    </xf>
    <xf numFmtId="0" fontId="10" fillId="17" borderId="1" xfId="0" applyFont="1" applyFill="1" applyBorder="1"/>
    <xf numFmtId="0" fontId="10" fillId="16" borderId="1" xfId="0" applyFont="1" applyFill="1" applyBorder="1"/>
    <xf numFmtId="0" fontId="10" fillId="11" borderId="1" xfId="0" applyFont="1" applyFill="1" applyBorder="1" applyAlignment="1">
      <alignment horizontal="right"/>
    </xf>
    <xf numFmtId="0" fontId="10" fillId="11" borderId="1" xfId="0" applyFont="1" applyFill="1" applyBorder="1"/>
    <xf numFmtId="0" fontId="10" fillId="9" borderId="1" xfId="0" applyFont="1" applyFill="1" applyBorder="1"/>
    <xf numFmtId="0" fontId="10" fillId="18" borderId="1" xfId="0" applyFont="1" applyFill="1" applyBorder="1" applyAlignment="1">
      <alignment horizontal="right"/>
    </xf>
    <xf numFmtId="0" fontId="10" fillId="19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20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7" fillId="0" borderId="0" xfId="0" applyFont="1"/>
    <xf numFmtId="0" fontId="18" fillId="0" borderId="1" xfId="0" applyFont="1" applyBorder="1"/>
    <xf numFmtId="0" fontId="16" fillId="12" borderId="1" xfId="0" applyFont="1" applyFill="1" applyBorder="1" applyAlignment="1">
      <alignment horizontal="right"/>
    </xf>
    <xf numFmtId="49" fontId="15" fillId="12" borderId="1" xfId="0" applyNumberFormat="1" applyFont="1" applyFill="1" applyBorder="1" applyAlignment="1">
      <alignment horizontal="left"/>
    </xf>
    <xf numFmtId="0" fontId="15" fillId="12" borderId="1" xfId="0" applyFont="1" applyFill="1" applyBorder="1" applyAlignment="1">
      <alignment horizontal="left"/>
    </xf>
    <xf numFmtId="14" fontId="15" fillId="12" borderId="1" xfId="0" applyNumberFormat="1" applyFont="1" applyFill="1" applyBorder="1" applyAlignment="1">
      <alignment horizontal="left"/>
    </xf>
    <xf numFmtId="0" fontId="15" fillId="12" borderId="1" xfId="0" applyFont="1" applyFill="1" applyBorder="1"/>
    <xf numFmtId="0" fontId="15" fillId="3" borderId="1" xfId="0" applyFont="1" applyFill="1" applyBorder="1"/>
    <xf numFmtId="0" fontId="15" fillId="13" borderId="1" xfId="0" applyFont="1" applyFill="1" applyBorder="1"/>
    <xf numFmtId="0" fontId="15" fillId="12" borderId="1" xfId="0" applyFont="1" applyFill="1" applyBorder="1" applyAlignment="1">
      <alignment wrapText="1"/>
    </xf>
    <xf numFmtId="164" fontId="10" fillId="0" borderId="1" xfId="0" applyNumberFormat="1" applyFont="1" applyBorder="1" applyAlignment="1">
      <alignment horizontal="left"/>
    </xf>
    <xf numFmtId="3" fontId="10" fillId="0" borderId="1" xfId="0" applyNumberFormat="1" applyFont="1" applyBorder="1" applyAlignment="1">
      <alignment horizontal="left"/>
    </xf>
    <xf numFmtId="168" fontId="13" fillId="12" borderId="1" xfId="0" applyNumberFormat="1" applyFont="1" applyFill="1" applyBorder="1" applyAlignment="1">
      <alignment horizontal="right"/>
    </xf>
    <xf numFmtId="0" fontId="10" fillId="21" borderId="1" xfId="0" applyFont="1" applyFill="1" applyBorder="1" applyAlignment="1">
      <alignment horizontal="left"/>
    </xf>
    <xf numFmtId="14" fontId="10" fillId="21" borderId="1" xfId="0" applyNumberFormat="1" applyFont="1" applyFill="1" applyBorder="1" applyAlignment="1">
      <alignment horizontal="left"/>
    </xf>
    <xf numFmtId="0" fontId="10" fillId="21" borderId="1" xfId="0" quotePrefix="1" applyFont="1" applyFill="1" applyBorder="1" applyAlignment="1">
      <alignment horizontal="left"/>
    </xf>
    <xf numFmtId="0" fontId="10" fillId="21" borderId="1" xfId="0" applyFont="1" applyFill="1" applyBorder="1"/>
    <xf numFmtId="0" fontId="10" fillId="27" borderId="1" xfId="0" applyFont="1" applyFill="1" applyBorder="1" applyAlignment="1">
      <alignment horizontal="right"/>
    </xf>
    <xf numFmtId="49" fontId="10" fillId="0" borderId="1" xfId="0" applyNumberFormat="1" applyFont="1" applyBorder="1" applyAlignment="1">
      <alignment horizontal="left"/>
    </xf>
    <xf numFmtId="0" fontId="10" fillId="12" borderId="1" xfId="0" applyFont="1" applyFill="1" applyBorder="1" applyAlignment="1">
      <alignment horizontal="right"/>
    </xf>
    <xf numFmtId="0" fontId="10" fillId="13" borderId="1" xfId="0" applyFont="1" applyFill="1" applyBorder="1" applyAlignment="1">
      <alignment horizontal="right"/>
    </xf>
    <xf numFmtId="0" fontId="13" fillId="12" borderId="0" xfId="0" applyFont="1" applyFill="1" applyAlignment="1">
      <alignment horizontal="right"/>
    </xf>
    <xf numFmtId="0" fontId="15" fillId="18" borderId="1" xfId="0" applyFont="1" applyFill="1" applyBorder="1"/>
    <xf numFmtId="0" fontId="10" fillId="9" borderId="1" xfId="0" applyFont="1" applyFill="1" applyBorder="1" applyAlignment="1">
      <alignment horizontal="right"/>
    </xf>
    <xf numFmtId="0" fontId="15" fillId="12" borderId="1" xfId="0" applyFont="1" applyFill="1" applyBorder="1" applyAlignment="1">
      <alignment horizontal="right"/>
    </xf>
    <xf numFmtId="0" fontId="15" fillId="13" borderId="1" xfId="0" applyFont="1" applyFill="1" applyBorder="1" applyAlignment="1">
      <alignment horizontal="right"/>
    </xf>
    <xf numFmtId="0" fontId="10" fillId="21" borderId="1" xfId="0" applyFont="1" applyFill="1" applyBorder="1" applyAlignment="1">
      <alignment horizontal="right"/>
    </xf>
    <xf numFmtId="14" fontId="10" fillId="0" borderId="1" xfId="0" applyNumberFormat="1" applyFont="1" applyBorder="1" applyAlignment="1">
      <alignment horizontal="left"/>
    </xf>
    <xf numFmtId="0" fontId="10" fillId="3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right"/>
    </xf>
    <xf numFmtId="0" fontId="10" fillId="17" borderId="1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168" fontId="10" fillId="12" borderId="1" xfId="0" applyNumberFormat="1" applyFont="1" applyFill="1" applyBorder="1" applyAlignment="1">
      <alignment horizontal="right"/>
    </xf>
    <xf numFmtId="0" fontId="6" fillId="0" borderId="1" xfId="0" quotePrefix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13" borderId="1" xfId="0" applyFont="1" applyFill="1" applyBorder="1"/>
    <xf numFmtId="0" fontId="6" fillId="17" borderId="1" xfId="0" applyFont="1" applyFill="1" applyBorder="1"/>
    <xf numFmtId="0" fontId="6" fillId="11" borderId="1" xfId="0" applyFont="1" applyFill="1" applyBorder="1"/>
    <xf numFmtId="0" fontId="6" fillId="9" borderId="1" xfId="0" applyFont="1" applyFill="1" applyBorder="1"/>
    <xf numFmtId="165" fontId="10" fillId="0" borderId="1" xfId="0" applyNumberFormat="1" applyFont="1" applyBorder="1" applyAlignment="1">
      <alignment horizontal="left"/>
    </xf>
    <xf numFmtId="0" fontId="15" fillId="21" borderId="1" xfId="0" applyFont="1" applyFill="1" applyBorder="1" applyAlignment="1">
      <alignment horizontal="left"/>
    </xf>
    <xf numFmtId="14" fontId="15" fillId="21" borderId="1" xfId="0" applyNumberFormat="1" applyFont="1" applyFill="1" applyBorder="1" applyAlignment="1">
      <alignment horizontal="left"/>
    </xf>
    <xf numFmtId="0" fontId="15" fillId="21" borderId="1" xfId="0" applyFont="1" applyFill="1" applyBorder="1" applyAlignment="1">
      <alignment horizontal="right"/>
    </xf>
    <xf numFmtId="0" fontId="19" fillId="12" borderId="1" xfId="0" applyFont="1" applyFill="1" applyBorder="1" applyAlignment="1">
      <alignment horizontal="right"/>
    </xf>
    <xf numFmtId="0" fontId="15" fillId="21" borderId="1" xfId="0" applyFont="1" applyFill="1" applyBorder="1"/>
    <xf numFmtId="0" fontId="20" fillId="12" borderId="1" xfId="0" quotePrefix="1" applyFont="1" applyFill="1" applyBorder="1" applyAlignment="1">
      <alignment horizontal="left"/>
    </xf>
    <xf numFmtId="0" fontId="20" fillId="12" borderId="1" xfId="0" applyFont="1" applyFill="1" applyBorder="1" applyAlignment="1">
      <alignment horizontal="left"/>
    </xf>
    <xf numFmtId="14" fontId="20" fillId="12" borderId="1" xfId="0" applyNumberFormat="1" applyFont="1" applyFill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10" fillId="23" borderId="1" xfId="0" quotePrefix="1" applyFont="1" applyFill="1" applyBorder="1" applyAlignment="1">
      <alignment horizontal="left"/>
    </xf>
    <xf numFmtId="0" fontId="15" fillId="23" borderId="1" xfId="0" applyFont="1" applyFill="1" applyBorder="1" applyAlignment="1">
      <alignment horizontal="left"/>
    </xf>
    <xf numFmtId="0" fontId="10" fillId="23" borderId="1" xfId="0" applyFont="1" applyFill="1" applyBorder="1" applyAlignment="1">
      <alignment horizontal="right"/>
    </xf>
    <xf numFmtId="166" fontId="10" fillId="0" borderId="1" xfId="0" applyNumberFormat="1" applyFont="1" applyBorder="1" applyAlignment="1">
      <alignment horizontal="left"/>
    </xf>
    <xf numFmtId="167" fontId="10" fillId="0" borderId="1" xfId="0" applyNumberFormat="1" applyFont="1" applyBorder="1" applyAlignment="1">
      <alignment horizontal="left"/>
    </xf>
    <xf numFmtId="20" fontId="18" fillId="0" borderId="1" xfId="0" applyNumberFormat="1" applyFont="1" applyBorder="1"/>
    <xf numFmtId="0" fontId="6" fillId="7" borderId="1" xfId="0" applyFont="1" applyFill="1" applyBorder="1"/>
    <xf numFmtId="0" fontId="16" fillId="0" borderId="1" xfId="0" applyFont="1" applyBorder="1"/>
    <xf numFmtId="0" fontId="15" fillId="18" borderId="1" xfId="0" applyFont="1" applyFill="1" applyBorder="1" applyAlignment="1">
      <alignment horizontal="right"/>
    </xf>
    <xf numFmtId="20" fontId="10" fillId="0" borderId="1" xfId="0" applyNumberFormat="1" applyFont="1" applyBorder="1"/>
    <xf numFmtId="0" fontId="10" fillId="23" borderId="1" xfId="0" applyFont="1" applyFill="1" applyBorder="1" applyAlignment="1">
      <alignment horizontal="left"/>
    </xf>
    <xf numFmtId="0" fontId="20" fillId="21" borderId="1" xfId="0" applyFont="1" applyFill="1" applyBorder="1"/>
    <xf numFmtId="0" fontId="20" fillId="21" borderId="1" xfId="0" applyFont="1" applyFill="1" applyBorder="1" applyAlignment="1">
      <alignment horizontal="left"/>
    </xf>
    <xf numFmtId="14" fontId="20" fillId="21" borderId="1" xfId="0" applyNumberFormat="1" applyFont="1" applyFill="1" applyBorder="1" applyAlignment="1">
      <alignment horizontal="left"/>
    </xf>
    <xf numFmtId="0" fontId="20" fillId="21" borderId="1" xfId="0" quotePrefix="1" applyFont="1" applyFill="1" applyBorder="1"/>
    <xf numFmtId="0" fontId="0" fillId="30" borderId="0" xfId="0" applyFill="1"/>
    <xf numFmtId="0" fontId="12" fillId="0" borderId="5" xfId="0" applyFont="1" applyBorder="1" applyAlignment="1">
      <alignment horizontal="center"/>
    </xf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P999"/>
  <sheetViews>
    <sheetView tabSelected="1" workbookViewId="0">
      <pane xSplit="14" ySplit="1" topLeftCell="O2" activePane="bottomRight" state="frozen"/>
      <selection pane="topRight" activeCell="M1" sqref="M1"/>
      <selection pane="bottomLeft" activeCell="A2" sqref="A2"/>
      <selection pane="bottomRight" activeCell="N3" sqref="N3"/>
    </sheetView>
  </sheetViews>
  <sheetFormatPr baseColWidth="10" defaultColWidth="12.6640625" defaultRowHeight="15.75" customHeight="1"/>
  <cols>
    <col min="1" max="1" width="4.109375" customWidth="1"/>
    <col min="2" max="2" width="3.6640625" customWidth="1"/>
    <col min="3" max="3" width="6" customWidth="1"/>
    <col min="4" max="4" width="11.109375" customWidth="1"/>
    <col min="5" max="5" width="13" customWidth="1"/>
    <col min="6" max="6" width="4.6640625" customWidth="1"/>
    <col min="7" max="7" width="8.33203125" customWidth="1"/>
    <col min="8" max="10" width="7.109375" customWidth="1"/>
    <col min="11" max="11" width="7.33203125" customWidth="1"/>
    <col min="12" max="12" width="7.6640625" customWidth="1"/>
    <col min="13" max="13" width="6.6640625" customWidth="1"/>
    <col min="14" max="14" width="13.6640625" customWidth="1"/>
    <col min="15" max="15" width="5.6640625" customWidth="1"/>
    <col min="16" max="16" width="8.6640625" customWidth="1"/>
    <col min="17" max="17" width="6.6640625" customWidth="1"/>
    <col min="18" max="18" width="10.6640625" customWidth="1"/>
    <col min="19" max="19" width="5.6640625" customWidth="1"/>
    <col min="20" max="20" width="9.44140625" customWidth="1"/>
    <col min="22" max="22" width="10.109375" customWidth="1"/>
    <col min="23" max="23" width="8.33203125" customWidth="1"/>
    <col min="24" max="24" width="8" customWidth="1"/>
    <col min="25" max="25" width="16.44140625" customWidth="1"/>
    <col min="28" max="28" width="19.109375" customWidth="1"/>
    <col min="29" max="29" width="21.109375" customWidth="1"/>
    <col min="30" max="30" width="8.33203125" customWidth="1"/>
    <col min="31" max="31" width="15.109375" customWidth="1"/>
    <col min="32" max="32" width="12.109375" customWidth="1"/>
    <col min="33" max="33" width="31" customWidth="1"/>
    <col min="34" max="34" width="21.33203125" customWidth="1"/>
    <col min="35" max="35" width="11.109375" customWidth="1"/>
    <col min="36" max="36" width="18.33203125" customWidth="1"/>
    <col min="37" max="37" width="41.33203125" customWidth="1"/>
    <col min="38" max="38" width="9.33203125" customWidth="1"/>
    <col min="39" max="39" width="7.33203125" customWidth="1"/>
    <col min="40" max="40" width="8.44140625" customWidth="1"/>
    <col min="41" max="41" width="7.109375" customWidth="1"/>
    <col min="42" max="42" width="8.6640625" customWidth="1"/>
    <col min="43" max="43" width="8.109375" customWidth="1"/>
    <col min="44" max="44" width="6.44140625" customWidth="1"/>
    <col min="45" max="45" width="8.33203125" customWidth="1"/>
    <col min="46" max="46" width="10.6640625" customWidth="1"/>
    <col min="47" max="59" width="8.33203125" customWidth="1"/>
    <col min="60" max="60" width="15.109375" customWidth="1"/>
    <col min="61" max="62" width="8.33203125" customWidth="1"/>
    <col min="63" max="89" width="15.109375" customWidth="1"/>
    <col min="90" max="90" width="8.44140625" customWidth="1"/>
    <col min="91" max="91" width="9.33203125" customWidth="1"/>
    <col min="92" max="92" width="6.109375" customWidth="1"/>
    <col min="93" max="93" width="8.6640625" customWidth="1"/>
    <col min="94" max="94" width="9" customWidth="1"/>
    <col min="95" max="95" width="8" customWidth="1"/>
    <col min="96" max="96" width="8.109375" customWidth="1"/>
    <col min="97" max="97" width="8" customWidth="1"/>
    <col min="98" max="98" width="8.109375" customWidth="1"/>
    <col min="99" max="102" width="15.109375" customWidth="1"/>
    <col min="103" max="103" width="10.44140625" customWidth="1"/>
    <col min="104" max="104" width="9.109375" customWidth="1"/>
    <col min="105" max="105" width="9.6640625" customWidth="1"/>
    <col min="106" max="106" width="9.44140625" customWidth="1"/>
    <col min="107" max="118" width="15.109375" customWidth="1"/>
    <col min="119" max="119" width="10.44140625" customWidth="1"/>
    <col min="120" max="120" width="17.109375" customWidth="1"/>
    <col min="121" max="121" width="6.6640625" customWidth="1"/>
    <col min="122" max="122" width="7.33203125" customWidth="1"/>
    <col min="123" max="123" width="7.109375" customWidth="1"/>
    <col min="124" max="124" width="7.6640625" customWidth="1"/>
    <col min="125" max="125" width="7.44140625" customWidth="1"/>
    <col min="126" max="126" width="7.109375" customWidth="1"/>
    <col min="127" max="127" width="7" customWidth="1"/>
    <col min="128" max="128" width="6.6640625" customWidth="1"/>
    <col min="129" max="130" width="7.109375" customWidth="1"/>
    <col min="132" max="133" width="7.109375" customWidth="1"/>
    <col min="134" max="134" width="6.6640625" customWidth="1"/>
    <col min="138" max="138" width="17" customWidth="1"/>
    <col min="139" max="139" width="15.6640625" customWidth="1"/>
    <col min="147" max="147" width="23.109375" customWidth="1"/>
    <col min="148" max="148" width="26.109375" customWidth="1"/>
    <col min="149" max="149" width="24.44140625" customWidth="1"/>
    <col min="150" max="150" width="20.33203125" customWidth="1"/>
    <col min="151" max="151" width="20.6640625" customWidth="1"/>
    <col min="152" max="152" width="23.6640625" customWidth="1"/>
    <col min="153" max="153" width="19.109375" customWidth="1"/>
    <col min="154" max="154" width="18.109375" customWidth="1"/>
    <col min="155" max="155" width="18.44140625" customWidth="1"/>
    <col min="156" max="156" width="21.44140625" customWidth="1"/>
    <col min="163" max="163" width="14.6640625" customWidth="1"/>
    <col min="164" max="164" width="20.6640625" customWidth="1"/>
    <col min="165" max="165" width="20.44140625" customWidth="1"/>
    <col min="166" max="166" width="22.6640625" customWidth="1"/>
    <col min="167" max="167" width="22" customWidth="1"/>
    <col min="168" max="168" width="17" customWidth="1"/>
    <col min="169" max="169" width="24.109375" customWidth="1"/>
    <col min="170" max="170" width="7.33203125" customWidth="1"/>
    <col min="171" max="171" width="11" customWidth="1"/>
    <col min="172" max="172" width="21.6640625" customWidth="1"/>
    <col min="173" max="173" width="18" customWidth="1"/>
    <col min="174" max="174" width="18.6640625" customWidth="1"/>
    <col min="181" max="181" width="14.44140625" customWidth="1"/>
    <col min="186" max="186" width="7.6640625" customWidth="1"/>
    <col min="187" max="187" width="10.109375" customWidth="1"/>
    <col min="188" max="188" width="9.33203125" customWidth="1"/>
    <col min="189" max="189" width="11.109375" customWidth="1"/>
    <col min="190" max="190" width="12.109375" customWidth="1"/>
    <col min="191" max="191" width="10" customWidth="1"/>
    <col min="192" max="192" width="12.109375" customWidth="1"/>
    <col min="193" max="193" width="9.6640625" customWidth="1"/>
    <col min="194" max="194" width="9.109375" customWidth="1"/>
    <col min="195" max="195" width="13.109375" customWidth="1"/>
    <col min="196" max="196" width="11.109375" customWidth="1"/>
    <col min="197" max="197" width="10.109375" customWidth="1"/>
    <col min="198" max="198" width="10.44140625" customWidth="1"/>
    <col min="199" max="199" width="9" customWidth="1"/>
    <col min="200" max="200" width="7.6640625" customWidth="1"/>
    <col min="201" max="201" width="12.6640625" customWidth="1"/>
    <col min="202" max="202" width="11.6640625" customWidth="1"/>
    <col min="203" max="203" width="9.109375" customWidth="1"/>
    <col min="204" max="204" width="15.6640625" customWidth="1"/>
    <col min="205" max="205" width="7.33203125" customWidth="1"/>
    <col min="206" max="206" width="9.6640625" customWidth="1"/>
    <col min="207" max="207" width="8.44140625" customWidth="1"/>
    <col min="208" max="208" width="7.33203125" customWidth="1"/>
    <col min="209" max="209" width="20.6640625" customWidth="1"/>
    <col min="210" max="210" width="18.33203125" customWidth="1"/>
    <col min="211" max="211" width="8.33203125" customWidth="1"/>
    <col min="212" max="212" width="11.109375" customWidth="1"/>
    <col min="213" max="213" width="21.109375" customWidth="1"/>
    <col min="214" max="214" width="11.6640625" customWidth="1"/>
    <col min="217" max="217" width="16.33203125" customWidth="1"/>
    <col min="222" max="222" width="18.6640625" customWidth="1"/>
    <col min="245" max="245" width="14.6640625" customWidth="1"/>
    <col min="265" max="265" width="12.6640625" hidden="1"/>
    <col min="267" max="267" width="13.33203125" customWidth="1"/>
    <col min="268" max="275" width="14.109375" customWidth="1"/>
    <col min="277" max="277" width="14.6640625" customWidth="1"/>
    <col min="278" max="283" width="14.109375" customWidth="1"/>
    <col min="286" max="286" width="12.6640625" customWidth="1"/>
    <col min="301" max="301" width="15.109375" customWidth="1"/>
    <col min="302" max="302" width="15.33203125" customWidth="1"/>
    <col min="303" max="303" width="14.6640625" customWidth="1"/>
    <col min="304" max="304" width="15.33203125" customWidth="1"/>
    <col min="307" max="307" width="16.6640625" customWidth="1"/>
    <col min="308" max="308" width="17.6640625" customWidth="1"/>
    <col min="310" max="310" width="16.109375" customWidth="1"/>
    <col min="311" max="311" width="15.6640625" customWidth="1"/>
    <col min="312" max="312" width="17" customWidth="1"/>
  </cols>
  <sheetData>
    <row r="1" spans="1:328" ht="36.6" customHeight="1">
      <c r="A1" s="1" t="s">
        <v>532</v>
      </c>
      <c r="B1" s="29" t="s">
        <v>533</v>
      </c>
      <c r="C1" s="30" t="s">
        <v>745</v>
      </c>
      <c r="D1" s="30" t="s">
        <v>746</v>
      </c>
      <c r="E1" s="30" t="s">
        <v>747</v>
      </c>
      <c r="F1" s="30" t="s">
        <v>534</v>
      </c>
      <c r="G1" s="30" t="s">
        <v>535</v>
      </c>
      <c r="H1" s="30" t="s">
        <v>536</v>
      </c>
      <c r="I1" s="30" t="s">
        <v>974</v>
      </c>
      <c r="J1" s="30" t="s">
        <v>975</v>
      </c>
      <c r="K1" s="30" t="s">
        <v>537</v>
      </c>
      <c r="L1" s="30" t="s">
        <v>538</v>
      </c>
      <c r="M1" s="30" t="s">
        <v>539</v>
      </c>
      <c r="N1" s="1" t="s">
        <v>0</v>
      </c>
      <c r="O1" s="31" t="s">
        <v>540</v>
      </c>
      <c r="P1" s="4" t="s">
        <v>541</v>
      </c>
      <c r="Q1" s="32" t="s">
        <v>542</v>
      </c>
      <c r="R1" s="3" t="s">
        <v>543</v>
      </c>
      <c r="S1" s="3" t="s">
        <v>2</v>
      </c>
      <c r="T1" s="3" t="s">
        <v>3</v>
      </c>
      <c r="U1" s="3" t="s">
        <v>4</v>
      </c>
      <c r="V1" s="32" t="s">
        <v>544</v>
      </c>
      <c r="W1" s="32" t="s">
        <v>545</v>
      </c>
      <c r="X1" s="32" t="s">
        <v>546</v>
      </c>
      <c r="Y1" s="3" t="s">
        <v>5</v>
      </c>
      <c r="Z1" s="3" t="s">
        <v>6</v>
      </c>
      <c r="AA1" s="4" t="s">
        <v>7</v>
      </c>
      <c r="AB1" s="3" t="s">
        <v>8</v>
      </c>
      <c r="AC1" s="3" t="s">
        <v>547</v>
      </c>
      <c r="AD1" s="3" t="s">
        <v>548</v>
      </c>
      <c r="AE1" s="3" t="s">
        <v>549</v>
      </c>
      <c r="AF1" s="32" t="s">
        <v>550</v>
      </c>
      <c r="AG1" s="32" t="s">
        <v>551</v>
      </c>
      <c r="AH1" s="32" t="s">
        <v>552</v>
      </c>
      <c r="AI1" s="32" t="s">
        <v>553</v>
      </c>
      <c r="AJ1" s="32" t="s">
        <v>554</v>
      </c>
      <c r="AK1" s="4" t="s">
        <v>555</v>
      </c>
      <c r="AL1" s="33" t="s">
        <v>556</v>
      </c>
      <c r="AM1" s="34" t="s">
        <v>557</v>
      </c>
      <c r="AN1" s="34" t="s">
        <v>558</v>
      </c>
      <c r="AO1" s="34" t="s">
        <v>559</v>
      </c>
      <c r="AP1" s="34" t="s">
        <v>560</v>
      </c>
      <c r="AQ1" s="34" t="s">
        <v>561</v>
      </c>
      <c r="AR1" s="34" t="s">
        <v>562</v>
      </c>
      <c r="AS1" s="34" t="s">
        <v>563</v>
      </c>
      <c r="AT1" s="35" t="s">
        <v>564</v>
      </c>
      <c r="AU1" s="36" t="s">
        <v>565</v>
      </c>
      <c r="AV1" s="37" t="s">
        <v>566</v>
      </c>
      <c r="AW1" s="37" t="s">
        <v>567</v>
      </c>
      <c r="AX1" s="37" t="s">
        <v>568</v>
      </c>
      <c r="AY1" s="35" t="s">
        <v>569</v>
      </c>
      <c r="AZ1" s="36" t="s">
        <v>570</v>
      </c>
      <c r="BA1" s="37" t="s">
        <v>571</v>
      </c>
      <c r="BB1" s="37" t="s">
        <v>572</v>
      </c>
      <c r="BC1" s="37" t="s">
        <v>573</v>
      </c>
      <c r="BD1" s="37" t="s">
        <v>574</v>
      </c>
      <c r="BE1" s="37" t="s">
        <v>575</v>
      </c>
      <c r="BF1" s="37" t="s">
        <v>576</v>
      </c>
      <c r="BG1" s="37" t="s">
        <v>577</v>
      </c>
      <c r="BH1" s="35" t="s">
        <v>578</v>
      </c>
      <c r="BI1" s="37" t="s">
        <v>579</v>
      </c>
      <c r="BJ1" s="37" t="s">
        <v>580</v>
      </c>
      <c r="BK1" s="35" t="s">
        <v>581</v>
      </c>
      <c r="BL1" s="37" t="s">
        <v>582</v>
      </c>
      <c r="BM1" s="37" t="s">
        <v>583</v>
      </c>
      <c r="BN1" s="37" t="s">
        <v>584</v>
      </c>
      <c r="BO1" s="37" t="s">
        <v>585</v>
      </c>
      <c r="BP1" s="37" t="s">
        <v>586</v>
      </c>
      <c r="BQ1" s="37" t="s">
        <v>587</v>
      </c>
      <c r="BR1" s="37" t="s">
        <v>588</v>
      </c>
      <c r="BS1" s="37" t="s">
        <v>589</v>
      </c>
      <c r="BT1" s="35" t="s">
        <v>590</v>
      </c>
      <c r="BU1" s="38" t="s">
        <v>591</v>
      </c>
      <c r="BV1" s="5" t="s">
        <v>9</v>
      </c>
      <c r="BW1" s="6" t="s">
        <v>10</v>
      </c>
      <c r="BX1" s="7" t="s">
        <v>11</v>
      </c>
      <c r="BY1" s="7" t="s">
        <v>12</v>
      </c>
      <c r="BZ1" s="7" t="s">
        <v>13</v>
      </c>
      <c r="CA1" s="8" t="s">
        <v>14</v>
      </c>
      <c r="CB1" s="7" t="s">
        <v>15</v>
      </c>
      <c r="CC1" s="6" t="s">
        <v>16</v>
      </c>
      <c r="CD1" s="6" t="s">
        <v>17</v>
      </c>
      <c r="CE1" s="8" t="s">
        <v>18</v>
      </c>
      <c r="CF1" s="7" t="s">
        <v>19</v>
      </c>
      <c r="CG1" s="9" t="s">
        <v>20</v>
      </c>
      <c r="CH1" s="7" t="s">
        <v>21</v>
      </c>
      <c r="CI1" s="7" t="s">
        <v>22</v>
      </c>
      <c r="CJ1" s="7" t="s">
        <v>23</v>
      </c>
      <c r="CK1" s="10" t="s">
        <v>24</v>
      </c>
      <c r="CL1" s="5" t="s">
        <v>25</v>
      </c>
      <c r="CM1" s="6" t="s">
        <v>26</v>
      </c>
      <c r="CN1" s="6" t="s">
        <v>27</v>
      </c>
      <c r="CO1" s="6" t="s">
        <v>28</v>
      </c>
      <c r="CP1" s="6" t="s">
        <v>29</v>
      </c>
      <c r="CQ1" s="6" t="s">
        <v>30</v>
      </c>
      <c r="CR1" s="6" t="s">
        <v>31</v>
      </c>
      <c r="CS1" s="6" t="s">
        <v>32</v>
      </c>
      <c r="CT1" s="6" t="s">
        <v>33</v>
      </c>
      <c r="CU1" s="6" t="s">
        <v>34</v>
      </c>
      <c r="CV1" s="6" t="s">
        <v>35</v>
      </c>
      <c r="CW1" s="6" t="s">
        <v>36</v>
      </c>
      <c r="CX1" s="6" t="s">
        <v>37</v>
      </c>
      <c r="CY1" s="11" t="s">
        <v>38</v>
      </c>
      <c r="CZ1" s="11" t="s">
        <v>39</v>
      </c>
      <c r="DA1" s="6" t="s">
        <v>40</v>
      </c>
      <c r="DB1" s="6" t="s">
        <v>41</v>
      </c>
      <c r="DC1" s="6" t="s">
        <v>42</v>
      </c>
      <c r="DD1" s="6" t="s">
        <v>43</v>
      </c>
      <c r="DE1" s="6" t="s">
        <v>44</v>
      </c>
      <c r="DF1" s="6" t="s">
        <v>45</v>
      </c>
      <c r="DG1" s="6" t="s">
        <v>46</v>
      </c>
      <c r="DH1" s="6" t="s">
        <v>47</v>
      </c>
      <c r="DI1" s="6" t="s">
        <v>48</v>
      </c>
      <c r="DJ1" s="6" t="s">
        <v>49</v>
      </c>
      <c r="DK1" s="6" t="s">
        <v>50</v>
      </c>
      <c r="DL1" s="6" t="s">
        <v>51</v>
      </c>
      <c r="DM1" s="6" t="s">
        <v>52</v>
      </c>
      <c r="DN1" s="12" t="s">
        <v>53</v>
      </c>
      <c r="DO1" s="4" t="s">
        <v>54</v>
      </c>
      <c r="DP1" s="4" t="s">
        <v>55</v>
      </c>
      <c r="DQ1" s="4" t="s">
        <v>56</v>
      </c>
      <c r="DR1" s="4" t="s">
        <v>57</v>
      </c>
      <c r="DS1" s="4" t="s">
        <v>58</v>
      </c>
      <c r="DT1" s="4" t="s">
        <v>59</v>
      </c>
      <c r="DU1" s="4" t="s">
        <v>60</v>
      </c>
      <c r="DV1" s="4" t="s">
        <v>61</v>
      </c>
      <c r="DW1" s="4" t="s">
        <v>62</v>
      </c>
      <c r="DX1" s="4" t="s">
        <v>63</v>
      </c>
      <c r="DY1" s="4" t="s">
        <v>64</v>
      </c>
      <c r="DZ1" s="4" t="s">
        <v>65</v>
      </c>
      <c r="EA1" s="4" t="s">
        <v>66</v>
      </c>
      <c r="EB1" s="4" t="s">
        <v>67</v>
      </c>
      <c r="EC1" s="4" t="s">
        <v>68</v>
      </c>
      <c r="ED1" s="4" t="s">
        <v>69</v>
      </c>
      <c r="EE1" s="4" t="s">
        <v>70</v>
      </c>
      <c r="EF1" s="4" t="s">
        <v>71</v>
      </c>
      <c r="EG1" s="4" t="s">
        <v>72</v>
      </c>
      <c r="EH1" s="4" t="s">
        <v>748</v>
      </c>
      <c r="EI1" s="4" t="s">
        <v>749</v>
      </c>
      <c r="EJ1" s="4" t="s">
        <v>73</v>
      </c>
      <c r="EK1" s="4" t="s">
        <v>74</v>
      </c>
      <c r="EL1" s="4" t="s">
        <v>75</v>
      </c>
      <c r="EM1" s="4" t="s">
        <v>76</v>
      </c>
      <c r="EN1" s="4" t="s">
        <v>77</v>
      </c>
      <c r="EO1" s="4" t="s">
        <v>78</v>
      </c>
      <c r="EP1" s="4" t="s">
        <v>79</v>
      </c>
      <c r="EQ1" s="4" t="s">
        <v>80</v>
      </c>
      <c r="ER1" s="4" t="s">
        <v>81</v>
      </c>
      <c r="ES1" s="4" t="s">
        <v>82</v>
      </c>
      <c r="ET1" s="4" t="s">
        <v>83</v>
      </c>
      <c r="EU1" s="4" t="s">
        <v>84</v>
      </c>
      <c r="EV1" s="4" t="s">
        <v>85</v>
      </c>
      <c r="EW1" s="4" t="s">
        <v>86</v>
      </c>
      <c r="EX1" s="4" t="s">
        <v>87</v>
      </c>
      <c r="EY1" s="4" t="s">
        <v>88</v>
      </c>
      <c r="EZ1" s="4" t="s">
        <v>89</v>
      </c>
      <c r="FA1" s="4" t="s">
        <v>90</v>
      </c>
      <c r="FB1" s="4" t="s">
        <v>91</v>
      </c>
      <c r="FC1" s="4" t="s">
        <v>750</v>
      </c>
      <c r="FD1" s="13" t="s">
        <v>92</v>
      </c>
      <c r="FE1" s="13" t="s">
        <v>93</v>
      </c>
      <c r="FF1" s="4" t="s">
        <v>94</v>
      </c>
      <c r="FG1" s="4" t="s">
        <v>95</v>
      </c>
      <c r="FH1" s="4" t="s">
        <v>96</v>
      </c>
      <c r="FI1" s="4" t="s">
        <v>97</v>
      </c>
      <c r="FJ1" s="4" t="s">
        <v>98</v>
      </c>
      <c r="FK1" s="4" t="s">
        <v>99</v>
      </c>
      <c r="FL1" s="4" t="s">
        <v>100</v>
      </c>
      <c r="FM1" s="4" t="s">
        <v>101</v>
      </c>
      <c r="FN1" s="14" t="s">
        <v>102</v>
      </c>
      <c r="FO1" s="15" t="s">
        <v>103</v>
      </c>
      <c r="FP1" s="4" t="s">
        <v>104</v>
      </c>
      <c r="FQ1" s="4" t="s">
        <v>105</v>
      </c>
      <c r="FR1" s="4" t="s">
        <v>106</v>
      </c>
      <c r="FS1" s="4" t="s">
        <v>107</v>
      </c>
      <c r="FT1" s="4" t="s">
        <v>108</v>
      </c>
      <c r="FU1" s="4" t="s">
        <v>109</v>
      </c>
      <c r="FV1" s="4" t="s">
        <v>110</v>
      </c>
      <c r="FW1" s="4" t="s">
        <v>111</v>
      </c>
      <c r="FX1" s="4" t="s">
        <v>112</v>
      </c>
      <c r="FY1" s="4" t="s">
        <v>113</v>
      </c>
      <c r="FZ1" s="16" t="s">
        <v>114</v>
      </c>
      <c r="GA1" s="16" t="s">
        <v>115</v>
      </c>
      <c r="GB1" s="2" t="s">
        <v>116</v>
      </c>
      <c r="GC1" s="2" t="s">
        <v>751</v>
      </c>
      <c r="GD1" s="2" t="s">
        <v>117</v>
      </c>
      <c r="GE1" s="2" t="s">
        <v>118</v>
      </c>
      <c r="GF1" s="2" t="s">
        <v>119</v>
      </c>
      <c r="GG1" s="2" t="s">
        <v>120</v>
      </c>
      <c r="GH1" s="2" t="s">
        <v>121</v>
      </c>
      <c r="GI1" s="2" t="s">
        <v>122</v>
      </c>
      <c r="GJ1" s="2" t="s">
        <v>123</v>
      </c>
      <c r="GK1" s="4" t="s">
        <v>124</v>
      </c>
      <c r="GL1" s="2" t="s">
        <v>125</v>
      </c>
      <c r="GM1" s="2" t="s">
        <v>126</v>
      </c>
      <c r="GN1" s="2" t="s">
        <v>127</v>
      </c>
      <c r="GO1" s="2" t="s">
        <v>128</v>
      </c>
      <c r="GP1" s="2" t="s">
        <v>129</v>
      </c>
      <c r="GQ1" s="2" t="s">
        <v>130</v>
      </c>
      <c r="GR1" s="2" t="s">
        <v>131</v>
      </c>
      <c r="GS1" s="2" t="s">
        <v>132</v>
      </c>
      <c r="GT1" s="2" t="s">
        <v>133</v>
      </c>
      <c r="GU1" s="2" t="s">
        <v>134</v>
      </c>
      <c r="GV1" s="4" t="s">
        <v>135</v>
      </c>
      <c r="GW1" s="4" t="s">
        <v>136</v>
      </c>
      <c r="GX1" s="4" t="s">
        <v>137</v>
      </c>
      <c r="GY1" s="4" t="s">
        <v>138</v>
      </c>
      <c r="GZ1" s="4" t="s">
        <v>139</v>
      </c>
      <c r="HA1" s="4" t="s">
        <v>140</v>
      </c>
      <c r="HB1" s="4" t="s">
        <v>141</v>
      </c>
      <c r="HC1" s="4" t="s">
        <v>142</v>
      </c>
      <c r="HD1" s="4" t="s">
        <v>143</v>
      </c>
      <c r="HE1" s="4" t="s">
        <v>144</v>
      </c>
      <c r="HF1" s="4" t="s">
        <v>145</v>
      </c>
      <c r="HG1" s="4" t="s">
        <v>146</v>
      </c>
      <c r="HH1" s="4" t="s">
        <v>147</v>
      </c>
      <c r="HI1" s="4" t="s">
        <v>148</v>
      </c>
      <c r="HJ1" s="4" t="s">
        <v>149</v>
      </c>
      <c r="HK1" s="4" t="s">
        <v>150</v>
      </c>
      <c r="HL1" s="4" t="s">
        <v>151</v>
      </c>
      <c r="HM1" s="4" t="s">
        <v>152</v>
      </c>
      <c r="HN1" s="4" t="s">
        <v>153</v>
      </c>
      <c r="HO1" s="4" t="s">
        <v>154</v>
      </c>
      <c r="HP1" s="4" t="s">
        <v>155</v>
      </c>
      <c r="HQ1" s="4" t="s">
        <v>156</v>
      </c>
      <c r="HR1" s="4" t="s">
        <v>157</v>
      </c>
      <c r="HS1" s="4" t="s">
        <v>158</v>
      </c>
      <c r="HT1" s="4" t="s">
        <v>159</v>
      </c>
      <c r="HU1" s="4" t="s">
        <v>160</v>
      </c>
      <c r="HV1" s="4" t="s">
        <v>161</v>
      </c>
      <c r="HW1" s="4" t="s">
        <v>162</v>
      </c>
      <c r="HX1" s="4" t="s">
        <v>163</v>
      </c>
      <c r="HY1" s="4" t="s">
        <v>164</v>
      </c>
      <c r="HZ1" s="4" t="s">
        <v>165</v>
      </c>
      <c r="IA1" s="4" t="s">
        <v>166</v>
      </c>
      <c r="IB1" s="4" t="s">
        <v>167</v>
      </c>
      <c r="IC1" s="4" t="s">
        <v>168</v>
      </c>
      <c r="ID1" s="4" t="s">
        <v>169</v>
      </c>
      <c r="IE1" s="4" t="s">
        <v>170</v>
      </c>
      <c r="IF1" s="4" t="s">
        <v>171</v>
      </c>
      <c r="IG1" s="4" t="s">
        <v>172</v>
      </c>
      <c r="IH1" s="4" t="s">
        <v>173</v>
      </c>
      <c r="II1" s="4" t="s">
        <v>174</v>
      </c>
      <c r="IJ1" s="4" t="s">
        <v>175</v>
      </c>
      <c r="IK1" s="4" t="s">
        <v>176</v>
      </c>
      <c r="IL1" s="4" t="s">
        <v>177</v>
      </c>
      <c r="IM1" s="4" t="s">
        <v>178</v>
      </c>
      <c r="IN1" s="4" t="s">
        <v>179</v>
      </c>
      <c r="IO1" s="4" t="s">
        <v>180</v>
      </c>
      <c r="IP1" s="4" t="s">
        <v>181</v>
      </c>
      <c r="IQ1" s="4" t="s">
        <v>182</v>
      </c>
      <c r="IR1" s="4" t="s">
        <v>183</v>
      </c>
      <c r="IS1" s="4" t="s">
        <v>184</v>
      </c>
      <c r="IT1" s="4" t="s">
        <v>185</v>
      </c>
      <c r="IU1" s="4" t="s">
        <v>186</v>
      </c>
      <c r="IV1" s="4" t="s">
        <v>187</v>
      </c>
      <c r="IW1" s="4" t="s">
        <v>188</v>
      </c>
      <c r="IX1" s="4" t="s">
        <v>189</v>
      </c>
      <c r="IY1" s="4" t="s">
        <v>190</v>
      </c>
      <c r="IZ1" s="4" t="s">
        <v>191</v>
      </c>
      <c r="JA1" s="4" t="s">
        <v>192</v>
      </c>
      <c r="JB1" s="4" t="s">
        <v>193</v>
      </c>
      <c r="JC1" s="4" t="s">
        <v>194</v>
      </c>
      <c r="JD1" s="2" t="s">
        <v>1</v>
      </c>
      <c r="JE1" s="2" t="s">
        <v>195</v>
      </c>
      <c r="JF1" s="17" t="s">
        <v>196</v>
      </c>
      <c r="JG1" s="18" t="s">
        <v>197</v>
      </c>
      <c r="JH1" s="4" t="s">
        <v>198</v>
      </c>
      <c r="JI1" s="4" t="s">
        <v>199</v>
      </c>
      <c r="JJ1" s="4" t="s">
        <v>200</v>
      </c>
      <c r="JK1" s="4" t="s">
        <v>201</v>
      </c>
      <c r="JL1" s="4" t="s">
        <v>202</v>
      </c>
      <c r="JM1" s="4" t="s">
        <v>203</v>
      </c>
      <c r="JN1" s="4" t="s">
        <v>204</v>
      </c>
      <c r="JO1" s="4" t="s">
        <v>205</v>
      </c>
      <c r="JP1" s="4" t="s">
        <v>206</v>
      </c>
      <c r="JQ1" s="4" t="s">
        <v>207</v>
      </c>
      <c r="JR1" s="4" t="s">
        <v>208</v>
      </c>
      <c r="JS1" s="4" t="s">
        <v>209</v>
      </c>
      <c r="JT1" s="4" t="s">
        <v>210</v>
      </c>
      <c r="JU1" s="4" t="s">
        <v>211</v>
      </c>
      <c r="JV1" s="4" t="s">
        <v>212</v>
      </c>
      <c r="JW1" s="4" t="s">
        <v>213</v>
      </c>
      <c r="JX1" s="4" t="s">
        <v>214</v>
      </c>
      <c r="JY1" s="4" t="s">
        <v>215</v>
      </c>
      <c r="JZ1" s="4" t="s">
        <v>216</v>
      </c>
      <c r="KA1" s="4" t="s">
        <v>217</v>
      </c>
      <c r="KB1" s="4" t="s">
        <v>218</v>
      </c>
      <c r="KC1" s="4" t="s">
        <v>219</v>
      </c>
      <c r="KD1" s="4" t="s">
        <v>220</v>
      </c>
      <c r="KE1" s="4" t="s">
        <v>221</v>
      </c>
      <c r="KF1" s="4" t="s">
        <v>222</v>
      </c>
      <c r="KG1" s="4" t="s">
        <v>223</v>
      </c>
      <c r="KH1" s="4" t="s">
        <v>224</v>
      </c>
      <c r="KI1" s="4" t="s">
        <v>225</v>
      </c>
      <c r="KJ1" s="4" t="s">
        <v>226</v>
      </c>
      <c r="KK1" s="4" t="s">
        <v>227</v>
      </c>
      <c r="KL1" s="19" t="s">
        <v>228</v>
      </c>
      <c r="KM1" s="4" t="s">
        <v>229</v>
      </c>
      <c r="KN1" s="4" t="s">
        <v>230</v>
      </c>
      <c r="KO1" s="4" t="s">
        <v>231</v>
      </c>
      <c r="KP1" s="19" t="s">
        <v>232</v>
      </c>
      <c r="KQ1" s="4" t="s">
        <v>233</v>
      </c>
      <c r="KR1" s="4" t="s">
        <v>234</v>
      </c>
      <c r="KS1" s="4" t="s">
        <v>235</v>
      </c>
      <c r="KT1" s="19" t="s">
        <v>236</v>
      </c>
      <c r="KU1" s="4" t="s">
        <v>237</v>
      </c>
      <c r="KV1" s="4" t="s">
        <v>238</v>
      </c>
      <c r="KW1" s="4" t="s">
        <v>239</v>
      </c>
      <c r="KX1" s="19" t="s">
        <v>240</v>
      </c>
      <c r="KY1" s="4" t="s">
        <v>241</v>
      </c>
      <c r="KZ1" s="4" t="s">
        <v>242</v>
      </c>
      <c r="LA1" s="4" t="s">
        <v>243</v>
      </c>
      <c r="LB1" s="19" t="s">
        <v>244</v>
      </c>
      <c r="LC1" s="4" t="s">
        <v>245</v>
      </c>
      <c r="LD1" s="4" t="s">
        <v>246</v>
      </c>
      <c r="LE1" s="4" t="s">
        <v>247</v>
      </c>
      <c r="LF1" s="19" t="s">
        <v>248</v>
      </c>
      <c r="LG1" s="4" t="s">
        <v>249</v>
      </c>
      <c r="LH1" s="4" t="s">
        <v>250</v>
      </c>
      <c r="LI1" s="4" t="s">
        <v>251</v>
      </c>
      <c r="LJ1" s="19" t="s">
        <v>252</v>
      </c>
      <c r="LK1" s="4" t="s">
        <v>253</v>
      </c>
      <c r="LL1" s="4" t="s">
        <v>254</v>
      </c>
      <c r="LM1" s="4" t="s">
        <v>255</v>
      </c>
      <c r="LN1" s="4" t="s">
        <v>256</v>
      </c>
      <c r="LO1" s="4" t="s">
        <v>257</v>
      </c>
      <c r="LP1" s="4" t="s">
        <v>258</v>
      </c>
    </row>
    <row r="2" spans="1:328" s="98" customFormat="1" ht="17.25" customHeight="1">
      <c r="A2" s="42" t="s">
        <v>604</v>
      </c>
      <c r="B2" s="60">
        <v>45980</v>
      </c>
      <c r="C2" s="61">
        <v>49</v>
      </c>
      <c r="D2" s="62"/>
      <c r="E2" s="62"/>
      <c r="F2" s="61">
        <v>1</v>
      </c>
      <c r="G2" s="61">
        <v>1</v>
      </c>
      <c r="H2" s="61">
        <v>1</v>
      </c>
      <c r="I2" s="164">
        <v>8</v>
      </c>
      <c r="J2" s="164">
        <v>2</v>
      </c>
      <c r="K2" s="63">
        <v>9.0277777777777776E-2</v>
      </c>
      <c r="L2" s="63">
        <v>0.125</v>
      </c>
      <c r="M2" s="63">
        <v>2.5000000000000001E-2</v>
      </c>
      <c r="N2" s="64" t="s">
        <v>1041</v>
      </c>
      <c r="O2" s="65" t="s">
        <v>976</v>
      </c>
      <c r="P2" s="66" t="s">
        <v>710</v>
      </c>
      <c r="Q2" s="66">
        <v>1</v>
      </c>
      <c r="R2" s="67">
        <v>18794</v>
      </c>
      <c r="S2" s="66">
        <v>74</v>
      </c>
      <c r="T2" s="66" t="s">
        <v>259</v>
      </c>
      <c r="U2" s="66" t="s">
        <v>260</v>
      </c>
      <c r="V2" s="68" t="s">
        <v>711</v>
      </c>
      <c r="W2" s="66" t="s">
        <v>595</v>
      </c>
      <c r="X2" s="66" t="s">
        <v>596</v>
      </c>
      <c r="Y2" s="66" t="s">
        <v>261</v>
      </c>
      <c r="Z2" s="66" t="s">
        <v>262</v>
      </c>
      <c r="AA2" s="66" t="s">
        <v>263</v>
      </c>
      <c r="AB2" s="66" t="s">
        <v>264</v>
      </c>
      <c r="AC2" s="66" t="s">
        <v>597</v>
      </c>
      <c r="AD2" s="66" t="s">
        <v>597</v>
      </c>
      <c r="AE2" s="66" t="s">
        <v>602</v>
      </c>
      <c r="AF2" s="66" t="s">
        <v>597</v>
      </c>
      <c r="AG2" s="66" t="s">
        <v>610</v>
      </c>
      <c r="AH2" s="66" t="s">
        <v>597</v>
      </c>
      <c r="AI2" s="66" t="s">
        <v>599</v>
      </c>
      <c r="AJ2" s="67">
        <v>45155</v>
      </c>
      <c r="AK2" s="40" t="s">
        <v>712</v>
      </c>
      <c r="AL2" s="69">
        <v>1</v>
      </c>
      <c r="AM2" s="69">
        <v>1</v>
      </c>
      <c r="AN2" s="69">
        <v>1</v>
      </c>
      <c r="AO2" s="69">
        <v>1</v>
      </c>
      <c r="AP2" s="69">
        <v>1</v>
      </c>
      <c r="AQ2" s="69">
        <v>1</v>
      </c>
      <c r="AR2" s="69">
        <v>1</v>
      </c>
      <c r="AS2" s="69">
        <v>1</v>
      </c>
      <c r="AT2" s="70">
        <f t="shared" ref="AT2:AT65" si="0">SUM(AL2:AS2)</f>
        <v>8</v>
      </c>
      <c r="AU2" s="71">
        <v>1</v>
      </c>
      <c r="AV2" s="71">
        <v>1</v>
      </c>
      <c r="AW2" s="71">
        <v>1</v>
      </c>
      <c r="AX2" s="71">
        <v>1</v>
      </c>
      <c r="AY2" s="70">
        <f t="shared" ref="AY2:AY65" si="1">SUM(AU2:AX2)</f>
        <v>4</v>
      </c>
      <c r="AZ2" s="69">
        <v>1</v>
      </c>
      <c r="BA2" s="69">
        <v>1</v>
      </c>
      <c r="BB2" s="69">
        <v>1</v>
      </c>
      <c r="BC2" s="69">
        <v>1</v>
      </c>
      <c r="BD2" s="69">
        <v>1</v>
      </c>
      <c r="BE2" s="69">
        <v>1</v>
      </c>
      <c r="BF2" s="69">
        <v>1</v>
      </c>
      <c r="BG2" s="69">
        <v>1</v>
      </c>
      <c r="BH2" s="70">
        <f t="shared" ref="BH2:BH65" si="2">SUM(AZ2:BG2)</f>
        <v>8</v>
      </c>
      <c r="BI2" s="69">
        <v>1</v>
      </c>
      <c r="BJ2" s="69">
        <v>1</v>
      </c>
      <c r="BK2" s="70">
        <f t="shared" ref="BK2:BK65" si="3">SUM(BI2:BJ2)</f>
        <v>2</v>
      </c>
      <c r="BL2" s="72">
        <v>1</v>
      </c>
      <c r="BM2" s="72">
        <v>1</v>
      </c>
      <c r="BN2" s="72">
        <v>1</v>
      </c>
      <c r="BO2" s="72">
        <v>1</v>
      </c>
      <c r="BP2" s="72">
        <v>1</v>
      </c>
      <c r="BQ2" s="72">
        <v>1</v>
      </c>
      <c r="BR2" s="72">
        <v>1</v>
      </c>
      <c r="BS2" s="72">
        <v>1</v>
      </c>
      <c r="BT2" s="70">
        <f t="shared" ref="BT2:BT65" si="4">SUM(BM2:BS2)</f>
        <v>7</v>
      </c>
      <c r="BU2" s="70">
        <f t="shared" ref="BU2:BU65" si="5">BT2+BK2+BH2+AY2+AT2</f>
        <v>29</v>
      </c>
      <c r="BV2" s="73">
        <v>5</v>
      </c>
      <c r="BW2" s="73">
        <v>5</v>
      </c>
      <c r="BX2" s="73">
        <v>5</v>
      </c>
      <c r="BY2" s="73">
        <v>1</v>
      </c>
      <c r="BZ2" s="73">
        <v>5</v>
      </c>
      <c r="CA2" s="73">
        <v>3</v>
      </c>
      <c r="CB2" s="73">
        <v>5</v>
      </c>
      <c r="CC2" s="73">
        <v>5</v>
      </c>
      <c r="CD2" s="73">
        <v>2</v>
      </c>
      <c r="CE2" s="73">
        <v>3</v>
      </c>
      <c r="CF2" s="73">
        <v>3</v>
      </c>
      <c r="CG2" s="73">
        <v>5</v>
      </c>
      <c r="CH2" s="74">
        <v>5</v>
      </c>
      <c r="CI2" s="73">
        <v>5</v>
      </c>
      <c r="CJ2" s="73">
        <v>3</v>
      </c>
      <c r="CK2" s="75">
        <f t="shared" ref="CK2:CK17" si="6">SUM(BV2:CJ2)</f>
        <v>60</v>
      </c>
      <c r="CL2" s="76">
        <v>5</v>
      </c>
      <c r="CM2" s="76">
        <v>1</v>
      </c>
      <c r="CN2" s="76">
        <v>5</v>
      </c>
      <c r="CO2" s="76">
        <v>5</v>
      </c>
      <c r="CP2" s="76">
        <v>5</v>
      </c>
      <c r="CQ2" s="76">
        <v>5</v>
      </c>
      <c r="CR2" s="76">
        <v>1</v>
      </c>
      <c r="CS2" s="76">
        <v>5</v>
      </c>
      <c r="CT2" s="76">
        <v>5</v>
      </c>
      <c r="CU2" s="76">
        <v>5</v>
      </c>
      <c r="CV2" s="76">
        <v>5</v>
      </c>
      <c r="CW2" s="76">
        <v>1</v>
      </c>
      <c r="CX2" s="76">
        <v>1</v>
      </c>
      <c r="CY2" s="76">
        <v>5</v>
      </c>
      <c r="CZ2" s="76">
        <v>5</v>
      </c>
      <c r="DA2" s="76">
        <v>5</v>
      </c>
      <c r="DB2" s="76">
        <v>5</v>
      </c>
      <c r="DC2" s="76">
        <v>4</v>
      </c>
      <c r="DD2" s="76">
        <v>5</v>
      </c>
      <c r="DE2" s="76">
        <v>5</v>
      </c>
      <c r="DF2" s="76">
        <v>5</v>
      </c>
      <c r="DG2" s="76">
        <v>5</v>
      </c>
      <c r="DH2" s="76">
        <v>5</v>
      </c>
      <c r="DI2" s="76">
        <v>5</v>
      </c>
      <c r="DJ2" s="76">
        <v>1</v>
      </c>
      <c r="DK2" s="76">
        <v>5</v>
      </c>
      <c r="DL2" s="76">
        <v>3</v>
      </c>
      <c r="DM2" s="76">
        <v>1</v>
      </c>
      <c r="DN2" s="76">
        <f t="shared" ref="DN2:DN65" si="7">SUM(CL2:DM2)</f>
        <v>113</v>
      </c>
      <c r="DO2" s="76">
        <v>28</v>
      </c>
      <c r="DP2" s="40">
        <v>0</v>
      </c>
      <c r="DQ2" s="40">
        <v>1</v>
      </c>
      <c r="DR2" s="40">
        <v>0</v>
      </c>
      <c r="DS2" s="40">
        <v>0</v>
      </c>
      <c r="DT2" s="40">
        <v>0</v>
      </c>
      <c r="DU2" s="40">
        <v>1</v>
      </c>
      <c r="DV2" s="40">
        <v>0</v>
      </c>
      <c r="DW2" s="40">
        <v>0</v>
      </c>
      <c r="DX2" s="40">
        <v>0</v>
      </c>
      <c r="DY2" s="40">
        <v>0</v>
      </c>
      <c r="DZ2" s="40">
        <v>0</v>
      </c>
      <c r="EA2" s="40">
        <v>0</v>
      </c>
      <c r="EB2" s="40">
        <v>0</v>
      </c>
      <c r="EC2" s="40">
        <v>0</v>
      </c>
      <c r="ED2" s="40">
        <v>0</v>
      </c>
      <c r="EE2" s="77">
        <f>SUM(DP2:ED2)</f>
        <v>2</v>
      </c>
      <c r="EF2" s="77" t="s">
        <v>265</v>
      </c>
      <c r="EG2" s="78">
        <f t="shared" ref="EG2:EG65" si="8">SUM(DP2:ED2)</f>
        <v>2</v>
      </c>
      <c r="EH2" s="55">
        <v>0</v>
      </c>
      <c r="EI2" s="55">
        <v>0.5</v>
      </c>
      <c r="EJ2" s="55">
        <v>0</v>
      </c>
      <c r="EK2" s="55">
        <v>0</v>
      </c>
      <c r="EL2" s="55">
        <v>0</v>
      </c>
      <c r="EM2" s="55">
        <v>0</v>
      </c>
      <c r="EN2" s="55">
        <v>0</v>
      </c>
      <c r="EO2" s="55">
        <v>0.5</v>
      </c>
      <c r="EP2" s="55">
        <v>0</v>
      </c>
      <c r="EQ2" s="55">
        <v>0</v>
      </c>
      <c r="ER2" s="55">
        <v>0</v>
      </c>
      <c r="ES2" s="55">
        <v>0</v>
      </c>
      <c r="ET2" s="55">
        <v>0</v>
      </c>
      <c r="EU2" s="55">
        <v>0</v>
      </c>
      <c r="EV2" s="55">
        <v>0</v>
      </c>
      <c r="EW2" s="55">
        <v>0</v>
      </c>
      <c r="EX2" s="55">
        <v>0</v>
      </c>
      <c r="EY2" s="55">
        <v>0</v>
      </c>
      <c r="EZ2" s="55">
        <v>0</v>
      </c>
      <c r="FA2" s="55">
        <v>0</v>
      </c>
      <c r="FB2" s="55">
        <v>0</v>
      </c>
      <c r="FC2" s="55">
        <v>0</v>
      </c>
      <c r="FD2" s="79">
        <f t="shared" ref="FD2:FD65" si="9">SUM(EH2:FC2)</f>
        <v>1</v>
      </c>
      <c r="FE2" s="80">
        <v>1</v>
      </c>
      <c r="FF2" s="55">
        <v>1</v>
      </c>
      <c r="FG2" s="55">
        <v>0</v>
      </c>
      <c r="FH2" s="55">
        <v>1</v>
      </c>
      <c r="FI2" s="55">
        <v>1</v>
      </c>
      <c r="FJ2" s="55">
        <v>1</v>
      </c>
      <c r="FK2" s="55">
        <v>1</v>
      </c>
      <c r="FL2" s="55">
        <v>1</v>
      </c>
      <c r="FM2" s="55">
        <v>1</v>
      </c>
      <c r="FN2" s="81">
        <f t="shared" ref="FN2:FN65" si="10">SUM(FF2:FM2)</f>
        <v>7</v>
      </c>
      <c r="FO2" s="82">
        <v>2</v>
      </c>
      <c r="FP2" s="55">
        <v>10</v>
      </c>
      <c r="FQ2" s="55">
        <v>5</v>
      </c>
      <c r="FR2" s="55">
        <v>10</v>
      </c>
      <c r="FS2" s="55">
        <v>5</v>
      </c>
      <c r="FT2" s="55">
        <v>10</v>
      </c>
      <c r="FU2" s="55">
        <v>10</v>
      </c>
      <c r="FV2" s="55">
        <v>10</v>
      </c>
      <c r="FW2" s="55">
        <v>15</v>
      </c>
      <c r="FX2" s="55">
        <v>15</v>
      </c>
      <c r="FY2" s="55">
        <v>10</v>
      </c>
      <c r="FZ2" s="83">
        <f t="shared" ref="FZ2:FZ65" si="11">SUM(FP2:FY2)</f>
        <v>100</v>
      </c>
      <c r="GA2" s="84">
        <v>1</v>
      </c>
      <c r="GB2" s="55">
        <v>0</v>
      </c>
      <c r="GC2" s="85">
        <v>0</v>
      </c>
      <c r="GD2" s="85">
        <v>0</v>
      </c>
      <c r="GE2" s="85">
        <v>0</v>
      </c>
      <c r="GF2" s="85">
        <v>0</v>
      </c>
      <c r="GG2" s="85">
        <v>0</v>
      </c>
      <c r="GH2" s="85">
        <v>0</v>
      </c>
      <c r="GI2" s="55">
        <v>0</v>
      </c>
      <c r="GJ2" s="55">
        <v>1</v>
      </c>
      <c r="GK2" s="55">
        <v>0</v>
      </c>
      <c r="GL2" s="55">
        <v>1</v>
      </c>
      <c r="GM2" s="55">
        <v>2</v>
      </c>
      <c r="GN2" s="55">
        <v>0</v>
      </c>
      <c r="GO2" s="55">
        <v>0</v>
      </c>
      <c r="GP2" s="55">
        <v>0</v>
      </c>
      <c r="GQ2" s="55">
        <v>0</v>
      </c>
      <c r="GR2" s="55">
        <v>0</v>
      </c>
      <c r="GS2" s="55">
        <v>1</v>
      </c>
      <c r="GT2" s="55">
        <v>0</v>
      </c>
      <c r="GU2" s="86">
        <f t="shared" ref="GU2:GU65" si="12">SUM(GI2:GT2)</f>
        <v>5</v>
      </c>
      <c r="GV2" s="87" t="s">
        <v>266</v>
      </c>
      <c r="GW2" s="87">
        <v>0</v>
      </c>
      <c r="GX2" s="88" t="s">
        <v>267</v>
      </c>
      <c r="GY2" s="55">
        <v>5</v>
      </c>
      <c r="GZ2" s="55">
        <v>5</v>
      </c>
      <c r="HA2" s="55">
        <v>3</v>
      </c>
      <c r="HB2" s="55">
        <v>3</v>
      </c>
      <c r="HC2" s="55">
        <v>3</v>
      </c>
      <c r="HD2" s="55">
        <v>4</v>
      </c>
      <c r="HE2" s="55"/>
      <c r="HF2" s="55"/>
      <c r="HG2" s="55">
        <v>2</v>
      </c>
      <c r="HH2" s="55">
        <v>7</v>
      </c>
      <c r="HI2" s="55">
        <v>7</v>
      </c>
      <c r="HJ2" s="55"/>
      <c r="HK2" s="55">
        <v>2</v>
      </c>
      <c r="HL2" s="55">
        <v>7</v>
      </c>
      <c r="HM2" s="55">
        <v>7</v>
      </c>
      <c r="HN2" s="55">
        <v>1</v>
      </c>
      <c r="HO2" s="55">
        <v>3</v>
      </c>
      <c r="HP2" s="55">
        <v>1</v>
      </c>
      <c r="HQ2" s="55">
        <v>2</v>
      </c>
      <c r="HR2" s="55">
        <v>1</v>
      </c>
      <c r="HS2" s="55">
        <v>1</v>
      </c>
      <c r="HT2" s="55">
        <v>2</v>
      </c>
      <c r="HU2" s="55">
        <v>4</v>
      </c>
      <c r="HV2" s="55">
        <v>1</v>
      </c>
      <c r="HW2" s="55">
        <v>1</v>
      </c>
      <c r="HX2" s="55">
        <v>2</v>
      </c>
      <c r="HY2" s="55">
        <v>3</v>
      </c>
      <c r="HZ2" s="55">
        <v>4</v>
      </c>
      <c r="IA2" s="55">
        <v>4</v>
      </c>
      <c r="IB2" s="55">
        <v>7</v>
      </c>
      <c r="IC2" s="55"/>
      <c r="ID2" s="55">
        <f t="shared" ref="ID2:IG2" si="13">SUM(GY2)</f>
        <v>5</v>
      </c>
      <c r="IE2" s="55">
        <f t="shared" si="13"/>
        <v>5</v>
      </c>
      <c r="IF2" s="55">
        <f t="shared" si="13"/>
        <v>3</v>
      </c>
      <c r="IG2" s="55">
        <f t="shared" si="13"/>
        <v>3</v>
      </c>
      <c r="IH2" s="55">
        <f t="shared" ref="IH2:IH65" si="14">SUM(HC2:HD2)</f>
        <v>7</v>
      </c>
      <c r="II2" s="55">
        <f t="shared" ref="II2:II65" si="15">SUM(HG2)</f>
        <v>2</v>
      </c>
      <c r="IJ2" s="55">
        <f t="shared" ref="IJ2:IJ65" si="16">SUM(HH2:HI2)</f>
        <v>14</v>
      </c>
      <c r="IK2" s="55">
        <f t="shared" ref="IK2:IQ2" si="17">SUM(HK2)</f>
        <v>2</v>
      </c>
      <c r="IL2" s="55">
        <f t="shared" si="17"/>
        <v>7</v>
      </c>
      <c r="IM2" s="55">
        <f t="shared" si="17"/>
        <v>7</v>
      </c>
      <c r="IN2" s="55">
        <f t="shared" si="17"/>
        <v>1</v>
      </c>
      <c r="IO2" s="55">
        <f t="shared" si="17"/>
        <v>3</v>
      </c>
      <c r="IP2" s="55">
        <f t="shared" si="17"/>
        <v>1</v>
      </c>
      <c r="IQ2" s="55">
        <f t="shared" si="17"/>
        <v>2</v>
      </c>
      <c r="IR2" s="55">
        <f t="shared" ref="IR2:IR65" si="18">SUM(HR2:HS2)</f>
        <v>2</v>
      </c>
      <c r="IS2" s="55">
        <f t="shared" ref="IS2:JB2" si="19">SUM(HT2)</f>
        <v>2</v>
      </c>
      <c r="IT2" s="55">
        <f t="shared" si="19"/>
        <v>4</v>
      </c>
      <c r="IU2" s="55">
        <f t="shared" si="19"/>
        <v>1</v>
      </c>
      <c r="IV2" s="55">
        <f t="shared" si="19"/>
        <v>1</v>
      </c>
      <c r="IW2" s="55">
        <f t="shared" si="19"/>
        <v>2</v>
      </c>
      <c r="IX2" s="55">
        <f t="shared" si="19"/>
        <v>3</v>
      </c>
      <c r="IY2" s="55">
        <f t="shared" si="19"/>
        <v>4</v>
      </c>
      <c r="IZ2" s="55">
        <f t="shared" si="19"/>
        <v>4</v>
      </c>
      <c r="JA2" s="55">
        <f t="shared" si="19"/>
        <v>7</v>
      </c>
      <c r="JB2" s="55">
        <f t="shared" si="19"/>
        <v>0</v>
      </c>
      <c r="JC2" s="89">
        <f t="shared" ref="JC2:JC65" si="20">SUM(SUM(ID2:IF2),SUM(IH2:JB2))</f>
        <v>89</v>
      </c>
      <c r="JD2" s="90">
        <v>1</v>
      </c>
      <c r="JE2" s="90">
        <v>1</v>
      </c>
      <c r="JF2" s="91">
        <v>31</v>
      </c>
      <c r="JG2" s="91">
        <v>2</v>
      </c>
      <c r="JH2" s="55">
        <v>2</v>
      </c>
      <c r="JI2" s="55">
        <v>2</v>
      </c>
      <c r="JJ2" s="55">
        <v>2</v>
      </c>
      <c r="JK2" s="55">
        <v>1</v>
      </c>
      <c r="JL2" s="55">
        <v>0</v>
      </c>
      <c r="JM2" s="55">
        <v>0</v>
      </c>
      <c r="JN2" s="55">
        <v>0</v>
      </c>
      <c r="JO2" s="55">
        <v>0</v>
      </c>
      <c r="JP2" s="89">
        <f t="shared" ref="JP2:JP46" si="21">SUM(JH2:JO2)</f>
        <v>7</v>
      </c>
      <c r="JQ2" s="55">
        <v>2</v>
      </c>
      <c r="JR2" s="55">
        <v>2</v>
      </c>
      <c r="JS2" s="55">
        <v>1</v>
      </c>
      <c r="JT2" s="55">
        <v>0</v>
      </c>
      <c r="JU2" s="55">
        <v>0</v>
      </c>
      <c r="JV2" s="55">
        <v>0</v>
      </c>
      <c r="JW2" s="55">
        <v>0</v>
      </c>
      <c r="JX2" s="92">
        <f t="shared" ref="JX2:JX65" si="22">SUM(JQ2:JW2)</f>
        <v>5</v>
      </c>
      <c r="JY2" s="93">
        <f t="shared" ref="JY2:JY65" si="23">SUM(JP2,JX2)</f>
        <v>12</v>
      </c>
      <c r="JZ2" s="55">
        <v>2</v>
      </c>
      <c r="KA2" s="55">
        <v>1</v>
      </c>
      <c r="KB2" s="55">
        <v>0</v>
      </c>
      <c r="KC2" s="55">
        <v>0</v>
      </c>
      <c r="KD2" s="55">
        <v>0</v>
      </c>
      <c r="KE2" s="55">
        <v>0</v>
      </c>
      <c r="KF2" s="55">
        <v>0</v>
      </c>
      <c r="KG2" s="94">
        <f t="shared" ref="KG2:KG65" si="24">SUM(JZ2:KF2)</f>
        <v>3</v>
      </c>
      <c r="KH2" s="95" t="s">
        <v>268</v>
      </c>
      <c r="KI2" s="55">
        <v>0</v>
      </c>
      <c r="KJ2" s="55">
        <v>2</v>
      </c>
      <c r="KK2" s="55">
        <v>0</v>
      </c>
      <c r="KL2" s="95" t="s">
        <v>269</v>
      </c>
      <c r="KM2" s="55">
        <v>1</v>
      </c>
      <c r="KN2" s="55">
        <v>1</v>
      </c>
      <c r="KO2" s="55">
        <v>0</v>
      </c>
      <c r="KP2" s="95" t="s">
        <v>270</v>
      </c>
      <c r="KQ2" s="55">
        <v>0</v>
      </c>
      <c r="KR2" s="55">
        <v>2</v>
      </c>
      <c r="KS2" s="55">
        <v>1</v>
      </c>
      <c r="KT2" s="95" t="s">
        <v>271</v>
      </c>
      <c r="KU2" s="55">
        <v>0</v>
      </c>
      <c r="KV2" s="55">
        <v>2</v>
      </c>
      <c r="KW2" s="55">
        <v>0</v>
      </c>
      <c r="KX2" s="95" t="s">
        <v>272</v>
      </c>
      <c r="KY2" s="55">
        <v>0</v>
      </c>
      <c r="KZ2" s="55">
        <v>2</v>
      </c>
      <c r="LA2" s="55">
        <v>0</v>
      </c>
      <c r="LB2" s="95" t="s">
        <v>273</v>
      </c>
      <c r="LC2" s="55">
        <v>0</v>
      </c>
      <c r="LD2" s="55">
        <v>2</v>
      </c>
      <c r="LE2" s="55">
        <v>0</v>
      </c>
      <c r="LF2" s="95" t="s">
        <v>274</v>
      </c>
      <c r="LG2" s="55">
        <v>0</v>
      </c>
      <c r="LH2" s="55">
        <v>2</v>
      </c>
      <c r="LI2" s="55">
        <v>2</v>
      </c>
      <c r="LJ2" s="95" t="s">
        <v>275</v>
      </c>
      <c r="LK2" s="55">
        <v>0</v>
      </c>
      <c r="LL2" s="55">
        <v>2</v>
      </c>
      <c r="LM2" s="55">
        <v>0</v>
      </c>
      <c r="LN2" s="96">
        <f t="shared" ref="LN2:LN65" si="25">SUM(KJ2:KK2,KN2:KO2,KR2:KS2,KV2:KW2,KZ2:LA2,LD2:LE2,LH2:LI2,LL2:LM2)</f>
        <v>18</v>
      </c>
      <c r="LO2" s="97">
        <f t="shared" ref="LO2:LO65" si="26">SUM(KK2,KO2,KS2,KW2,LA2,LE2,LI2,LM2)</f>
        <v>3</v>
      </c>
      <c r="LP2" s="97">
        <f t="shared" ref="LP2:LP65" si="27">SUM(JY2,KG2,LN2)</f>
        <v>33</v>
      </c>
    </row>
    <row r="3" spans="1:328" s="98" customFormat="1" ht="13.8">
      <c r="A3" s="99" t="s">
        <v>634</v>
      </c>
      <c r="B3" s="100"/>
      <c r="C3" s="100">
        <v>53</v>
      </c>
      <c r="D3" s="62"/>
      <c r="E3" s="62"/>
      <c r="F3" s="61">
        <v>0</v>
      </c>
      <c r="G3" s="61">
        <v>0</v>
      </c>
      <c r="H3" s="61">
        <v>1</v>
      </c>
      <c r="I3" s="164">
        <v>0</v>
      </c>
      <c r="J3" s="164">
        <v>4</v>
      </c>
      <c r="K3" s="63">
        <v>0</v>
      </c>
      <c r="L3" s="63">
        <v>0</v>
      </c>
      <c r="M3" s="63">
        <v>5.8333333333333334E-2</v>
      </c>
      <c r="N3" s="64" t="s">
        <v>1040</v>
      </c>
      <c r="O3" s="101" t="s">
        <v>977</v>
      </c>
      <c r="P3" s="102" t="s">
        <v>717</v>
      </c>
      <c r="Q3" s="95">
        <v>1</v>
      </c>
      <c r="R3" s="103">
        <v>20765</v>
      </c>
      <c r="S3" s="102">
        <v>68</v>
      </c>
      <c r="T3" s="102" t="s">
        <v>259</v>
      </c>
      <c r="U3" s="102" t="s">
        <v>276</v>
      </c>
      <c r="V3" s="102">
        <v>991979917</v>
      </c>
      <c r="W3" s="102" t="s">
        <v>595</v>
      </c>
      <c r="X3" s="102" t="s">
        <v>596</v>
      </c>
      <c r="Y3" s="102" t="s">
        <v>277</v>
      </c>
      <c r="Z3" s="102" t="s">
        <v>262</v>
      </c>
      <c r="AA3" s="102" t="s">
        <v>278</v>
      </c>
      <c r="AB3" s="102" t="s">
        <v>279</v>
      </c>
      <c r="AC3" s="102" t="s">
        <v>597</v>
      </c>
      <c r="AD3" s="102" t="s">
        <v>597</v>
      </c>
      <c r="AE3" s="102" t="s">
        <v>718</v>
      </c>
      <c r="AF3" s="102" t="s">
        <v>597</v>
      </c>
      <c r="AG3" s="102" t="s">
        <v>719</v>
      </c>
      <c r="AH3" s="102" t="s">
        <v>597</v>
      </c>
      <c r="AI3" s="102" t="s">
        <v>597</v>
      </c>
      <c r="AJ3" s="103">
        <v>38353</v>
      </c>
      <c r="AK3" s="104" t="s">
        <v>720</v>
      </c>
      <c r="AL3" s="69">
        <v>1</v>
      </c>
      <c r="AM3" s="69">
        <v>1</v>
      </c>
      <c r="AN3" s="69">
        <v>1</v>
      </c>
      <c r="AO3" s="69">
        <v>1</v>
      </c>
      <c r="AP3" s="69">
        <v>1</v>
      </c>
      <c r="AQ3" s="69">
        <v>1</v>
      </c>
      <c r="AR3" s="69">
        <v>1</v>
      </c>
      <c r="AS3" s="69">
        <v>1</v>
      </c>
      <c r="AT3" s="70">
        <f t="shared" si="0"/>
        <v>8</v>
      </c>
      <c r="AU3" s="71">
        <v>1</v>
      </c>
      <c r="AV3" s="71">
        <v>1</v>
      </c>
      <c r="AW3" s="71">
        <v>1</v>
      </c>
      <c r="AX3" s="71">
        <v>1</v>
      </c>
      <c r="AY3" s="70">
        <f t="shared" si="1"/>
        <v>4</v>
      </c>
      <c r="AZ3" s="69">
        <v>1</v>
      </c>
      <c r="BA3" s="69">
        <v>1</v>
      </c>
      <c r="BB3" s="69">
        <v>1</v>
      </c>
      <c r="BC3" s="69">
        <v>1</v>
      </c>
      <c r="BD3" s="69">
        <v>1</v>
      </c>
      <c r="BE3" s="69">
        <v>1</v>
      </c>
      <c r="BF3" s="69">
        <v>1</v>
      </c>
      <c r="BG3" s="69">
        <v>1</v>
      </c>
      <c r="BH3" s="70">
        <f t="shared" si="2"/>
        <v>8</v>
      </c>
      <c r="BI3" s="69">
        <v>1</v>
      </c>
      <c r="BJ3" s="69">
        <v>1</v>
      </c>
      <c r="BK3" s="70">
        <f t="shared" si="3"/>
        <v>2</v>
      </c>
      <c r="BL3" s="72">
        <v>1</v>
      </c>
      <c r="BM3" s="72">
        <v>1</v>
      </c>
      <c r="BN3" s="72">
        <v>1</v>
      </c>
      <c r="BO3" s="72">
        <v>1</v>
      </c>
      <c r="BP3" s="72">
        <v>1</v>
      </c>
      <c r="BQ3" s="72">
        <v>1</v>
      </c>
      <c r="BR3" s="72">
        <v>1</v>
      </c>
      <c r="BS3" s="72">
        <v>1</v>
      </c>
      <c r="BT3" s="70">
        <f t="shared" si="4"/>
        <v>7</v>
      </c>
      <c r="BU3" s="70">
        <f t="shared" si="5"/>
        <v>29</v>
      </c>
      <c r="BV3" s="105">
        <v>5</v>
      </c>
      <c r="BW3" s="105">
        <v>5</v>
      </c>
      <c r="BX3" s="105">
        <v>5</v>
      </c>
      <c r="BY3" s="73">
        <v>1</v>
      </c>
      <c r="BZ3" s="105">
        <v>5</v>
      </c>
      <c r="CA3" s="73">
        <v>3</v>
      </c>
      <c r="CB3" s="105">
        <v>5</v>
      </c>
      <c r="CC3" s="73">
        <v>5</v>
      </c>
      <c r="CD3" s="73">
        <v>2</v>
      </c>
      <c r="CE3" s="73">
        <v>3</v>
      </c>
      <c r="CF3" s="73">
        <v>3</v>
      </c>
      <c r="CG3" s="73">
        <v>5</v>
      </c>
      <c r="CH3" s="74">
        <v>5</v>
      </c>
      <c r="CI3" s="105">
        <v>5</v>
      </c>
      <c r="CJ3" s="73">
        <v>3</v>
      </c>
      <c r="CK3" s="75">
        <f t="shared" si="6"/>
        <v>60</v>
      </c>
      <c r="CL3" s="106">
        <v>5</v>
      </c>
      <c r="CM3" s="76">
        <v>1</v>
      </c>
      <c r="CN3" s="76">
        <v>5</v>
      </c>
      <c r="CO3" s="76">
        <v>5</v>
      </c>
      <c r="CP3" s="76">
        <v>5</v>
      </c>
      <c r="CQ3" s="106">
        <v>5</v>
      </c>
      <c r="CR3" s="76">
        <v>1</v>
      </c>
      <c r="CS3" s="76">
        <v>5</v>
      </c>
      <c r="CT3" s="76">
        <v>5</v>
      </c>
      <c r="CU3" s="76">
        <v>5</v>
      </c>
      <c r="CV3" s="76">
        <v>5</v>
      </c>
      <c r="CW3" s="76">
        <v>1</v>
      </c>
      <c r="CX3" s="76">
        <v>1</v>
      </c>
      <c r="CY3" s="76">
        <v>5</v>
      </c>
      <c r="CZ3" s="76">
        <v>5</v>
      </c>
      <c r="DA3" s="76">
        <v>5</v>
      </c>
      <c r="DB3" s="76">
        <v>5</v>
      </c>
      <c r="DC3" s="76">
        <v>4</v>
      </c>
      <c r="DD3" s="76">
        <v>5</v>
      </c>
      <c r="DE3" s="76">
        <v>5</v>
      </c>
      <c r="DF3" s="76">
        <v>5</v>
      </c>
      <c r="DG3" s="76">
        <v>5</v>
      </c>
      <c r="DH3" s="76">
        <v>5</v>
      </c>
      <c r="DI3" s="76">
        <v>5</v>
      </c>
      <c r="DJ3" s="76">
        <v>1</v>
      </c>
      <c r="DK3" s="76">
        <v>5</v>
      </c>
      <c r="DL3" s="76">
        <v>3</v>
      </c>
      <c r="DM3" s="106">
        <v>1</v>
      </c>
      <c r="DN3" s="76">
        <f t="shared" si="7"/>
        <v>113</v>
      </c>
      <c r="DO3" s="106">
        <v>30</v>
      </c>
      <c r="DP3" s="55">
        <v>0</v>
      </c>
      <c r="DQ3" s="55">
        <v>0</v>
      </c>
      <c r="DR3" s="55">
        <v>0</v>
      </c>
      <c r="DS3" s="55">
        <v>0</v>
      </c>
      <c r="DT3" s="55">
        <v>0</v>
      </c>
      <c r="DU3" s="55">
        <v>0</v>
      </c>
      <c r="DV3" s="55">
        <v>0</v>
      </c>
      <c r="DW3" s="55">
        <v>0</v>
      </c>
      <c r="DX3" s="55">
        <v>0</v>
      </c>
      <c r="DY3" s="55">
        <v>0</v>
      </c>
      <c r="DZ3" s="55">
        <v>0</v>
      </c>
      <c r="EA3" s="55">
        <v>0</v>
      </c>
      <c r="EB3" s="55">
        <v>0</v>
      </c>
      <c r="EC3" s="55">
        <v>0</v>
      </c>
      <c r="ED3" s="55">
        <v>0</v>
      </c>
      <c r="EE3" s="77">
        <v>0</v>
      </c>
      <c r="EF3" s="77" t="s">
        <v>265</v>
      </c>
      <c r="EG3" s="78">
        <f t="shared" si="8"/>
        <v>0</v>
      </c>
      <c r="EH3" s="55">
        <v>0</v>
      </c>
      <c r="EI3" s="55">
        <v>0</v>
      </c>
      <c r="EJ3" s="55">
        <v>0</v>
      </c>
      <c r="EK3" s="55">
        <v>0</v>
      </c>
      <c r="EL3" s="55">
        <v>0</v>
      </c>
      <c r="EM3" s="55">
        <v>0</v>
      </c>
      <c r="EN3" s="55">
        <v>0</v>
      </c>
      <c r="EO3" s="55">
        <v>0</v>
      </c>
      <c r="EP3" s="55">
        <v>0</v>
      </c>
      <c r="EQ3" s="55">
        <v>0</v>
      </c>
      <c r="ER3" s="55">
        <v>0</v>
      </c>
      <c r="ES3" s="55">
        <v>0</v>
      </c>
      <c r="ET3" s="55">
        <v>0</v>
      </c>
      <c r="EU3" s="55">
        <v>0</v>
      </c>
      <c r="EV3" s="55">
        <v>0</v>
      </c>
      <c r="EW3" s="55">
        <v>0</v>
      </c>
      <c r="EX3" s="55">
        <v>0</v>
      </c>
      <c r="EY3" s="55">
        <v>0</v>
      </c>
      <c r="EZ3" s="55">
        <v>0</v>
      </c>
      <c r="FA3" s="55">
        <v>0</v>
      </c>
      <c r="FB3" s="55">
        <v>0</v>
      </c>
      <c r="FC3" s="55">
        <v>0</v>
      </c>
      <c r="FD3" s="79">
        <f t="shared" si="9"/>
        <v>0</v>
      </c>
      <c r="FE3" s="80">
        <v>1</v>
      </c>
      <c r="FF3" s="55">
        <v>1</v>
      </c>
      <c r="FG3" s="55">
        <v>1</v>
      </c>
      <c r="FH3" s="55">
        <v>1</v>
      </c>
      <c r="FI3" s="55">
        <v>1</v>
      </c>
      <c r="FJ3" s="55">
        <v>1</v>
      </c>
      <c r="FK3" s="55">
        <v>1</v>
      </c>
      <c r="FL3" s="55">
        <v>1</v>
      </c>
      <c r="FM3" s="55">
        <v>1</v>
      </c>
      <c r="FN3" s="81">
        <f t="shared" si="10"/>
        <v>8</v>
      </c>
      <c r="FO3" s="82">
        <v>1</v>
      </c>
      <c r="FP3" s="55">
        <v>10</v>
      </c>
      <c r="FQ3" s="55">
        <v>5</v>
      </c>
      <c r="FR3" s="55">
        <v>10</v>
      </c>
      <c r="FS3" s="55">
        <v>5</v>
      </c>
      <c r="FT3" s="55">
        <v>10</v>
      </c>
      <c r="FU3" s="55">
        <v>10</v>
      </c>
      <c r="FV3" s="55">
        <v>10</v>
      </c>
      <c r="FW3" s="55">
        <v>15</v>
      </c>
      <c r="FX3" s="55">
        <v>15</v>
      </c>
      <c r="FY3" s="55">
        <v>10</v>
      </c>
      <c r="FZ3" s="83">
        <f t="shared" si="11"/>
        <v>100</v>
      </c>
      <c r="GA3" s="84">
        <v>1</v>
      </c>
      <c r="GB3" s="55">
        <v>0</v>
      </c>
      <c r="GC3" s="85">
        <v>0.5</v>
      </c>
      <c r="GD3" s="85">
        <v>0</v>
      </c>
      <c r="GE3" s="85">
        <v>0</v>
      </c>
      <c r="GF3" s="85">
        <v>0</v>
      </c>
      <c r="GG3" s="85">
        <v>0</v>
      </c>
      <c r="GH3" s="85">
        <v>0</v>
      </c>
      <c r="GI3" s="97">
        <v>0</v>
      </c>
      <c r="GJ3" s="97">
        <v>0</v>
      </c>
      <c r="GK3" s="97">
        <v>0</v>
      </c>
      <c r="GL3" s="97">
        <v>2</v>
      </c>
      <c r="GM3" s="97">
        <v>0</v>
      </c>
      <c r="GN3" s="97">
        <v>0</v>
      </c>
      <c r="GO3" s="97">
        <v>0</v>
      </c>
      <c r="GP3" s="97">
        <v>0</v>
      </c>
      <c r="GQ3" s="97">
        <v>1</v>
      </c>
      <c r="GR3" s="97">
        <v>0</v>
      </c>
      <c r="GS3" s="97">
        <v>0</v>
      </c>
      <c r="GT3" s="97">
        <v>1</v>
      </c>
      <c r="GU3" s="86">
        <f t="shared" si="12"/>
        <v>4</v>
      </c>
      <c r="GV3" s="87" t="s">
        <v>266</v>
      </c>
      <c r="GW3" s="87">
        <v>0</v>
      </c>
      <c r="GX3" s="88" t="s">
        <v>267</v>
      </c>
      <c r="GY3" s="55">
        <v>5</v>
      </c>
      <c r="GZ3" s="55">
        <v>5</v>
      </c>
      <c r="HA3" s="55">
        <v>3</v>
      </c>
      <c r="HB3" s="55">
        <v>1</v>
      </c>
      <c r="HC3" s="55">
        <v>1</v>
      </c>
      <c r="HD3" s="55">
        <v>4</v>
      </c>
      <c r="HE3" s="55"/>
      <c r="HF3" s="55"/>
      <c r="HG3" s="55">
        <v>2</v>
      </c>
      <c r="HH3" s="55">
        <v>7</v>
      </c>
      <c r="HI3" s="55">
        <v>7</v>
      </c>
      <c r="HJ3" s="55"/>
      <c r="HK3" s="55">
        <v>2</v>
      </c>
      <c r="HL3" s="55">
        <v>7</v>
      </c>
      <c r="HM3" s="55">
        <v>6</v>
      </c>
      <c r="HN3" s="55">
        <v>1</v>
      </c>
      <c r="HO3" s="55">
        <v>3</v>
      </c>
      <c r="HP3" s="55">
        <v>1</v>
      </c>
      <c r="HQ3" s="55">
        <v>2</v>
      </c>
      <c r="HR3" s="55">
        <v>1</v>
      </c>
      <c r="HS3" s="55">
        <v>1</v>
      </c>
      <c r="HT3" s="55">
        <v>2</v>
      </c>
      <c r="HU3" s="55">
        <v>4</v>
      </c>
      <c r="HV3" s="55">
        <v>1</v>
      </c>
      <c r="HW3" s="55">
        <v>1</v>
      </c>
      <c r="HX3" s="55">
        <v>2</v>
      </c>
      <c r="HY3" s="55">
        <v>5</v>
      </c>
      <c r="HZ3" s="55">
        <v>4</v>
      </c>
      <c r="IA3" s="55">
        <v>4</v>
      </c>
      <c r="IB3" s="55">
        <v>7</v>
      </c>
      <c r="IC3" s="55"/>
      <c r="ID3" s="55">
        <f t="shared" ref="ID3:IG3" si="28">SUM(GY3)</f>
        <v>5</v>
      </c>
      <c r="IE3" s="55">
        <f t="shared" si="28"/>
        <v>5</v>
      </c>
      <c r="IF3" s="55">
        <f t="shared" si="28"/>
        <v>3</v>
      </c>
      <c r="IG3" s="55">
        <f t="shared" si="28"/>
        <v>1</v>
      </c>
      <c r="IH3" s="55">
        <f t="shared" si="14"/>
        <v>5</v>
      </c>
      <c r="II3" s="55">
        <f t="shared" si="15"/>
        <v>2</v>
      </c>
      <c r="IJ3" s="55">
        <f t="shared" si="16"/>
        <v>14</v>
      </c>
      <c r="IK3" s="55">
        <f t="shared" ref="IK3:IQ3" si="29">SUM(HK3)</f>
        <v>2</v>
      </c>
      <c r="IL3" s="55">
        <f t="shared" si="29"/>
        <v>7</v>
      </c>
      <c r="IM3" s="55">
        <f t="shared" si="29"/>
        <v>6</v>
      </c>
      <c r="IN3" s="55">
        <f t="shared" si="29"/>
        <v>1</v>
      </c>
      <c r="IO3" s="55">
        <f t="shared" si="29"/>
        <v>3</v>
      </c>
      <c r="IP3" s="55">
        <f t="shared" si="29"/>
        <v>1</v>
      </c>
      <c r="IQ3" s="55">
        <f t="shared" si="29"/>
        <v>2</v>
      </c>
      <c r="IR3" s="55">
        <f t="shared" si="18"/>
        <v>2</v>
      </c>
      <c r="IS3" s="55">
        <f t="shared" ref="IS3:JB3" si="30">SUM(HT3)</f>
        <v>2</v>
      </c>
      <c r="IT3" s="55">
        <f t="shared" si="30"/>
        <v>4</v>
      </c>
      <c r="IU3" s="55">
        <f t="shared" si="30"/>
        <v>1</v>
      </c>
      <c r="IV3" s="55">
        <f t="shared" si="30"/>
        <v>1</v>
      </c>
      <c r="IW3" s="55">
        <f t="shared" si="30"/>
        <v>2</v>
      </c>
      <c r="IX3" s="55">
        <f t="shared" si="30"/>
        <v>5</v>
      </c>
      <c r="IY3" s="55">
        <f t="shared" si="30"/>
        <v>4</v>
      </c>
      <c r="IZ3" s="55">
        <f t="shared" si="30"/>
        <v>4</v>
      </c>
      <c r="JA3" s="55">
        <f t="shared" si="30"/>
        <v>7</v>
      </c>
      <c r="JB3" s="55">
        <f t="shared" si="30"/>
        <v>0</v>
      </c>
      <c r="JC3" s="89">
        <f t="shared" si="20"/>
        <v>88</v>
      </c>
      <c r="JD3" s="90">
        <v>1</v>
      </c>
      <c r="JE3" s="90"/>
      <c r="JF3" s="91">
        <v>25</v>
      </c>
      <c r="JG3" s="91">
        <v>2</v>
      </c>
      <c r="JH3" s="55">
        <v>2</v>
      </c>
      <c r="JI3" s="55">
        <v>2</v>
      </c>
      <c r="JJ3" s="55">
        <v>2</v>
      </c>
      <c r="JK3" s="55">
        <v>2</v>
      </c>
      <c r="JL3" s="55">
        <v>0</v>
      </c>
      <c r="JM3" s="55">
        <v>0</v>
      </c>
      <c r="JN3" s="55">
        <v>0</v>
      </c>
      <c r="JO3" s="55">
        <v>0</v>
      </c>
      <c r="JP3" s="89">
        <f t="shared" si="21"/>
        <v>8</v>
      </c>
      <c r="JQ3" s="55">
        <v>2</v>
      </c>
      <c r="JR3" s="55">
        <v>0</v>
      </c>
      <c r="JS3" s="55">
        <v>0</v>
      </c>
      <c r="JT3" s="55">
        <v>0</v>
      </c>
      <c r="JU3" s="55">
        <v>0</v>
      </c>
      <c r="JV3" s="55">
        <v>0</v>
      </c>
      <c r="JW3" s="55">
        <v>0</v>
      </c>
      <c r="JX3" s="92">
        <f t="shared" si="22"/>
        <v>2</v>
      </c>
      <c r="JY3" s="93">
        <f t="shared" si="23"/>
        <v>10</v>
      </c>
      <c r="JZ3" s="55">
        <v>3</v>
      </c>
      <c r="KA3" s="55">
        <v>2</v>
      </c>
      <c r="KB3" s="55">
        <v>3</v>
      </c>
      <c r="KC3" s="55">
        <v>0</v>
      </c>
      <c r="KD3" s="55">
        <v>0</v>
      </c>
      <c r="KE3" s="55">
        <v>0</v>
      </c>
      <c r="KF3" s="55">
        <v>0</v>
      </c>
      <c r="KG3" s="94">
        <f t="shared" si="24"/>
        <v>8</v>
      </c>
      <c r="KH3" s="95">
        <v>7.73</v>
      </c>
      <c r="KI3" s="55">
        <v>0</v>
      </c>
      <c r="KJ3" s="55">
        <v>2</v>
      </c>
      <c r="KK3" s="55">
        <v>0</v>
      </c>
      <c r="KL3" s="95" t="s">
        <v>280</v>
      </c>
      <c r="KM3" s="55">
        <v>2</v>
      </c>
      <c r="KN3" s="55">
        <v>0</v>
      </c>
      <c r="KO3" s="55">
        <v>0</v>
      </c>
      <c r="KP3" s="95" t="s">
        <v>281</v>
      </c>
      <c r="KQ3" s="55">
        <v>0</v>
      </c>
      <c r="KR3" s="55">
        <v>2</v>
      </c>
      <c r="KS3" s="55">
        <v>0</v>
      </c>
      <c r="KT3" s="95" t="s">
        <v>282</v>
      </c>
      <c r="KU3" s="55">
        <v>0</v>
      </c>
      <c r="KV3" s="55">
        <v>2</v>
      </c>
      <c r="KW3" s="55">
        <v>0</v>
      </c>
      <c r="KX3" s="95" t="s">
        <v>283</v>
      </c>
      <c r="KY3" s="55">
        <v>0</v>
      </c>
      <c r="KZ3" s="55">
        <v>2</v>
      </c>
      <c r="LA3" s="55">
        <v>1</v>
      </c>
      <c r="LB3" s="95" t="s">
        <v>284</v>
      </c>
      <c r="LC3" s="55">
        <v>0</v>
      </c>
      <c r="LD3" s="55">
        <v>2</v>
      </c>
      <c r="LE3" s="55">
        <v>0</v>
      </c>
      <c r="LF3" s="95" t="s">
        <v>285</v>
      </c>
      <c r="LG3" s="55">
        <v>0</v>
      </c>
      <c r="LH3" s="55">
        <v>2</v>
      </c>
      <c r="LI3" s="55">
        <v>0</v>
      </c>
      <c r="LJ3" s="95" t="s">
        <v>286</v>
      </c>
      <c r="LK3" s="55">
        <v>0</v>
      </c>
      <c r="LL3" s="55">
        <v>2</v>
      </c>
      <c r="LM3" s="55">
        <v>0</v>
      </c>
      <c r="LN3" s="96">
        <f t="shared" si="25"/>
        <v>15</v>
      </c>
      <c r="LO3" s="97">
        <f t="shared" si="26"/>
        <v>1</v>
      </c>
      <c r="LP3" s="97">
        <f t="shared" si="27"/>
        <v>33</v>
      </c>
    </row>
    <row r="4" spans="1:328" s="98" customFormat="1" ht="22.5" customHeight="1">
      <c r="A4" s="55" t="s">
        <v>634</v>
      </c>
      <c r="B4" s="40"/>
      <c r="C4" s="40"/>
      <c r="D4" s="49"/>
      <c r="E4" s="49"/>
      <c r="F4" s="40"/>
      <c r="G4" s="40"/>
      <c r="H4" s="40"/>
      <c r="I4" s="40"/>
      <c r="J4" s="40"/>
      <c r="K4" s="40"/>
      <c r="L4" s="40"/>
      <c r="M4" s="40"/>
      <c r="N4" s="64" t="s">
        <v>1041</v>
      </c>
      <c r="O4" s="101" t="s">
        <v>978</v>
      </c>
      <c r="P4" s="102" t="s">
        <v>752</v>
      </c>
      <c r="Q4" s="95">
        <v>1</v>
      </c>
      <c r="R4" s="103">
        <v>20305</v>
      </c>
      <c r="S4" s="102">
        <v>70</v>
      </c>
      <c r="T4" s="102" t="s">
        <v>259</v>
      </c>
      <c r="U4" s="102" t="s">
        <v>276</v>
      </c>
      <c r="V4" s="102">
        <v>995352676</v>
      </c>
      <c r="W4" s="102" t="s">
        <v>595</v>
      </c>
      <c r="X4" s="102" t="s">
        <v>753</v>
      </c>
      <c r="Y4" s="102" t="s">
        <v>311</v>
      </c>
      <c r="Z4" s="102" t="s">
        <v>262</v>
      </c>
      <c r="AA4" s="102" t="s">
        <v>754</v>
      </c>
      <c r="AB4" s="102" t="s">
        <v>279</v>
      </c>
      <c r="AC4" s="102" t="s">
        <v>597</v>
      </c>
      <c r="AD4" s="102" t="s">
        <v>597</v>
      </c>
      <c r="AE4" s="102" t="s">
        <v>755</v>
      </c>
      <c r="AF4" s="102" t="s">
        <v>597</v>
      </c>
      <c r="AG4" s="102" t="s">
        <v>756</v>
      </c>
      <c r="AH4" s="102" t="s">
        <v>597</v>
      </c>
      <c r="AI4" s="102" t="s">
        <v>597</v>
      </c>
      <c r="AJ4" s="103">
        <v>45658</v>
      </c>
      <c r="AK4" s="107" t="s">
        <v>757</v>
      </c>
      <c r="AL4" s="69">
        <v>1</v>
      </c>
      <c r="AM4" s="69">
        <v>1</v>
      </c>
      <c r="AN4" s="69">
        <v>1</v>
      </c>
      <c r="AO4" s="69">
        <v>1</v>
      </c>
      <c r="AP4" s="69">
        <v>1</v>
      </c>
      <c r="AQ4" s="69">
        <v>1</v>
      </c>
      <c r="AR4" s="69">
        <v>1</v>
      </c>
      <c r="AS4" s="69">
        <v>1</v>
      </c>
      <c r="AT4" s="70">
        <f t="shared" si="0"/>
        <v>8</v>
      </c>
      <c r="AU4" s="71">
        <v>1</v>
      </c>
      <c r="AV4" s="71">
        <v>1</v>
      </c>
      <c r="AW4" s="71">
        <v>1</v>
      </c>
      <c r="AX4" s="71">
        <v>1</v>
      </c>
      <c r="AY4" s="70">
        <f t="shared" si="1"/>
        <v>4</v>
      </c>
      <c r="AZ4" s="69">
        <v>1</v>
      </c>
      <c r="BA4" s="69">
        <v>1</v>
      </c>
      <c r="BB4" s="69">
        <v>1</v>
      </c>
      <c r="BC4" s="69">
        <v>1</v>
      </c>
      <c r="BD4" s="69">
        <v>1</v>
      </c>
      <c r="BE4" s="69">
        <v>1</v>
      </c>
      <c r="BF4" s="69">
        <v>1</v>
      </c>
      <c r="BG4" s="69">
        <v>1</v>
      </c>
      <c r="BH4" s="70">
        <f t="shared" si="2"/>
        <v>8</v>
      </c>
      <c r="BI4" s="69">
        <v>1</v>
      </c>
      <c r="BJ4" s="69">
        <v>1</v>
      </c>
      <c r="BK4" s="70">
        <f t="shared" si="3"/>
        <v>2</v>
      </c>
      <c r="BL4" s="72">
        <v>1</v>
      </c>
      <c r="BM4" s="72">
        <v>1</v>
      </c>
      <c r="BN4" s="72">
        <v>1</v>
      </c>
      <c r="BO4" s="72">
        <v>1</v>
      </c>
      <c r="BP4" s="72">
        <v>1</v>
      </c>
      <c r="BQ4" s="72">
        <v>1</v>
      </c>
      <c r="BR4" s="72">
        <v>1</v>
      </c>
      <c r="BS4" s="72">
        <v>1</v>
      </c>
      <c r="BT4" s="70">
        <f t="shared" si="4"/>
        <v>7</v>
      </c>
      <c r="BU4" s="70">
        <f t="shared" si="5"/>
        <v>29</v>
      </c>
      <c r="BV4" s="73">
        <v>5</v>
      </c>
      <c r="BW4" s="73">
        <v>5</v>
      </c>
      <c r="BX4" s="73">
        <v>5</v>
      </c>
      <c r="BY4" s="73">
        <v>1</v>
      </c>
      <c r="BZ4" s="105">
        <v>5</v>
      </c>
      <c r="CA4" s="73">
        <v>3</v>
      </c>
      <c r="CB4" s="105">
        <v>5</v>
      </c>
      <c r="CC4" s="73">
        <v>5</v>
      </c>
      <c r="CD4" s="73">
        <v>2</v>
      </c>
      <c r="CE4" s="73">
        <v>3</v>
      </c>
      <c r="CF4" s="73">
        <v>3</v>
      </c>
      <c r="CG4" s="73">
        <v>5</v>
      </c>
      <c r="CH4" s="74">
        <v>5</v>
      </c>
      <c r="CI4" s="73">
        <v>5</v>
      </c>
      <c r="CJ4" s="73">
        <v>3</v>
      </c>
      <c r="CK4" s="75">
        <f t="shared" si="6"/>
        <v>60</v>
      </c>
      <c r="CL4" s="76"/>
      <c r="CM4" s="76"/>
      <c r="CN4" s="76"/>
      <c r="CO4" s="76"/>
      <c r="CP4" s="76"/>
      <c r="CQ4" s="10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>
        <f t="shared" si="7"/>
        <v>0</v>
      </c>
      <c r="DO4" s="106">
        <v>27</v>
      </c>
      <c r="DP4" s="55">
        <v>0</v>
      </c>
      <c r="DQ4" s="55">
        <v>0</v>
      </c>
      <c r="DR4" s="55">
        <v>0</v>
      </c>
      <c r="DS4" s="55">
        <v>0</v>
      </c>
      <c r="DT4" s="55">
        <v>0</v>
      </c>
      <c r="DU4" s="55">
        <v>0</v>
      </c>
      <c r="DV4" s="55">
        <v>0</v>
      </c>
      <c r="DW4" s="55">
        <v>0</v>
      </c>
      <c r="DX4" s="55">
        <v>0</v>
      </c>
      <c r="DY4" s="55">
        <v>0</v>
      </c>
      <c r="DZ4" s="55">
        <v>0</v>
      </c>
      <c r="EA4" s="55">
        <v>0</v>
      </c>
      <c r="EB4" s="55">
        <v>0</v>
      </c>
      <c r="EC4" s="55">
        <v>0</v>
      </c>
      <c r="ED4" s="55">
        <v>0</v>
      </c>
      <c r="EE4" s="77">
        <f t="shared" ref="EE4:EE32" si="31">SUM(DP4:ED4)</f>
        <v>0</v>
      </c>
      <c r="EF4" s="77" t="s">
        <v>265</v>
      </c>
      <c r="EG4" s="78">
        <f t="shared" si="8"/>
        <v>0</v>
      </c>
      <c r="EH4" s="55">
        <v>0</v>
      </c>
      <c r="EI4" s="55">
        <v>0</v>
      </c>
      <c r="EJ4" s="55">
        <v>0</v>
      </c>
      <c r="EK4" s="55">
        <v>0</v>
      </c>
      <c r="EL4" s="55">
        <v>0</v>
      </c>
      <c r="EM4" s="55">
        <v>0</v>
      </c>
      <c r="EN4" s="55">
        <v>0</v>
      </c>
      <c r="EO4" s="55">
        <v>0</v>
      </c>
      <c r="EP4" s="55">
        <v>0</v>
      </c>
      <c r="EQ4" s="55">
        <v>0</v>
      </c>
      <c r="ER4" s="55">
        <v>0</v>
      </c>
      <c r="ES4" s="55">
        <v>0</v>
      </c>
      <c r="ET4" s="55">
        <v>0</v>
      </c>
      <c r="EU4" s="55">
        <v>0</v>
      </c>
      <c r="EV4" s="55">
        <v>0</v>
      </c>
      <c r="EW4" s="55">
        <v>0</v>
      </c>
      <c r="EX4" s="55">
        <v>0</v>
      </c>
      <c r="EY4" s="55">
        <v>0</v>
      </c>
      <c r="EZ4" s="55">
        <v>0</v>
      </c>
      <c r="FA4" s="55">
        <v>0</v>
      </c>
      <c r="FB4" s="55">
        <v>0</v>
      </c>
      <c r="FC4" s="55">
        <v>0</v>
      </c>
      <c r="FD4" s="79">
        <f t="shared" si="9"/>
        <v>0</v>
      </c>
      <c r="FE4" s="80">
        <v>1</v>
      </c>
      <c r="FF4" s="55">
        <v>1</v>
      </c>
      <c r="FG4" s="55">
        <v>1</v>
      </c>
      <c r="FH4" s="55">
        <v>1</v>
      </c>
      <c r="FI4" s="55">
        <v>1</v>
      </c>
      <c r="FJ4" s="55">
        <v>1</v>
      </c>
      <c r="FK4" s="55">
        <v>1</v>
      </c>
      <c r="FL4" s="55">
        <v>1</v>
      </c>
      <c r="FM4" s="55">
        <v>1</v>
      </c>
      <c r="FN4" s="81">
        <f t="shared" si="10"/>
        <v>8</v>
      </c>
      <c r="FO4" s="82">
        <v>1</v>
      </c>
      <c r="FP4" s="55">
        <v>10</v>
      </c>
      <c r="FQ4" s="55">
        <v>5</v>
      </c>
      <c r="FR4" s="55">
        <v>10</v>
      </c>
      <c r="FS4" s="55">
        <v>5</v>
      </c>
      <c r="FT4" s="55">
        <v>10</v>
      </c>
      <c r="FU4" s="55">
        <v>10</v>
      </c>
      <c r="FV4" s="55">
        <v>10</v>
      </c>
      <c r="FW4" s="55">
        <v>15</v>
      </c>
      <c r="FX4" s="55">
        <v>15</v>
      </c>
      <c r="FY4" s="55">
        <v>10</v>
      </c>
      <c r="FZ4" s="83">
        <f t="shared" si="11"/>
        <v>100</v>
      </c>
      <c r="GA4" s="84">
        <v>1</v>
      </c>
      <c r="GB4" s="55">
        <v>0</v>
      </c>
      <c r="GC4" s="85">
        <v>0.5</v>
      </c>
      <c r="GD4" s="85">
        <v>0</v>
      </c>
      <c r="GE4" s="85">
        <v>0</v>
      </c>
      <c r="GF4" s="85">
        <v>0</v>
      </c>
      <c r="GG4" s="85">
        <v>0</v>
      </c>
      <c r="GH4" s="85">
        <v>0</v>
      </c>
      <c r="GI4" s="55">
        <v>0</v>
      </c>
      <c r="GJ4" s="55">
        <v>0</v>
      </c>
      <c r="GK4" s="55">
        <v>0</v>
      </c>
      <c r="GL4" s="55">
        <v>0</v>
      </c>
      <c r="GM4" s="55">
        <v>0</v>
      </c>
      <c r="GN4" s="55">
        <v>0</v>
      </c>
      <c r="GO4" s="55">
        <v>0</v>
      </c>
      <c r="GP4" s="55">
        <v>0</v>
      </c>
      <c r="GQ4" s="55">
        <v>0</v>
      </c>
      <c r="GR4" s="55">
        <v>0</v>
      </c>
      <c r="GS4" s="55">
        <v>0</v>
      </c>
      <c r="GT4" s="55">
        <v>0</v>
      </c>
      <c r="GU4" s="86">
        <f t="shared" si="12"/>
        <v>0</v>
      </c>
      <c r="GV4" s="87" t="s">
        <v>301</v>
      </c>
      <c r="GW4" s="87">
        <v>0</v>
      </c>
      <c r="GX4" s="88" t="s">
        <v>267</v>
      </c>
      <c r="GY4" s="55">
        <v>5</v>
      </c>
      <c r="GZ4" s="55">
        <v>5</v>
      </c>
      <c r="HA4" s="97">
        <v>3</v>
      </c>
      <c r="HB4" s="97">
        <v>1</v>
      </c>
      <c r="HC4" s="97">
        <v>5</v>
      </c>
      <c r="HD4" s="97">
        <v>4</v>
      </c>
      <c r="HE4" s="55"/>
      <c r="HF4" s="55"/>
      <c r="HG4" s="55">
        <v>2</v>
      </c>
      <c r="HH4" s="55">
        <v>7</v>
      </c>
      <c r="HI4" s="55">
        <v>7</v>
      </c>
      <c r="HJ4" s="55"/>
      <c r="HK4" s="55">
        <v>4</v>
      </c>
      <c r="HL4" s="55">
        <v>6</v>
      </c>
      <c r="HM4" s="55">
        <v>5</v>
      </c>
      <c r="HN4" s="55">
        <v>1</v>
      </c>
      <c r="HO4" s="55">
        <v>3</v>
      </c>
      <c r="HP4" s="55">
        <v>1</v>
      </c>
      <c r="HQ4" s="55">
        <v>2</v>
      </c>
      <c r="HR4" s="55">
        <v>1</v>
      </c>
      <c r="HS4" s="55">
        <v>1</v>
      </c>
      <c r="HT4" s="55">
        <v>2</v>
      </c>
      <c r="HU4" s="55">
        <v>4</v>
      </c>
      <c r="HV4" s="55">
        <v>1</v>
      </c>
      <c r="HW4" s="55">
        <v>1</v>
      </c>
      <c r="HX4" s="55">
        <v>1</v>
      </c>
      <c r="HY4" s="55">
        <v>1</v>
      </c>
      <c r="HZ4" s="55">
        <v>4</v>
      </c>
      <c r="IA4" s="55">
        <v>4</v>
      </c>
      <c r="IB4" s="55">
        <v>7</v>
      </c>
      <c r="IC4" s="55"/>
      <c r="ID4" s="55">
        <f t="shared" ref="ID4:IG4" si="32">SUM(GY4)</f>
        <v>5</v>
      </c>
      <c r="IE4" s="55">
        <f t="shared" si="32"/>
        <v>5</v>
      </c>
      <c r="IF4" s="55">
        <f t="shared" si="32"/>
        <v>3</v>
      </c>
      <c r="IG4" s="55">
        <f t="shared" si="32"/>
        <v>1</v>
      </c>
      <c r="IH4" s="55">
        <f t="shared" si="14"/>
        <v>9</v>
      </c>
      <c r="II4" s="55">
        <f t="shared" si="15"/>
        <v>2</v>
      </c>
      <c r="IJ4" s="55">
        <f t="shared" si="16"/>
        <v>14</v>
      </c>
      <c r="IK4" s="55">
        <f t="shared" ref="IK4:IQ4" si="33">SUM(HK4)</f>
        <v>4</v>
      </c>
      <c r="IL4" s="55">
        <f t="shared" si="33"/>
        <v>6</v>
      </c>
      <c r="IM4" s="55">
        <f t="shared" si="33"/>
        <v>5</v>
      </c>
      <c r="IN4" s="55">
        <f t="shared" si="33"/>
        <v>1</v>
      </c>
      <c r="IO4" s="55">
        <f t="shared" si="33"/>
        <v>3</v>
      </c>
      <c r="IP4" s="55">
        <f t="shared" si="33"/>
        <v>1</v>
      </c>
      <c r="IQ4" s="55">
        <f t="shared" si="33"/>
        <v>2</v>
      </c>
      <c r="IR4" s="55">
        <f t="shared" si="18"/>
        <v>2</v>
      </c>
      <c r="IS4" s="55">
        <f t="shared" ref="IS4:JB4" si="34">SUM(HT4)</f>
        <v>2</v>
      </c>
      <c r="IT4" s="55">
        <f t="shared" si="34"/>
        <v>4</v>
      </c>
      <c r="IU4" s="55">
        <f t="shared" si="34"/>
        <v>1</v>
      </c>
      <c r="IV4" s="55">
        <f t="shared" si="34"/>
        <v>1</v>
      </c>
      <c r="IW4" s="55">
        <f t="shared" si="34"/>
        <v>1</v>
      </c>
      <c r="IX4" s="55">
        <f t="shared" si="34"/>
        <v>1</v>
      </c>
      <c r="IY4" s="55">
        <f t="shared" si="34"/>
        <v>4</v>
      </c>
      <c r="IZ4" s="55">
        <f t="shared" si="34"/>
        <v>4</v>
      </c>
      <c r="JA4" s="55">
        <f t="shared" si="34"/>
        <v>7</v>
      </c>
      <c r="JB4" s="55">
        <f t="shared" si="34"/>
        <v>0</v>
      </c>
      <c r="JC4" s="89">
        <f t="shared" si="20"/>
        <v>87</v>
      </c>
      <c r="JD4" s="90">
        <v>1</v>
      </c>
      <c r="JE4" s="90">
        <v>1</v>
      </c>
      <c r="JF4" s="91">
        <v>26</v>
      </c>
      <c r="JG4" s="91">
        <v>2</v>
      </c>
      <c r="JH4" s="55">
        <v>2</v>
      </c>
      <c r="JI4" s="55">
        <v>2</v>
      </c>
      <c r="JJ4" s="55">
        <v>2</v>
      </c>
      <c r="JK4" s="55">
        <v>1</v>
      </c>
      <c r="JL4" s="55">
        <v>0</v>
      </c>
      <c r="JM4" s="55">
        <v>0</v>
      </c>
      <c r="JN4" s="55">
        <v>0</v>
      </c>
      <c r="JO4" s="55">
        <v>0</v>
      </c>
      <c r="JP4" s="89">
        <f t="shared" si="21"/>
        <v>7</v>
      </c>
      <c r="JQ4" s="55">
        <v>2</v>
      </c>
      <c r="JR4" s="55">
        <v>2</v>
      </c>
      <c r="JS4" s="55">
        <v>0</v>
      </c>
      <c r="JT4" s="55">
        <v>0</v>
      </c>
      <c r="JU4" s="55">
        <v>0</v>
      </c>
      <c r="JV4" s="55">
        <v>0</v>
      </c>
      <c r="JW4" s="55">
        <v>0</v>
      </c>
      <c r="JX4" s="92">
        <f t="shared" si="22"/>
        <v>4</v>
      </c>
      <c r="JY4" s="93">
        <f t="shared" si="23"/>
        <v>11</v>
      </c>
      <c r="JZ4" s="55">
        <v>3</v>
      </c>
      <c r="KA4" s="55">
        <v>2</v>
      </c>
      <c r="KB4" s="55">
        <v>0</v>
      </c>
      <c r="KC4" s="55">
        <v>0</v>
      </c>
      <c r="KD4" s="55">
        <v>0</v>
      </c>
      <c r="KE4" s="55">
        <v>0</v>
      </c>
      <c r="KF4" s="55">
        <v>0</v>
      </c>
      <c r="KG4" s="94">
        <f t="shared" si="24"/>
        <v>5</v>
      </c>
      <c r="KH4" s="108">
        <v>45817</v>
      </c>
      <c r="KI4" s="55">
        <v>0</v>
      </c>
      <c r="KJ4" s="55">
        <v>2</v>
      </c>
      <c r="KK4" s="55">
        <v>0</v>
      </c>
      <c r="KL4" s="108">
        <v>45726</v>
      </c>
      <c r="KM4" s="95">
        <v>0</v>
      </c>
      <c r="KN4" s="55">
        <v>2</v>
      </c>
      <c r="KO4" s="55">
        <v>0</v>
      </c>
      <c r="KP4" s="95" t="s">
        <v>758</v>
      </c>
      <c r="KQ4" s="55">
        <v>0</v>
      </c>
      <c r="KR4" s="55">
        <v>2</v>
      </c>
      <c r="KS4" s="55">
        <v>0</v>
      </c>
      <c r="KT4" s="95" t="s">
        <v>759</v>
      </c>
      <c r="KU4" s="55">
        <v>0</v>
      </c>
      <c r="KV4" s="55">
        <v>2</v>
      </c>
      <c r="KW4" s="55">
        <v>0</v>
      </c>
      <c r="KX4" s="95" t="s">
        <v>760</v>
      </c>
      <c r="KY4" s="55">
        <v>0</v>
      </c>
      <c r="KZ4" s="55">
        <v>2</v>
      </c>
      <c r="LA4" s="55">
        <v>0</v>
      </c>
      <c r="LB4" s="109" t="s">
        <v>761</v>
      </c>
      <c r="LC4" s="55">
        <v>0</v>
      </c>
      <c r="LD4" s="55">
        <v>2</v>
      </c>
      <c r="LE4" s="55">
        <v>0</v>
      </c>
      <c r="LF4" s="95" t="s">
        <v>762</v>
      </c>
      <c r="LG4" s="55">
        <v>0</v>
      </c>
      <c r="LH4" s="55">
        <v>2</v>
      </c>
      <c r="LI4" s="55">
        <v>0</v>
      </c>
      <c r="LJ4" s="108">
        <v>45761</v>
      </c>
      <c r="LK4" s="55">
        <v>0</v>
      </c>
      <c r="LL4" s="55">
        <v>2</v>
      </c>
      <c r="LM4" s="55">
        <v>2</v>
      </c>
      <c r="LN4" s="96">
        <f t="shared" si="25"/>
        <v>18</v>
      </c>
      <c r="LO4" s="97">
        <f t="shared" si="26"/>
        <v>2</v>
      </c>
      <c r="LP4" s="97">
        <f t="shared" si="27"/>
        <v>34</v>
      </c>
    </row>
    <row r="5" spans="1:328" s="98" customFormat="1" ht="13.8">
      <c r="A5" s="55" t="s">
        <v>592</v>
      </c>
      <c r="B5" s="110">
        <v>45973</v>
      </c>
      <c r="C5" s="61">
        <v>40</v>
      </c>
      <c r="D5" s="62" t="s">
        <v>763</v>
      </c>
      <c r="E5" s="62"/>
      <c r="F5" s="61">
        <v>1</v>
      </c>
      <c r="G5" s="61">
        <v>1</v>
      </c>
      <c r="H5" s="61">
        <v>1</v>
      </c>
      <c r="I5" s="164">
        <v>8</v>
      </c>
      <c r="J5" s="164">
        <v>4</v>
      </c>
      <c r="K5" s="63">
        <v>9.7222222222222224E-2</v>
      </c>
      <c r="L5" s="63">
        <v>0.12708333333333333</v>
      </c>
      <c r="M5" s="63">
        <v>5.9722222222222225E-2</v>
      </c>
      <c r="N5" s="64" t="s">
        <v>1040</v>
      </c>
      <c r="O5" s="101" t="s">
        <v>979</v>
      </c>
      <c r="P5" s="111" t="s">
        <v>688</v>
      </c>
      <c r="Q5" s="111">
        <v>1</v>
      </c>
      <c r="R5" s="112">
        <v>19826</v>
      </c>
      <c r="S5" s="111">
        <v>71</v>
      </c>
      <c r="T5" s="111" t="s">
        <v>259</v>
      </c>
      <c r="U5" s="111" t="s">
        <v>287</v>
      </c>
      <c r="V5" s="113" t="s">
        <v>689</v>
      </c>
      <c r="W5" s="111" t="s">
        <v>595</v>
      </c>
      <c r="X5" s="111" t="s">
        <v>596</v>
      </c>
      <c r="Y5" s="111" t="s">
        <v>288</v>
      </c>
      <c r="Z5" s="111" t="s">
        <v>262</v>
      </c>
      <c r="AA5" s="111" t="s">
        <v>289</v>
      </c>
      <c r="AB5" s="111" t="s">
        <v>264</v>
      </c>
      <c r="AC5" s="111" t="s">
        <v>597</v>
      </c>
      <c r="AD5" s="111" t="s">
        <v>597</v>
      </c>
      <c r="AE5" s="111" t="s">
        <v>690</v>
      </c>
      <c r="AF5" s="111" t="s">
        <v>597</v>
      </c>
      <c r="AG5" s="111" t="s">
        <v>652</v>
      </c>
      <c r="AH5" s="111" t="s">
        <v>599</v>
      </c>
      <c r="AI5" s="111" t="s">
        <v>599</v>
      </c>
      <c r="AJ5" s="112">
        <v>45352</v>
      </c>
      <c r="AK5" s="114" t="s">
        <v>622</v>
      </c>
      <c r="AL5" s="69">
        <v>1</v>
      </c>
      <c r="AM5" s="69">
        <v>1</v>
      </c>
      <c r="AN5" s="69">
        <v>1</v>
      </c>
      <c r="AO5" s="69">
        <v>1</v>
      </c>
      <c r="AP5" s="69">
        <v>1</v>
      </c>
      <c r="AQ5" s="69">
        <v>1</v>
      </c>
      <c r="AR5" s="69">
        <v>1</v>
      </c>
      <c r="AS5" s="69">
        <v>1</v>
      </c>
      <c r="AT5" s="70">
        <f t="shared" si="0"/>
        <v>8</v>
      </c>
      <c r="AU5" s="71">
        <v>1</v>
      </c>
      <c r="AV5" s="71">
        <v>1</v>
      </c>
      <c r="AW5" s="71">
        <v>1</v>
      </c>
      <c r="AX5" s="71">
        <v>1</v>
      </c>
      <c r="AY5" s="70">
        <f t="shared" si="1"/>
        <v>4</v>
      </c>
      <c r="AZ5" s="115">
        <v>0</v>
      </c>
      <c r="BA5" s="115">
        <v>0</v>
      </c>
      <c r="BB5" s="115">
        <v>0</v>
      </c>
      <c r="BC5" s="115">
        <v>0</v>
      </c>
      <c r="BD5" s="115">
        <v>0</v>
      </c>
      <c r="BE5" s="69">
        <v>1</v>
      </c>
      <c r="BF5" s="115">
        <v>0</v>
      </c>
      <c r="BG5" s="115">
        <v>0</v>
      </c>
      <c r="BH5" s="70">
        <f t="shared" si="2"/>
        <v>1</v>
      </c>
      <c r="BI5" s="69">
        <v>0</v>
      </c>
      <c r="BJ5" s="69">
        <v>0</v>
      </c>
      <c r="BK5" s="70">
        <f t="shared" si="3"/>
        <v>0</v>
      </c>
      <c r="BL5" s="72">
        <v>1</v>
      </c>
      <c r="BM5" s="72">
        <v>0</v>
      </c>
      <c r="BN5" s="72">
        <v>0</v>
      </c>
      <c r="BO5" s="72">
        <v>0</v>
      </c>
      <c r="BP5" s="72">
        <v>1</v>
      </c>
      <c r="BQ5" s="72">
        <v>0</v>
      </c>
      <c r="BR5" s="72">
        <v>0</v>
      </c>
      <c r="BS5" s="72">
        <v>0</v>
      </c>
      <c r="BT5" s="70">
        <f t="shared" si="4"/>
        <v>1</v>
      </c>
      <c r="BU5" s="70">
        <f t="shared" si="5"/>
        <v>14</v>
      </c>
      <c r="BV5" s="73">
        <v>5</v>
      </c>
      <c r="BW5" s="73">
        <v>5</v>
      </c>
      <c r="BX5" s="73">
        <v>5</v>
      </c>
      <c r="BY5" s="73">
        <v>1</v>
      </c>
      <c r="BZ5" s="105">
        <v>5</v>
      </c>
      <c r="CA5" s="73">
        <v>3</v>
      </c>
      <c r="CB5" s="105">
        <v>5</v>
      </c>
      <c r="CC5" s="73">
        <v>5</v>
      </c>
      <c r="CD5" s="73">
        <v>2</v>
      </c>
      <c r="CE5" s="73">
        <v>3</v>
      </c>
      <c r="CF5" s="73">
        <v>3</v>
      </c>
      <c r="CG5" s="73">
        <v>5</v>
      </c>
      <c r="CH5" s="74">
        <v>5</v>
      </c>
      <c r="CI5" s="73">
        <v>5</v>
      </c>
      <c r="CJ5" s="73">
        <v>3</v>
      </c>
      <c r="CK5" s="75">
        <f t="shared" si="6"/>
        <v>60</v>
      </c>
      <c r="CL5" s="76">
        <v>5</v>
      </c>
      <c r="CM5" s="76">
        <v>1</v>
      </c>
      <c r="CN5" s="76">
        <v>5</v>
      </c>
      <c r="CO5" s="76">
        <v>5</v>
      </c>
      <c r="CP5" s="76">
        <v>5</v>
      </c>
      <c r="CQ5" s="106">
        <v>5</v>
      </c>
      <c r="CR5" s="76">
        <v>1</v>
      </c>
      <c r="CS5" s="76">
        <v>5</v>
      </c>
      <c r="CT5" s="76">
        <v>5</v>
      </c>
      <c r="CU5" s="76">
        <v>5</v>
      </c>
      <c r="CV5" s="76">
        <v>5</v>
      </c>
      <c r="CW5" s="76">
        <v>1</v>
      </c>
      <c r="CX5" s="76">
        <v>1</v>
      </c>
      <c r="CY5" s="76">
        <v>4</v>
      </c>
      <c r="CZ5" s="76">
        <v>5</v>
      </c>
      <c r="DA5" s="76">
        <v>5</v>
      </c>
      <c r="DB5" s="76">
        <v>5</v>
      </c>
      <c r="DC5" s="76">
        <v>4</v>
      </c>
      <c r="DD5" s="76">
        <v>5</v>
      </c>
      <c r="DE5" s="76">
        <v>5</v>
      </c>
      <c r="DF5" s="76">
        <v>5</v>
      </c>
      <c r="DG5" s="76">
        <v>5</v>
      </c>
      <c r="DH5" s="76">
        <v>5</v>
      </c>
      <c r="DI5" s="76">
        <v>5</v>
      </c>
      <c r="DJ5" s="76">
        <v>1</v>
      </c>
      <c r="DK5" s="76">
        <v>5</v>
      </c>
      <c r="DL5" s="76">
        <v>3</v>
      </c>
      <c r="DM5" s="106">
        <v>1</v>
      </c>
      <c r="DN5" s="76">
        <f t="shared" si="7"/>
        <v>112</v>
      </c>
      <c r="DO5" s="76">
        <v>24</v>
      </c>
      <c r="DP5" s="114">
        <v>0</v>
      </c>
      <c r="DQ5" s="114">
        <v>0</v>
      </c>
      <c r="DR5" s="114">
        <v>0</v>
      </c>
      <c r="DS5" s="114">
        <v>0</v>
      </c>
      <c r="DT5" s="114">
        <v>0</v>
      </c>
      <c r="DU5" s="114">
        <v>0</v>
      </c>
      <c r="DV5" s="114">
        <v>0</v>
      </c>
      <c r="DW5" s="114">
        <v>0</v>
      </c>
      <c r="DX5" s="114">
        <v>0</v>
      </c>
      <c r="DY5" s="114">
        <v>1</v>
      </c>
      <c r="DZ5" s="114">
        <v>0</v>
      </c>
      <c r="EA5" s="114">
        <v>0</v>
      </c>
      <c r="EB5" s="114">
        <v>0</v>
      </c>
      <c r="EC5" s="114">
        <v>0</v>
      </c>
      <c r="ED5" s="114">
        <v>0</v>
      </c>
      <c r="EE5" s="77">
        <f t="shared" si="31"/>
        <v>1</v>
      </c>
      <c r="EF5" s="77" t="s">
        <v>265</v>
      </c>
      <c r="EG5" s="78">
        <f t="shared" si="8"/>
        <v>1</v>
      </c>
      <c r="EH5" s="55">
        <v>0</v>
      </c>
      <c r="EI5" s="55">
        <v>0</v>
      </c>
      <c r="EJ5" s="55">
        <v>1</v>
      </c>
      <c r="EK5" s="55">
        <v>0</v>
      </c>
      <c r="EL5" s="55">
        <v>0.5</v>
      </c>
      <c r="EM5" s="55">
        <v>0</v>
      </c>
      <c r="EN5" s="55">
        <v>1</v>
      </c>
      <c r="EO5" s="55">
        <v>1</v>
      </c>
      <c r="EP5" s="55">
        <v>1</v>
      </c>
      <c r="EQ5" s="55">
        <v>0</v>
      </c>
      <c r="ER5" s="55">
        <v>0</v>
      </c>
      <c r="ES5" s="55">
        <v>0</v>
      </c>
      <c r="ET5" s="55">
        <v>0</v>
      </c>
      <c r="EU5" s="55">
        <v>0</v>
      </c>
      <c r="EV5" s="55">
        <v>0</v>
      </c>
      <c r="EW5" s="55">
        <v>0</v>
      </c>
      <c r="EX5" s="55">
        <v>0</v>
      </c>
      <c r="EY5" s="55">
        <v>0</v>
      </c>
      <c r="EZ5" s="55">
        <v>0</v>
      </c>
      <c r="FA5" s="55">
        <v>0</v>
      </c>
      <c r="FB5" s="55">
        <v>0</v>
      </c>
      <c r="FC5" s="55">
        <v>1</v>
      </c>
      <c r="FD5" s="79">
        <f t="shared" si="9"/>
        <v>5.5</v>
      </c>
      <c r="FE5" s="80">
        <v>2</v>
      </c>
      <c r="FF5" s="55">
        <v>1</v>
      </c>
      <c r="FG5" s="55">
        <v>1</v>
      </c>
      <c r="FH5" s="55">
        <v>1</v>
      </c>
      <c r="FI5" s="55">
        <v>1</v>
      </c>
      <c r="FJ5" s="55">
        <v>1</v>
      </c>
      <c r="FK5" s="55">
        <v>1</v>
      </c>
      <c r="FL5" s="55">
        <v>1</v>
      </c>
      <c r="FM5" s="55">
        <v>1</v>
      </c>
      <c r="FN5" s="81">
        <f t="shared" si="10"/>
        <v>8</v>
      </c>
      <c r="FO5" s="82">
        <v>1</v>
      </c>
      <c r="FP5" s="55">
        <v>10</v>
      </c>
      <c r="FQ5" s="55">
        <v>5</v>
      </c>
      <c r="FR5" s="55">
        <v>10</v>
      </c>
      <c r="FS5" s="55">
        <v>5</v>
      </c>
      <c r="FT5" s="55">
        <v>10</v>
      </c>
      <c r="FU5" s="55">
        <v>10</v>
      </c>
      <c r="FV5" s="55">
        <v>10</v>
      </c>
      <c r="FW5" s="55">
        <v>15</v>
      </c>
      <c r="FX5" s="55">
        <v>15</v>
      </c>
      <c r="FY5" s="55">
        <v>10</v>
      </c>
      <c r="FZ5" s="83">
        <f t="shared" si="11"/>
        <v>100</v>
      </c>
      <c r="GA5" s="84">
        <v>1</v>
      </c>
      <c r="GB5" s="55">
        <v>0</v>
      </c>
      <c r="GC5" s="85">
        <v>0</v>
      </c>
      <c r="GD5" s="85">
        <v>0</v>
      </c>
      <c r="GE5" s="85">
        <v>0</v>
      </c>
      <c r="GF5" s="85">
        <v>0</v>
      </c>
      <c r="GG5" s="85">
        <v>0</v>
      </c>
      <c r="GH5" s="85">
        <v>0</v>
      </c>
      <c r="GI5" s="55">
        <v>0</v>
      </c>
      <c r="GJ5" s="55">
        <v>0</v>
      </c>
      <c r="GK5" s="55">
        <v>0</v>
      </c>
      <c r="GL5" s="55">
        <v>0</v>
      </c>
      <c r="GM5" s="55">
        <v>1</v>
      </c>
      <c r="GN5" s="55">
        <v>0</v>
      </c>
      <c r="GO5" s="55">
        <v>0</v>
      </c>
      <c r="GP5" s="55">
        <v>0</v>
      </c>
      <c r="GQ5" s="55">
        <v>0</v>
      </c>
      <c r="GR5" s="55">
        <v>0</v>
      </c>
      <c r="GS5" s="55">
        <v>2</v>
      </c>
      <c r="GT5" s="55">
        <v>1</v>
      </c>
      <c r="GU5" s="86">
        <f t="shared" si="12"/>
        <v>4</v>
      </c>
      <c r="GV5" s="87" t="s">
        <v>266</v>
      </c>
      <c r="GW5" s="87">
        <v>0</v>
      </c>
      <c r="GX5" s="88" t="s">
        <v>267</v>
      </c>
      <c r="GY5" s="55">
        <v>5</v>
      </c>
      <c r="GZ5" s="55">
        <v>5</v>
      </c>
      <c r="HA5" s="55">
        <v>3</v>
      </c>
      <c r="HB5" s="55">
        <v>1</v>
      </c>
      <c r="HC5" s="55">
        <v>0</v>
      </c>
      <c r="HD5" s="55">
        <v>5</v>
      </c>
      <c r="HE5" s="55"/>
      <c r="HF5" s="55"/>
      <c r="HG5" s="55">
        <v>2</v>
      </c>
      <c r="HH5" s="55">
        <v>7</v>
      </c>
      <c r="HI5" s="55">
        <v>7</v>
      </c>
      <c r="HJ5" s="55"/>
      <c r="HK5" s="55">
        <v>2</v>
      </c>
      <c r="HL5" s="55">
        <v>4</v>
      </c>
      <c r="HM5" s="55">
        <v>5</v>
      </c>
      <c r="HN5" s="55">
        <v>1</v>
      </c>
      <c r="HO5" s="55">
        <v>3</v>
      </c>
      <c r="HP5" s="55">
        <v>1</v>
      </c>
      <c r="HQ5" s="55">
        <v>1</v>
      </c>
      <c r="HR5" s="55">
        <v>1</v>
      </c>
      <c r="HS5" s="55">
        <v>1</v>
      </c>
      <c r="HT5" s="55">
        <v>2</v>
      </c>
      <c r="HU5" s="55">
        <v>4</v>
      </c>
      <c r="HV5" s="55">
        <v>1</v>
      </c>
      <c r="HW5" s="55">
        <v>1</v>
      </c>
      <c r="HX5" s="55">
        <v>0</v>
      </c>
      <c r="HY5" s="55">
        <v>5</v>
      </c>
      <c r="HZ5" s="55">
        <v>4</v>
      </c>
      <c r="IA5" s="55">
        <v>4</v>
      </c>
      <c r="IB5" s="55">
        <v>7</v>
      </c>
      <c r="IC5" s="55"/>
      <c r="ID5" s="55">
        <f t="shared" ref="ID5:IG5" si="35">SUM(GY5)</f>
        <v>5</v>
      </c>
      <c r="IE5" s="55">
        <f t="shared" si="35"/>
        <v>5</v>
      </c>
      <c r="IF5" s="55">
        <f t="shared" si="35"/>
        <v>3</v>
      </c>
      <c r="IG5" s="55">
        <f t="shared" si="35"/>
        <v>1</v>
      </c>
      <c r="IH5" s="55">
        <f t="shared" si="14"/>
        <v>5</v>
      </c>
      <c r="II5" s="55">
        <f t="shared" si="15"/>
        <v>2</v>
      </c>
      <c r="IJ5" s="55">
        <f t="shared" si="16"/>
        <v>14</v>
      </c>
      <c r="IK5" s="55">
        <f t="shared" ref="IK5:IQ5" si="36">SUM(HK5)</f>
        <v>2</v>
      </c>
      <c r="IL5" s="55">
        <f t="shared" si="36"/>
        <v>4</v>
      </c>
      <c r="IM5" s="55">
        <f t="shared" si="36"/>
        <v>5</v>
      </c>
      <c r="IN5" s="55">
        <f t="shared" si="36"/>
        <v>1</v>
      </c>
      <c r="IO5" s="55">
        <f t="shared" si="36"/>
        <v>3</v>
      </c>
      <c r="IP5" s="55">
        <f t="shared" si="36"/>
        <v>1</v>
      </c>
      <c r="IQ5" s="55">
        <f t="shared" si="36"/>
        <v>1</v>
      </c>
      <c r="IR5" s="55">
        <f t="shared" si="18"/>
        <v>2</v>
      </c>
      <c r="IS5" s="55">
        <f t="shared" ref="IS5:JB5" si="37">SUM(HT5)</f>
        <v>2</v>
      </c>
      <c r="IT5" s="55">
        <f t="shared" si="37"/>
        <v>4</v>
      </c>
      <c r="IU5" s="55">
        <f t="shared" si="37"/>
        <v>1</v>
      </c>
      <c r="IV5" s="55">
        <f t="shared" si="37"/>
        <v>1</v>
      </c>
      <c r="IW5" s="55">
        <f t="shared" si="37"/>
        <v>0</v>
      </c>
      <c r="IX5" s="55">
        <f t="shared" si="37"/>
        <v>5</v>
      </c>
      <c r="IY5" s="55">
        <f t="shared" si="37"/>
        <v>4</v>
      </c>
      <c r="IZ5" s="55">
        <f t="shared" si="37"/>
        <v>4</v>
      </c>
      <c r="JA5" s="55">
        <f t="shared" si="37"/>
        <v>7</v>
      </c>
      <c r="JB5" s="55">
        <f t="shared" si="37"/>
        <v>0</v>
      </c>
      <c r="JC5" s="89">
        <f t="shared" si="20"/>
        <v>81</v>
      </c>
      <c r="JD5" s="90">
        <v>1</v>
      </c>
      <c r="JE5" s="90">
        <v>1</v>
      </c>
      <c r="JF5" s="91">
        <v>32</v>
      </c>
      <c r="JG5" s="91">
        <v>2</v>
      </c>
      <c r="JH5" s="55">
        <v>2</v>
      </c>
      <c r="JI5" s="55">
        <v>2</v>
      </c>
      <c r="JJ5" s="55">
        <v>2</v>
      </c>
      <c r="JK5" s="55">
        <v>2</v>
      </c>
      <c r="JL5" s="55">
        <v>0</v>
      </c>
      <c r="JM5" s="55">
        <v>0</v>
      </c>
      <c r="JN5" s="55">
        <v>0</v>
      </c>
      <c r="JO5" s="55">
        <v>0</v>
      </c>
      <c r="JP5" s="89">
        <f t="shared" si="21"/>
        <v>8</v>
      </c>
      <c r="JQ5" s="55">
        <v>2</v>
      </c>
      <c r="JR5" s="55">
        <v>1</v>
      </c>
      <c r="JS5" s="55">
        <v>0</v>
      </c>
      <c r="JT5" s="55">
        <v>0</v>
      </c>
      <c r="JU5" s="55">
        <v>0</v>
      </c>
      <c r="JV5" s="55">
        <v>0</v>
      </c>
      <c r="JW5" s="55">
        <v>0</v>
      </c>
      <c r="JX5" s="92">
        <f t="shared" si="22"/>
        <v>3</v>
      </c>
      <c r="JY5" s="93">
        <f t="shared" si="23"/>
        <v>11</v>
      </c>
      <c r="JZ5" s="55">
        <v>3</v>
      </c>
      <c r="KA5" s="55">
        <v>3</v>
      </c>
      <c r="KB5" s="55">
        <v>2</v>
      </c>
      <c r="KC5" s="55">
        <v>0</v>
      </c>
      <c r="KD5" s="55">
        <v>0</v>
      </c>
      <c r="KE5" s="55">
        <v>0</v>
      </c>
      <c r="KF5" s="55">
        <v>0</v>
      </c>
      <c r="KG5" s="94">
        <f t="shared" si="24"/>
        <v>8</v>
      </c>
      <c r="KH5" s="95" t="s">
        <v>290</v>
      </c>
      <c r="KI5" s="55">
        <v>0</v>
      </c>
      <c r="KJ5" s="55">
        <v>2</v>
      </c>
      <c r="KK5" s="55">
        <v>0</v>
      </c>
      <c r="KL5" s="95" t="s">
        <v>291</v>
      </c>
      <c r="KM5" s="55">
        <v>0</v>
      </c>
      <c r="KN5" s="55">
        <v>2</v>
      </c>
      <c r="KO5" s="55">
        <v>0</v>
      </c>
      <c r="KP5" s="116" t="s">
        <v>292</v>
      </c>
      <c r="KQ5" s="55">
        <v>0</v>
      </c>
      <c r="KR5" s="55">
        <v>2</v>
      </c>
      <c r="KS5" s="55">
        <v>0</v>
      </c>
      <c r="KT5" s="95" t="s">
        <v>293</v>
      </c>
      <c r="KU5" s="55">
        <v>0</v>
      </c>
      <c r="KV5" s="55">
        <v>2</v>
      </c>
      <c r="KW5" s="55">
        <v>0</v>
      </c>
      <c r="KX5" s="116" t="s">
        <v>294</v>
      </c>
      <c r="KY5" s="55">
        <v>0</v>
      </c>
      <c r="KZ5" s="55">
        <v>2</v>
      </c>
      <c r="LA5" s="55">
        <v>0</v>
      </c>
      <c r="LB5" s="116" t="s">
        <v>295</v>
      </c>
      <c r="LC5" s="55">
        <v>0</v>
      </c>
      <c r="LD5" s="55">
        <v>2</v>
      </c>
      <c r="LE5" s="55">
        <v>0</v>
      </c>
      <c r="LF5" s="116" t="s">
        <v>296</v>
      </c>
      <c r="LG5" s="55">
        <v>0</v>
      </c>
      <c r="LH5" s="55">
        <v>2</v>
      </c>
      <c r="LI5" s="55">
        <v>0</v>
      </c>
      <c r="LJ5" s="116" t="s">
        <v>297</v>
      </c>
      <c r="LK5" s="55">
        <v>0</v>
      </c>
      <c r="LL5" s="55">
        <v>2</v>
      </c>
      <c r="LM5" s="55">
        <v>0</v>
      </c>
      <c r="LN5" s="96">
        <f t="shared" si="25"/>
        <v>16</v>
      </c>
      <c r="LO5" s="97">
        <f t="shared" si="26"/>
        <v>0</v>
      </c>
      <c r="LP5" s="97">
        <f t="shared" si="27"/>
        <v>35</v>
      </c>
    </row>
    <row r="6" spans="1:328" s="98" customFormat="1" ht="13.8">
      <c r="A6" s="55" t="s">
        <v>613</v>
      </c>
      <c r="B6" s="110">
        <v>45953</v>
      </c>
      <c r="C6" s="61">
        <v>11</v>
      </c>
      <c r="D6" s="62"/>
      <c r="E6" s="62" t="s">
        <v>764</v>
      </c>
      <c r="F6" s="61">
        <v>1</v>
      </c>
      <c r="G6" s="61">
        <v>1</v>
      </c>
      <c r="H6" s="61">
        <v>0</v>
      </c>
      <c r="I6" s="164">
        <v>4</v>
      </c>
      <c r="J6" s="164">
        <v>0</v>
      </c>
      <c r="K6" s="63">
        <v>0.11736111111111111</v>
      </c>
      <c r="L6" s="63">
        <v>5.347222222222222E-2</v>
      </c>
      <c r="M6" s="63">
        <v>0</v>
      </c>
      <c r="N6" s="64" t="s">
        <v>1041</v>
      </c>
      <c r="O6" s="101" t="s">
        <v>980</v>
      </c>
      <c r="P6" s="66" t="s">
        <v>618</v>
      </c>
      <c r="Q6" s="66">
        <v>1</v>
      </c>
      <c r="R6" s="67">
        <v>15039</v>
      </c>
      <c r="S6" s="66">
        <v>85</v>
      </c>
      <c r="T6" s="66" t="s">
        <v>259</v>
      </c>
      <c r="U6" s="66" t="s">
        <v>298</v>
      </c>
      <c r="V6" s="68" t="s">
        <v>619</v>
      </c>
      <c r="W6" s="66" t="s">
        <v>595</v>
      </c>
      <c r="X6" s="66" t="s">
        <v>596</v>
      </c>
      <c r="Y6" s="66" t="s">
        <v>288</v>
      </c>
      <c r="Z6" s="66" t="s">
        <v>262</v>
      </c>
      <c r="AA6" s="66" t="s">
        <v>299</v>
      </c>
      <c r="AB6" s="66" t="s">
        <v>300</v>
      </c>
      <c r="AC6" s="66" t="s">
        <v>597</v>
      </c>
      <c r="AD6" s="66" t="s">
        <v>597</v>
      </c>
      <c r="AE6" s="66" t="s">
        <v>620</v>
      </c>
      <c r="AF6" s="66" t="s">
        <v>597</v>
      </c>
      <c r="AG6" s="66" t="s">
        <v>621</v>
      </c>
      <c r="AH6" s="66" t="s">
        <v>599</v>
      </c>
      <c r="AI6" s="66" t="s">
        <v>597</v>
      </c>
      <c r="AJ6" s="67">
        <v>45581</v>
      </c>
      <c r="AK6" s="40" t="s">
        <v>622</v>
      </c>
      <c r="AL6" s="69">
        <v>1</v>
      </c>
      <c r="AM6" s="69">
        <v>1</v>
      </c>
      <c r="AN6" s="69">
        <v>1</v>
      </c>
      <c r="AO6" s="69">
        <v>1</v>
      </c>
      <c r="AP6" s="69">
        <v>1</v>
      </c>
      <c r="AQ6" s="69">
        <v>1</v>
      </c>
      <c r="AR6" s="69">
        <v>1</v>
      </c>
      <c r="AS6" s="69">
        <v>1</v>
      </c>
      <c r="AT6" s="70">
        <f t="shared" si="0"/>
        <v>8</v>
      </c>
      <c r="AU6" s="71">
        <v>1</v>
      </c>
      <c r="AV6" s="71">
        <v>1</v>
      </c>
      <c r="AW6" s="71">
        <v>1</v>
      </c>
      <c r="AX6" s="71">
        <v>1</v>
      </c>
      <c r="AY6" s="70">
        <f t="shared" si="1"/>
        <v>4</v>
      </c>
      <c r="AZ6" s="69">
        <v>1</v>
      </c>
      <c r="BA6" s="69">
        <v>1</v>
      </c>
      <c r="BB6" s="69">
        <v>1</v>
      </c>
      <c r="BC6" s="69">
        <v>1</v>
      </c>
      <c r="BD6" s="69">
        <v>1</v>
      </c>
      <c r="BE6" s="69">
        <v>1</v>
      </c>
      <c r="BF6" s="69">
        <v>1</v>
      </c>
      <c r="BG6" s="69">
        <v>1</v>
      </c>
      <c r="BH6" s="70">
        <f t="shared" si="2"/>
        <v>8</v>
      </c>
      <c r="BI6" s="69">
        <v>1</v>
      </c>
      <c r="BJ6" s="69">
        <v>1</v>
      </c>
      <c r="BK6" s="70">
        <f t="shared" si="3"/>
        <v>2</v>
      </c>
      <c r="BL6" s="72">
        <v>1</v>
      </c>
      <c r="BM6" s="72">
        <v>1</v>
      </c>
      <c r="BN6" s="72">
        <v>1</v>
      </c>
      <c r="BO6" s="72">
        <v>1</v>
      </c>
      <c r="BP6" s="72">
        <v>1</v>
      </c>
      <c r="BQ6" s="72">
        <v>1</v>
      </c>
      <c r="BR6" s="72">
        <v>1</v>
      </c>
      <c r="BS6" s="72">
        <v>1</v>
      </c>
      <c r="BT6" s="70">
        <f t="shared" si="4"/>
        <v>7</v>
      </c>
      <c r="BU6" s="70">
        <f t="shared" si="5"/>
        <v>29</v>
      </c>
      <c r="BV6" s="105">
        <v>5</v>
      </c>
      <c r="BW6" s="105">
        <v>5</v>
      </c>
      <c r="BX6" s="105">
        <v>5</v>
      </c>
      <c r="BY6" s="73">
        <v>1</v>
      </c>
      <c r="BZ6" s="105">
        <v>5</v>
      </c>
      <c r="CA6" s="73">
        <v>3</v>
      </c>
      <c r="CB6" s="105">
        <v>5</v>
      </c>
      <c r="CC6" s="73">
        <v>5</v>
      </c>
      <c r="CD6" s="73">
        <v>2</v>
      </c>
      <c r="CE6" s="73">
        <v>3</v>
      </c>
      <c r="CF6" s="73">
        <v>3</v>
      </c>
      <c r="CG6" s="73">
        <v>5</v>
      </c>
      <c r="CH6" s="74">
        <v>5</v>
      </c>
      <c r="CI6" s="105">
        <v>5</v>
      </c>
      <c r="CJ6" s="73">
        <v>3</v>
      </c>
      <c r="CK6" s="75">
        <f t="shared" si="6"/>
        <v>60</v>
      </c>
      <c r="CL6" s="106">
        <v>5</v>
      </c>
      <c r="CM6" s="76">
        <v>1</v>
      </c>
      <c r="CN6" s="76">
        <v>5</v>
      </c>
      <c r="CO6" s="76">
        <v>5</v>
      </c>
      <c r="CP6" s="76">
        <v>5</v>
      </c>
      <c r="CQ6" s="106">
        <v>5</v>
      </c>
      <c r="CR6" s="76">
        <v>1</v>
      </c>
      <c r="CS6" s="76">
        <v>5</v>
      </c>
      <c r="CT6" s="76">
        <v>5</v>
      </c>
      <c r="CU6" s="76">
        <v>5</v>
      </c>
      <c r="CV6" s="76">
        <v>5</v>
      </c>
      <c r="CW6" s="76">
        <v>1</v>
      </c>
      <c r="CX6" s="76">
        <v>1</v>
      </c>
      <c r="CY6" s="76">
        <v>4</v>
      </c>
      <c r="CZ6" s="76">
        <v>5</v>
      </c>
      <c r="DA6" s="76">
        <v>5</v>
      </c>
      <c r="DB6" s="76">
        <v>5</v>
      </c>
      <c r="DC6" s="76">
        <v>4</v>
      </c>
      <c r="DD6" s="76">
        <v>5</v>
      </c>
      <c r="DE6" s="76">
        <v>5</v>
      </c>
      <c r="DF6" s="76">
        <v>5</v>
      </c>
      <c r="DG6" s="76">
        <v>5</v>
      </c>
      <c r="DH6" s="76">
        <v>5</v>
      </c>
      <c r="DI6" s="76">
        <v>5</v>
      </c>
      <c r="DJ6" s="76">
        <v>1</v>
      </c>
      <c r="DK6" s="76">
        <v>5</v>
      </c>
      <c r="DL6" s="76">
        <v>3</v>
      </c>
      <c r="DM6" s="76">
        <v>1</v>
      </c>
      <c r="DN6" s="76">
        <f t="shared" si="7"/>
        <v>112</v>
      </c>
      <c r="DO6" s="76">
        <v>27</v>
      </c>
      <c r="DP6" s="40">
        <v>0</v>
      </c>
      <c r="DQ6" s="55">
        <v>0</v>
      </c>
      <c r="DR6" s="55">
        <v>0</v>
      </c>
      <c r="DS6" s="55">
        <v>0</v>
      </c>
      <c r="DT6" s="55">
        <v>0</v>
      </c>
      <c r="DU6" s="55">
        <v>0</v>
      </c>
      <c r="DV6" s="55">
        <v>0</v>
      </c>
      <c r="DW6" s="55">
        <v>0</v>
      </c>
      <c r="DX6" s="55">
        <v>0</v>
      </c>
      <c r="DY6" s="55">
        <v>1</v>
      </c>
      <c r="DZ6" s="55">
        <v>0</v>
      </c>
      <c r="EA6" s="55">
        <v>0</v>
      </c>
      <c r="EB6" s="55">
        <v>0</v>
      </c>
      <c r="EC6" s="55">
        <v>0</v>
      </c>
      <c r="ED6" s="55">
        <v>0</v>
      </c>
      <c r="EE6" s="77">
        <f t="shared" si="31"/>
        <v>1</v>
      </c>
      <c r="EF6" s="77" t="s">
        <v>265</v>
      </c>
      <c r="EG6" s="78">
        <f t="shared" si="8"/>
        <v>1</v>
      </c>
      <c r="EH6" s="55">
        <v>0</v>
      </c>
      <c r="EI6" s="55">
        <v>0</v>
      </c>
      <c r="EJ6" s="55">
        <v>0.5</v>
      </c>
      <c r="EK6" s="55">
        <v>0</v>
      </c>
      <c r="EL6" s="55">
        <v>0</v>
      </c>
      <c r="EM6" s="55">
        <v>0</v>
      </c>
      <c r="EN6" s="55">
        <v>0.5</v>
      </c>
      <c r="EO6" s="55">
        <v>0.5</v>
      </c>
      <c r="EP6" s="55">
        <v>1</v>
      </c>
      <c r="EQ6" s="55">
        <v>0</v>
      </c>
      <c r="ER6" s="55">
        <v>0</v>
      </c>
      <c r="ES6" s="55">
        <v>0</v>
      </c>
      <c r="ET6" s="55">
        <v>0</v>
      </c>
      <c r="EU6" s="55">
        <v>0</v>
      </c>
      <c r="EV6" s="55">
        <v>0</v>
      </c>
      <c r="EW6" s="55">
        <v>0</v>
      </c>
      <c r="EX6" s="55">
        <v>0</v>
      </c>
      <c r="EY6" s="55">
        <v>0</v>
      </c>
      <c r="EZ6" s="55">
        <v>0</v>
      </c>
      <c r="FA6" s="55">
        <v>0</v>
      </c>
      <c r="FB6" s="55">
        <v>0</v>
      </c>
      <c r="FC6" s="55">
        <v>0</v>
      </c>
      <c r="FD6" s="79">
        <f t="shared" si="9"/>
        <v>2.5</v>
      </c>
      <c r="FE6" s="80">
        <v>1</v>
      </c>
      <c r="FF6" s="55">
        <v>1</v>
      </c>
      <c r="FG6" s="55">
        <v>1</v>
      </c>
      <c r="FH6" s="55">
        <v>1</v>
      </c>
      <c r="FI6" s="55">
        <v>1</v>
      </c>
      <c r="FJ6" s="55">
        <v>1</v>
      </c>
      <c r="FK6" s="55">
        <v>1</v>
      </c>
      <c r="FL6" s="55">
        <v>1</v>
      </c>
      <c r="FM6" s="55">
        <v>1</v>
      </c>
      <c r="FN6" s="81">
        <f t="shared" si="10"/>
        <v>8</v>
      </c>
      <c r="FO6" s="82">
        <v>1</v>
      </c>
      <c r="FP6" s="55">
        <v>5</v>
      </c>
      <c r="FQ6" s="55">
        <v>5</v>
      </c>
      <c r="FR6" s="55">
        <v>10</v>
      </c>
      <c r="FS6" s="55">
        <v>5</v>
      </c>
      <c r="FT6" s="55">
        <v>10</v>
      </c>
      <c r="FU6" s="55">
        <v>10</v>
      </c>
      <c r="FV6" s="55">
        <v>10</v>
      </c>
      <c r="FW6" s="55">
        <v>15</v>
      </c>
      <c r="FX6" s="55">
        <v>15</v>
      </c>
      <c r="FY6" s="55">
        <v>5</v>
      </c>
      <c r="FZ6" s="83">
        <f t="shared" si="11"/>
        <v>90</v>
      </c>
      <c r="GA6" s="84">
        <v>2</v>
      </c>
      <c r="GB6" s="55">
        <v>0.5</v>
      </c>
      <c r="GC6" s="85">
        <v>0.5</v>
      </c>
      <c r="GD6" s="85">
        <v>0.5</v>
      </c>
      <c r="GE6" s="85">
        <v>0</v>
      </c>
      <c r="GF6" s="85">
        <v>0</v>
      </c>
      <c r="GG6" s="85">
        <v>0</v>
      </c>
      <c r="GH6" s="85">
        <v>0</v>
      </c>
      <c r="GI6" s="55">
        <v>0</v>
      </c>
      <c r="GJ6" s="55">
        <v>0</v>
      </c>
      <c r="GK6" s="55">
        <v>0</v>
      </c>
      <c r="GL6" s="55">
        <v>0</v>
      </c>
      <c r="GM6" s="55">
        <v>0</v>
      </c>
      <c r="GN6" s="55">
        <v>0</v>
      </c>
      <c r="GO6" s="55">
        <v>0</v>
      </c>
      <c r="GP6" s="55">
        <v>0</v>
      </c>
      <c r="GQ6" s="55">
        <v>0</v>
      </c>
      <c r="GR6" s="55">
        <v>0</v>
      </c>
      <c r="GS6" s="55">
        <v>0</v>
      </c>
      <c r="GT6" s="55">
        <v>0</v>
      </c>
      <c r="GU6" s="86">
        <f t="shared" si="12"/>
        <v>0</v>
      </c>
      <c r="GV6" s="87" t="s">
        <v>301</v>
      </c>
      <c r="GW6" s="87">
        <v>0</v>
      </c>
      <c r="GX6" s="88" t="s">
        <v>267</v>
      </c>
      <c r="GY6" s="55">
        <v>4</v>
      </c>
      <c r="GZ6" s="55">
        <v>4</v>
      </c>
      <c r="HA6" s="55">
        <v>3</v>
      </c>
      <c r="HB6" s="55">
        <v>1</v>
      </c>
      <c r="HC6" s="55">
        <v>3</v>
      </c>
      <c r="HD6" s="55">
        <v>2</v>
      </c>
      <c r="HE6" s="55"/>
      <c r="HF6" s="55"/>
      <c r="HG6" s="55">
        <v>1</v>
      </c>
      <c r="HH6" s="55">
        <v>7</v>
      </c>
      <c r="HI6" s="55">
        <v>7</v>
      </c>
      <c r="HJ6" s="55"/>
      <c r="HK6" s="55">
        <v>1</v>
      </c>
      <c r="HL6" s="55">
        <v>4</v>
      </c>
      <c r="HM6" s="55">
        <v>2</v>
      </c>
      <c r="HN6" s="55">
        <v>1</v>
      </c>
      <c r="HO6" s="55">
        <v>3</v>
      </c>
      <c r="HP6" s="55">
        <v>1</v>
      </c>
      <c r="HQ6" s="55">
        <v>1</v>
      </c>
      <c r="HR6" s="55">
        <v>1</v>
      </c>
      <c r="HS6" s="55">
        <v>1</v>
      </c>
      <c r="HT6" s="55">
        <v>2</v>
      </c>
      <c r="HU6" s="55">
        <v>4</v>
      </c>
      <c r="HV6" s="55">
        <v>1</v>
      </c>
      <c r="HW6" s="55">
        <v>0</v>
      </c>
      <c r="HX6" s="55">
        <v>1</v>
      </c>
      <c r="HY6" s="55">
        <v>3</v>
      </c>
      <c r="HZ6" s="55">
        <v>3</v>
      </c>
      <c r="IA6" s="55">
        <v>4</v>
      </c>
      <c r="IB6" s="55">
        <v>0</v>
      </c>
      <c r="IC6" s="55">
        <v>5</v>
      </c>
      <c r="ID6" s="55">
        <f t="shared" ref="ID6:IG6" si="38">SUM(GY6)</f>
        <v>4</v>
      </c>
      <c r="IE6" s="55">
        <f t="shared" si="38"/>
        <v>4</v>
      </c>
      <c r="IF6" s="55">
        <f t="shared" si="38"/>
        <v>3</v>
      </c>
      <c r="IG6" s="55">
        <f t="shared" si="38"/>
        <v>1</v>
      </c>
      <c r="IH6" s="55">
        <f t="shared" si="14"/>
        <v>5</v>
      </c>
      <c r="II6" s="55">
        <f t="shared" si="15"/>
        <v>1</v>
      </c>
      <c r="IJ6" s="55">
        <f t="shared" si="16"/>
        <v>14</v>
      </c>
      <c r="IK6" s="55">
        <f t="shared" ref="IK6:IQ6" si="39">SUM(HK6)</f>
        <v>1</v>
      </c>
      <c r="IL6" s="55">
        <f t="shared" si="39"/>
        <v>4</v>
      </c>
      <c r="IM6" s="55">
        <f t="shared" si="39"/>
        <v>2</v>
      </c>
      <c r="IN6" s="55">
        <f t="shared" si="39"/>
        <v>1</v>
      </c>
      <c r="IO6" s="55">
        <f t="shared" si="39"/>
        <v>3</v>
      </c>
      <c r="IP6" s="55">
        <f t="shared" si="39"/>
        <v>1</v>
      </c>
      <c r="IQ6" s="55">
        <f t="shared" si="39"/>
        <v>1</v>
      </c>
      <c r="IR6" s="55">
        <f t="shared" si="18"/>
        <v>2</v>
      </c>
      <c r="IS6" s="55">
        <f t="shared" ref="IS6:JB6" si="40">SUM(HT6)</f>
        <v>2</v>
      </c>
      <c r="IT6" s="55">
        <f t="shared" si="40"/>
        <v>4</v>
      </c>
      <c r="IU6" s="55">
        <f t="shared" si="40"/>
        <v>1</v>
      </c>
      <c r="IV6" s="55">
        <f t="shared" si="40"/>
        <v>0</v>
      </c>
      <c r="IW6" s="55">
        <f t="shared" si="40"/>
        <v>1</v>
      </c>
      <c r="IX6" s="55">
        <f t="shared" si="40"/>
        <v>3</v>
      </c>
      <c r="IY6" s="55">
        <f t="shared" si="40"/>
        <v>3</v>
      </c>
      <c r="IZ6" s="55">
        <f t="shared" si="40"/>
        <v>4</v>
      </c>
      <c r="JA6" s="55">
        <f t="shared" si="40"/>
        <v>0</v>
      </c>
      <c r="JB6" s="55">
        <f t="shared" si="40"/>
        <v>5</v>
      </c>
      <c r="JC6" s="89">
        <f t="shared" si="20"/>
        <v>69</v>
      </c>
      <c r="JD6" s="90">
        <v>1</v>
      </c>
      <c r="JE6" s="90">
        <v>1</v>
      </c>
      <c r="JF6" s="91">
        <v>15</v>
      </c>
      <c r="JG6" s="91">
        <v>2</v>
      </c>
      <c r="JH6" s="55">
        <v>2</v>
      </c>
      <c r="JI6" s="55">
        <v>2</v>
      </c>
      <c r="JJ6" s="55">
        <v>1</v>
      </c>
      <c r="JK6" s="55">
        <v>0</v>
      </c>
      <c r="JL6" s="55">
        <v>0</v>
      </c>
      <c r="JM6" s="55">
        <v>0</v>
      </c>
      <c r="JN6" s="55">
        <v>0</v>
      </c>
      <c r="JO6" s="55">
        <v>0</v>
      </c>
      <c r="JP6" s="89">
        <f t="shared" si="21"/>
        <v>5</v>
      </c>
      <c r="JQ6" s="55">
        <v>2</v>
      </c>
      <c r="JR6" s="55">
        <v>0</v>
      </c>
      <c r="JS6" s="55">
        <v>0</v>
      </c>
      <c r="JT6" s="55">
        <v>0</v>
      </c>
      <c r="JU6" s="55">
        <v>0</v>
      </c>
      <c r="JV6" s="55">
        <v>0</v>
      </c>
      <c r="JW6" s="55">
        <v>0</v>
      </c>
      <c r="JX6" s="92">
        <f t="shared" si="22"/>
        <v>2</v>
      </c>
      <c r="JY6" s="93">
        <f t="shared" si="23"/>
        <v>7</v>
      </c>
      <c r="JZ6" s="55">
        <v>3</v>
      </c>
      <c r="KA6" s="55">
        <v>0</v>
      </c>
      <c r="KB6" s="55">
        <v>0</v>
      </c>
      <c r="KC6" s="55">
        <v>0</v>
      </c>
      <c r="KD6" s="55">
        <v>0</v>
      </c>
      <c r="KE6" s="55">
        <v>0</v>
      </c>
      <c r="KF6" s="55">
        <v>0</v>
      </c>
      <c r="KG6" s="94">
        <f t="shared" si="24"/>
        <v>3</v>
      </c>
      <c r="KH6" s="95" t="s">
        <v>302</v>
      </c>
      <c r="KI6" s="55">
        <v>0</v>
      </c>
      <c r="KJ6" s="55">
        <v>2</v>
      </c>
      <c r="KK6" s="55">
        <v>0</v>
      </c>
      <c r="KL6" s="95" t="s">
        <v>303</v>
      </c>
      <c r="KM6" s="55">
        <v>2</v>
      </c>
      <c r="KN6" s="55">
        <v>0</v>
      </c>
      <c r="KO6" s="55">
        <v>0</v>
      </c>
      <c r="KP6" s="95" t="s">
        <v>304</v>
      </c>
      <c r="KQ6" s="55">
        <v>0</v>
      </c>
      <c r="KR6" s="55">
        <v>2</v>
      </c>
      <c r="KS6" s="55">
        <v>1</v>
      </c>
      <c r="KT6" s="95" t="s">
        <v>305</v>
      </c>
      <c r="KU6" s="55">
        <v>0</v>
      </c>
      <c r="KV6" s="55">
        <v>2</v>
      </c>
      <c r="KW6" s="55">
        <v>0</v>
      </c>
      <c r="KX6" s="95" t="s">
        <v>306</v>
      </c>
      <c r="KY6" s="55">
        <v>0</v>
      </c>
      <c r="KZ6" s="55">
        <v>2</v>
      </c>
      <c r="LA6" s="55">
        <v>0</v>
      </c>
      <c r="LB6" s="95" t="s">
        <v>307</v>
      </c>
      <c r="LC6" s="55">
        <v>0</v>
      </c>
      <c r="LD6" s="55">
        <v>2</v>
      </c>
      <c r="LE6" s="55">
        <v>0</v>
      </c>
      <c r="LF6" s="95" t="s">
        <v>308</v>
      </c>
      <c r="LG6" s="55">
        <v>2</v>
      </c>
      <c r="LH6" s="55">
        <v>0</v>
      </c>
      <c r="LI6" s="55">
        <v>0</v>
      </c>
      <c r="LJ6" s="95" t="s">
        <v>309</v>
      </c>
      <c r="LK6" s="55">
        <v>2</v>
      </c>
      <c r="LL6" s="55">
        <v>0</v>
      </c>
      <c r="LM6" s="55">
        <v>0</v>
      </c>
      <c r="LN6" s="96">
        <f t="shared" si="25"/>
        <v>11</v>
      </c>
      <c r="LO6" s="97">
        <f t="shared" si="26"/>
        <v>1</v>
      </c>
      <c r="LP6" s="97">
        <f t="shared" si="27"/>
        <v>21</v>
      </c>
    </row>
    <row r="7" spans="1:328" s="98" customFormat="1" ht="13.2">
      <c r="A7" s="55" t="s">
        <v>604</v>
      </c>
      <c r="B7" s="117"/>
      <c r="C7" s="117"/>
      <c r="D7" s="49"/>
      <c r="E7" s="49"/>
      <c r="F7" s="40"/>
      <c r="G7" s="40"/>
      <c r="H7" s="40"/>
      <c r="I7" s="40"/>
      <c r="J7" s="40"/>
      <c r="K7" s="40"/>
      <c r="L7" s="40"/>
      <c r="M7" s="40"/>
      <c r="N7" s="64" t="s">
        <v>1040</v>
      </c>
      <c r="O7" s="101" t="s">
        <v>981</v>
      </c>
      <c r="P7" s="111" t="s">
        <v>765</v>
      </c>
      <c r="Q7" s="95">
        <v>1</v>
      </c>
      <c r="R7" s="111" t="s">
        <v>766</v>
      </c>
      <c r="S7" s="111">
        <v>72</v>
      </c>
      <c r="T7" s="111" t="s">
        <v>310</v>
      </c>
      <c r="U7" s="111" t="s">
        <v>276</v>
      </c>
      <c r="V7" s="111">
        <v>987117055</v>
      </c>
      <c r="W7" s="111" t="s">
        <v>595</v>
      </c>
      <c r="X7" s="111" t="s">
        <v>596</v>
      </c>
      <c r="Y7" s="111" t="s">
        <v>277</v>
      </c>
      <c r="Z7" s="111" t="s">
        <v>767</v>
      </c>
      <c r="AA7" s="111" t="s">
        <v>768</v>
      </c>
      <c r="AB7" s="111" t="s">
        <v>264</v>
      </c>
      <c r="AC7" s="111" t="s">
        <v>599</v>
      </c>
      <c r="AD7" s="111" t="s">
        <v>599</v>
      </c>
      <c r="AE7" s="111" t="s">
        <v>769</v>
      </c>
      <c r="AF7" s="111" t="s">
        <v>597</v>
      </c>
      <c r="AG7" s="111" t="s">
        <v>610</v>
      </c>
      <c r="AH7" s="111" t="s">
        <v>597</v>
      </c>
      <c r="AI7" s="111" t="s">
        <v>597</v>
      </c>
      <c r="AJ7" s="111" t="s">
        <v>603</v>
      </c>
      <c r="AK7" s="97"/>
      <c r="AL7" s="69">
        <v>1</v>
      </c>
      <c r="AM7" s="69">
        <v>1</v>
      </c>
      <c r="AN7" s="69">
        <v>1</v>
      </c>
      <c r="AO7" s="69">
        <v>1</v>
      </c>
      <c r="AP7" s="69">
        <v>1</v>
      </c>
      <c r="AQ7" s="69">
        <v>1</v>
      </c>
      <c r="AR7" s="69">
        <v>1</v>
      </c>
      <c r="AS7" s="69">
        <v>1</v>
      </c>
      <c r="AT7" s="70">
        <f t="shared" si="0"/>
        <v>8</v>
      </c>
      <c r="AU7" s="71">
        <v>1</v>
      </c>
      <c r="AV7" s="71">
        <v>1</v>
      </c>
      <c r="AW7" s="71">
        <v>1</v>
      </c>
      <c r="AX7" s="71">
        <v>1</v>
      </c>
      <c r="AY7" s="70">
        <f t="shared" si="1"/>
        <v>4</v>
      </c>
      <c r="AZ7" s="69">
        <v>1</v>
      </c>
      <c r="BA7" s="69">
        <v>1</v>
      </c>
      <c r="BB7" s="69">
        <v>1</v>
      </c>
      <c r="BC7" s="69">
        <v>1</v>
      </c>
      <c r="BD7" s="69">
        <v>1</v>
      </c>
      <c r="BE7" s="69">
        <v>1</v>
      </c>
      <c r="BF7" s="69">
        <v>1</v>
      </c>
      <c r="BG7" s="69">
        <v>1</v>
      </c>
      <c r="BH7" s="70">
        <f t="shared" si="2"/>
        <v>8</v>
      </c>
      <c r="BI7" s="69">
        <v>1</v>
      </c>
      <c r="BJ7" s="69">
        <v>1</v>
      </c>
      <c r="BK7" s="70">
        <f t="shared" si="3"/>
        <v>2</v>
      </c>
      <c r="BL7" s="72">
        <v>1</v>
      </c>
      <c r="BM7" s="72">
        <v>1</v>
      </c>
      <c r="BN7" s="72">
        <v>1</v>
      </c>
      <c r="BO7" s="72">
        <v>1</v>
      </c>
      <c r="BP7" s="72">
        <v>1</v>
      </c>
      <c r="BQ7" s="72">
        <v>1</v>
      </c>
      <c r="BR7" s="72">
        <v>1</v>
      </c>
      <c r="BS7" s="72">
        <v>1</v>
      </c>
      <c r="BT7" s="70">
        <f t="shared" si="4"/>
        <v>7</v>
      </c>
      <c r="BU7" s="70">
        <f t="shared" si="5"/>
        <v>29</v>
      </c>
      <c r="BV7" s="73">
        <v>5</v>
      </c>
      <c r="BW7" s="73">
        <v>5</v>
      </c>
      <c r="BX7" s="73">
        <v>5</v>
      </c>
      <c r="BY7" s="73">
        <v>1</v>
      </c>
      <c r="BZ7" s="105">
        <v>5</v>
      </c>
      <c r="CA7" s="73">
        <v>3</v>
      </c>
      <c r="CB7" s="105">
        <v>5</v>
      </c>
      <c r="CC7" s="73">
        <v>5</v>
      </c>
      <c r="CD7" s="73">
        <v>2</v>
      </c>
      <c r="CE7" s="73">
        <v>3</v>
      </c>
      <c r="CF7" s="73">
        <v>3</v>
      </c>
      <c r="CG7" s="73">
        <v>5</v>
      </c>
      <c r="CH7" s="74">
        <v>5</v>
      </c>
      <c r="CI7" s="73">
        <v>5</v>
      </c>
      <c r="CJ7" s="73">
        <v>3</v>
      </c>
      <c r="CK7" s="75">
        <f t="shared" si="6"/>
        <v>60</v>
      </c>
      <c r="CL7" s="76"/>
      <c r="CM7" s="76"/>
      <c r="CN7" s="76"/>
      <c r="CO7" s="76"/>
      <c r="CP7" s="76"/>
      <c r="CQ7" s="10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>
        <f t="shared" si="7"/>
        <v>0</v>
      </c>
      <c r="DO7" s="118">
        <v>30</v>
      </c>
      <c r="DP7" s="97">
        <v>0</v>
      </c>
      <c r="DQ7" s="97">
        <v>0</v>
      </c>
      <c r="DR7" s="97">
        <v>0</v>
      </c>
      <c r="DS7" s="97">
        <v>0</v>
      </c>
      <c r="DT7" s="97">
        <v>0</v>
      </c>
      <c r="DU7" s="97">
        <v>1</v>
      </c>
      <c r="DV7" s="97">
        <v>0</v>
      </c>
      <c r="DW7" s="97">
        <v>0</v>
      </c>
      <c r="DX7" s="97">
        <v>0</v>
      </c>
      <c r="DY7" s="97">
        <v>0</v>
      </c>
      <c r="DZ7" s="97">
        <v>0</v>
      </c>
      <c r="EA7" s="97">
        <v>0</v>
      </c>
      <c r="EB7" s="97">
        <v>0</v>
      </c>
      <c r="EC7" s="97">
        <v>0</v>
      </c>
      <c r="ED7" s="97">
        <v>0</v>
      </c>
      <c r="EE7" s="77">
        <f t="shared" si="31"/>
        <v>1</v>
      </c>
      <c r="EF7" s="77" t="s">
        <v>265</v>
      </c>
      <c r="EG7" s="78">
        <f t="shared" si="8"/>
        <v>1</v>
      </c>
      <c r="EH7" s="97">
        <v>0</v>
      </c>
      <c r="EI7" s="97">
        <v>0</v>
      </c>
      <c r="EJ7" s="97">
        <v>0</v>
      </c>
      <c r="EK7" s="97">
        <v>0</v>
      </c>
      <c r="EL7" s="97">
        <v>0</v>
      </c>
      <c r="EM7" s="97">
        <v>0</v>
      </c>
      <c r="EN7" s="97">
        <v>0</v>
      </c>
      <c r="EO7" s="97">
        <v>1</v>
      </c>
      <c r="EP7" s="97">
        <v>0</v>
      </c>
      <c r="EQ7" s="97">
        <v>0</v>
      </c>
      <c r="ER7" s="97">
        <v>0</v>
      </c>
      <c r="ES7" s="97">
        <v>0</v>
      </c>
      <c r="ET7" s="97">
        <v>0</v>
      </c>
      <c r="EU7" s="97">
        <v>0</v>
      </c>
      <c r="EV7" s="97">
        <v>0</v>
      </c>
      <c r="EW7" s="97">
        <v>1</v>
      </c>
      <c r="EX7" s="97">
        <v>0</v>
      </c>
      <c r="EY7" s="97">
        <v>0</v>
      </c>
      <c r="EZ7" s="97">
        <v>0</v>
      </c>
      <c r="FA7" s="97">
        <v>0</v>
      </c>
      <c r="FB7" s="97">
        <v>0</v>
      </c>
      <c r="FC7" s="97">
        <v>0</v>
      </c>
      <c r="FD7" s="79">
        <f t="shared" si="9"/>
        <v>2</v>
      </c>
      <c r="FE7" s="80">
        <v>1</v>
      </c>
      <c r="FF7" s="97">
        <v>1</v>
      </c>
      <c r="FG7" s="97">
        <v>1</v>
      </c>
      <c r="FH7" s="97">
        <v>0</v>
      </c>
      <c r="FI7" s="97">
        <v>1</v>
      </c>
      <c r="FJ7" s="97">
        <v>1</v>
      </c>
      <c r="FK7" s="97">
        <v>1</v>
      </c>
      <c r="FL7" s="97">
        <v>1</v>
      </c>
      <c r="FM7" s="97">
        <v>1</v>
      </c>
      <c r="FN7" s="81">
        <f t="shared" si="10"/>
        <v>7</v>
      </c>
      <c r="FO7" s="82">
        <v>2</v>
      </c>
      <c r="FP7" s="97">
        <v>10</v>
      </c>
      <c r="FQ7" s="97">
        <v>5</v>
      </c>
      <c r="FR7" s="97">
        <v>10</v>
      </c>
      <c r="FS7" s="97">
        <v>5</v>
      </c>
      <c r="FT7" s="97">
        <v>10</v>
      </c>
      <c r="FU7" s="97">
        <v>10</v>
      </c>
      <c r="FV7" s="97">
        <v>10</v>
      </c>
      <c r="FW7" s="97">
        <v>15</v>
      </c>
      <c r="FX7" s="97">
        <v>15</v>
      </c>
      <c r="FY7" s="97">
        <v>10</v>
      </c>
      <c r="FZ7" s="83">
        <f t="shared" si="11"/>
        <v>100</v>
      </c>
      <c r="GA7" s="84">
        <v>1</v>
      </c>
      <c r="GB7" s="55">
        <v>0</v>
      </c>
      <c r="GC7" s="85">
        <v>0</v>
      </c>
      <c r="GD7" s="85">
        <v>0</v>
      </c>
      <c r="GE7" s="85">
        <v>0</v>
      </c>
      <c r="GF7" s="85">
        <v>0</v>
      </c>
      <c r="GG7" s="85">
        <v>0</v>
      </c>
      <c r="GH7" s="85">
        <v>0</v>
      </c>
      <c r="GI7" s="97">
        <v>0</v>
      </c>
      <c r="GJ7" s="97">
        <v>0</v>
      </c>
      <c r="GK7" s="97">
        <v>0</v>
      </c>
      <c r="GL7" s="97">
        <v>0</v>
      </c>
      <c r="GM7" s="97">
        <v>0</v>
      </c>
      <c r="GN7" s="97">
        <v>0</v>
      </c>
      <c r="GO7" s="97">
        <v>0</v>
      </c>
      <c r="GP7" s="97">
        <v>0</v>
      </c>
      <c r="GQ7" s="97">
        <v>0</v>
      </c>
      <c r="GR7" s="97">
        <v>0</v>
      </c>
      <c r="GS7" s="97">
        <v>0</v>
      </c>
      <c r="GT7" s="97">
        <v>0</v>
      </c>
      <c r="GU7" s="86">
        <f t="shared" si="12"/>
        <v>0</v>
      </c>
      <c r="GV7" s="87" t="s">
        <v>301</v>
      </c>
      <c r="GW7" s="87">
        <v>0</v>
      </c>
      <c r="GX7" s="88" t="s">
        <v>267</v>
      </c>
      <c r="GY7" s="55">
        <v>5</v>
      </c>
      <c r="GZ7" s="55">
        <v>5</v>
      </c>
      <c r="HA7" s="55">
        <v>3</v>
      </c>
      <c r="HB7" s="55">
        <v>3</v>
      </c>
      <c r="HC7" s="55">
        <v>3</v>
      </c>
      <c r="HD7" s="55">
        <v>4</v>
      </c>
      <c r="HE7" s="55"/>
      <c r="HF7" s="55"/>
      <c r="HG7" s="55">
        <v>3</v>
      </c>
      <c r="HH7" s="55">
        <v>7</v>
      </c>
      <c r="HI7" s="55">
        <v>7</v>
      </c>
      <c r="HJ7" s="55"/>
      <c r="HK7" s="55">
        <v>4</v>
      </c>
      <c r="HL7" s="55">
        <v>7</v>
      </c>
      <c r="HM7" s="55">
        <v>7</v>
      </c>
      <c r="HN7" s="55">
        <v>1</v>
      </c>
      <c r="HO7" s="55">
        <v>3</v>
      </c>
      <c r="HP7" s="55">
        <v>1</v>
      </c>
      <c r="HQ7" s="55">
        <v>2</v>
      </c>
      <c r="HR7" s="55">
        <v>1</v>
      </c>
      <c r="HS7" s="55">
        <v>1</v>
      </c>
      <c r="HT7" s="55">
        <v>2</v>
      </c>
      <c r="HU7" s="55">
        <v>4</v>
      </c>
      <c r="HV7" s="55">
        <v>1</v>
      </c>
      <c r="HW7" s="55">
        <v>1</v>
      </c>
      <c r="HX7" s="55">
        <v>2</v>
      </c>
      <c r="HY7" s="55">
        <v>5</v>
      </c>
      <c r="HZ7" s="55">
        <v>4</v>
      </c>
      <c r="IA7" s="55">
        <v>4</v>
      </c>
      <c r="IB7" s="55">
        <v>7</v>
      </c>
      <c r="IC7" s="55"/>
      <c r="ID7" s="55">
        <f t="shared" ref="ID7:IG7" si="41">SUM(GY7)</f>
        <v>5</v>
      </c>
      <c r="IE7" s="55">
        <f t="shared" si="41"/>
        <v>5</v>
      </c>
      <c r="IF7" s="55">
        <f t="shared" si="41"/>
        <v>3</v>
      </c>
      <c r="IG7" s="55">
        <f t="shared" si="41"/>
        <v>3</v>
      </c>
      <c r="IH7" s="55">
        <f t="shared" si="14"/>
        <v>7</v>
      </c>
      <c r="II7" s="55">
        <f t="shared" si="15"/>
        <v>3</v>
      </c>
      <c r="IJ7" s="55">
        <f t="shared" si="16"/>
        <v>14</v>
      </c>
      <c r="IK7" s="55">
        <f t="shared" ref="IK7:IQ7" si="42">SUM(HK7)</f>
        <v>4</v>
      </c>
      <c r="IL7" s="55">
        <f t="shared" si="42"/>
        <v>7</v>
      </c>
      <c r="IM7" s="55">
        <f t="shared" si="42"/>
        <v>7</v>
      </c>
      <c r="IN7" s="55">
        <f t="shared" si="42"/>
        <v>1</v>
      </c>
      <c r="IO7" s="55">
        <f t="shared" si="42"/>
        <v>3</v>
      </c>
      <c r="IP7" s="55">
        <f t="shared" si="42"/>
        <v>1</v>
      </c>
      <c r="IQ7" s="55">
        <f t="shared" si="42"/>
        <v>2</v>
      </c>
      <c r="IR7" s="55">
        <f t="shared" si="18"/>
        <v>2</v>
      </c>
      <c r="IS7" s="55">
        <f t="shared" ref="IS7:JB7" si="43">SUM(HT7)</f>
        <v>2</v>
      </c>
      <c r="IT7" s="55">
        <f t="shared" si="43"/>
        <v>4</v>
      </c>
      <c r="IU7" s="55">
        <f t="shared" si="43"/>
        <v>1</v>
      </c>
      <c r="IV7" s="55">
        <f t="shared" si="43"/>
        <v>1</v>
      </c>
      <c r="IW7" s="55">
        <f t="shared" si="43"/>
        <v>2</v>
      </c>
      <c r="IX7" s="55">
        <f t="shared" si="43"/>
        <v>5</v>
      </c>
      <c r="IY7" s="55">
        <f t="shared" si="43"/>
        <v>4</v>
      </c>
      <c r="IZ7" s="55">
        <f t="shared" si="43"/>
        <v>4</v>
      </c>
      <c r="JA7" s="55">
        <f t="shared" si="43"/>
        <v>7</v>
      </c>
      <c r="JB7" s="55">
        <f t="shared" si="43"/>
        <v>0</v>
      </c>
      <c r="JC7" s="89">
        <f t="shared" si="20"/>
        <v>94</v>
      </c>
      <c r="JD7" s="90">
        <v>1</v>
      </c>
      <c r="JE7" s="90"/>
      <c r="JF7" s="91">
        <v>45</v>
      </c>
      <c r="JG7" s="91">
        <v>2</v>
      </c>
      <c r="JH7" s="97">
        <v>2</v>
      </c>
      <c r="JI7" s="97">
        <v>2</v>
      </c>
      <c r="JJ7" s="97">
        <v>2</v>
      </c>
      <c r="JK7" s="97">
        <v>0</v>
      </c>
      <c r="JL7" s="97">
        <v>0</v>
      </c>
      <c r="JM7" s="97">
        <v>0</v>
      </c>
      <c r="JN7" s="97">
        <v>0</v>
      </c>
      <c r="JO7" s="97">
        <v>0</v>
      </c>
      <c r="JP7" s="89">
        <f t="shared" si="21"/>
        <v>6</v>
      </c>
      <c r="JQ7" s="97">
        <v>2</v>
      </c>
      <c r="JR7" s="97">
        <v>2</v>
      </c>
      <c r="JS7" s="97">
        <v>2</v>
      </c>
      <c r="JT7" s="97">
        <v>1</v>
      </c>
      <c r="JU7" s="97">
        <v>0</v>
      </c>
      <c r="JV7" s="97">
        <v>0</v>
      </c>
      <c r="JW7" s="97">
        <v>0</v>
      </c>
      <c r="JX7" s="92">
        <f t="shared" si="22"/>
        <v>7</v>
      </c>
      <c r="JY7" s="93">
        <f t="shared" si="23"/>
        <v>13</v>
      </c>
      <c r="JZ7" s="97">
        <v>3</v>
      </c>
      <c r="KA7" s="97">
        <v>3</v>
      </c>
      <c r="KB7" s="97">
        <v>2</v>
      </c>
      <c r="KC7" s="97">
        <v>2</v>
      </c>
      <c r="KD7" s="97">
        <v>0</v>
      </c>
      <c r="KE7" s="97">
        <v>0</v>
      </c>
      <c r="KF7" s="97">
        <v>0</v>
      </c>
      <c r="KG7" s="94">
        <f t="shared" si="24"/>
        <v>10</v>
      </c>
      <c r="KH7" s="95" t="s">
        <v>319</v>
      </c>
      <c r="KI7" s="97">
        <v>0</v>
      </c>
      <c r="KJ7" s="97">
        <v>2</v>
      </c>
      <c r="KK7" s="55">
        <v>0</v>
      </c>
      <c r="KL7" s="95" t="s">
        <v>327</v>
      </c>
      <c r="KM7" s="97">
        <v>0</v>
      </c>
      <c r="KN7" s="97">
        <v>2</v>
      </c>
      <c r="KO7" s="55">
        <v>0</v>
      </c>
      <c r="KP7" s="95" t="s">
        <v>320</v>
      </c>
      <c r="KQ7" s="97">
        <v>0</v>
      </c>
      <c r="KR7" s="97">
        <v>2</v>
      </c>
      <c r="KS7" s="55">
        <v>0</v>
      </c>
      <c r="KT7" s="95" t="s">
        <v>333</v>
      </c>
      <c r="KU7" s="97">
        <v>0</v>
      </c>
      <c r="KV7" s="97">
        <v>2</v>
      </c>
      <c r="KW7" s="55">
        <v>0</v>
      </c>
      <c r="KX7" s="95" t="s">
        <v>322</v>
      </c>
      <c r="KY7" s="97">
        <v>0</v>
      </c>
      <c r="KZ7" s="97">
        <v>2</v>
      </c>
      <c r="LA7" s="55">
        <v>0</v>
      </c>
      <c r="LB7" s="95" t="s">
        <v>333</v>
      </c>
      <c r="LC7" s="97">
        <v>0</v>
      </c>
      <c r="LD7" s="97">
        <v>2</v>
      </c>
      <c r="LE7" s="55">
        <v>0</v>
      </c>
      <c r="LF7" s="95" t="s">
        <v>322</v>
      </c>
      <c r="LG7" s="97">
        <v>0</v>
      </c>
      <c r="LH7" s="97">
        <v>2</v>
      </c>
      <c r="LI7" s="97">
        <v>1</v>
      </c>
      <c r="LJ7" s="95" t="s">
        <v>326</v>
      </c>
      <c r="LK7" s="97">
        <v>0</v>
      </c>
      <c r="LL7" s="97">
        <v>2</v>
      </c>
      <c r="LM7" s="97">
        <v>2</v>
      </c>
      <c r="LN7" s="96">
        <f t="shared" si="25"/>
        <v>19</v>
      </c>
      <c r="LO7" s="97">
        <f t="shared" si="26"/>
        <v>3</v>
      </c>
      <c r="LP7" s="97">
        <f t="shared" si="27"/>
        <v>42</v>
      </c>
    </row>
    <row r="8" spans="1:328" s="98" customFormat="1" ht="13.8">
      <c r="A8" s="99" t="s">
        <v>613</v>
      </c>
      <c r="B8" s="61"/>
      <c r="C8" s="61">
        <v>57</v>
      </c>
      <c r="D8" s="62"/>
      <c r="E8" s="62"/>
      <c r="F8" s="61">
        <v>1</v>
      </c>
      <c r="G8" s="61">
        <v>1</v>
      </c>
      <c r="H8" s="119">
        <v>1</v>
      </c>
      <c r="I8" s="164">
        <v>6</v>
      </c>
      <c r="J8" s="164">
        <v>4</v>
      </c>
      <c r="K8" s="63">
        <v>0.1076388888888889</v>
      </c>
      <c r="L8" s="63">
        <v>9.3055555555555558E-2</v>
      </c>
      <c r="M8" s="63">
        <v>5.7638888888888892E-2</v>
      </c>
      <c r="N8" s="64" t="s">
        <v>1041</v>
      </c>
      <c r="O8" s="101" t="s">
        <v>982</v>
      </c>
      <c r="P8" s="66" t="s">
        <v>770</v>
      </c>
      <c r="Q8" s="66">
        <v>1</v>
      </c>
      <c r="R8" s="103">
        <v>19318</v>
      </c>
      <c r="S8" s="102">
        <v>72</v>
      </c>
      <c r="T8" s="102" t="s">
        <v>259</v>
      </c>
      <c r="U8" s="102" t="s">
        <v>276</v>
      </c>
      <c r="V8" s="102">
        <v>979690813</v>
      </c>
      <c r="W8" s="102" t="s">
        <v>595</v>
      </c>
      <c r="X8" s="102" t="s">
        <v>596</v>
      </c>
      <c r="Y8" s="102" t="s">
        <v>288</v>
      </c>
      <c r="Z8" s="102" t="s">
        <v>262</v>
      </c>
      <c r="AA8" s="102" t="s">
        <v>289</v>
      </c>
      <c r="AB8" s="102" t="s">
        <v>264</v>
      </c>
      <c r="AC8" s="102" t="s">
        <v>599</v>
      </c>
      <c r="AD8" s="102" t="s">
        <v>599</v>
      </c>
      <c r="AE8" s="102" t="s">
        <v>771</v>
      </c>
      <c r="AF8" s="102" t="s">
        <v>599</v>
      </c>
      <c r="AG8" s="102" t="s">
        <v>612</v>
      </c>
      <c r="AH8" s="102" t="s">
        <v>599</v>
      </c>
      <c r="AI8" s="102" t="s">
        <v>599</v>
      </c>
      <c r="AJ8" s="103">
        <v>44808</v>
      </c>
      <c r="AK8" s="104" t="s">
        <v>772</v>
      </c>
      <c r="AL8" s="69">
        <v>1</v>
      </c>
      <c r="AM8" s="69">
        <v>1</v>
      </c>
      <c r="AN8" s="69">
        <v>1</v>
      </c>
      <c r="AO8" s="69">
        <v>1</v>
      </c>
      <c r="AP8" s="69">
        <v>1</v>
      </c>
      <c r="AQ8" s="69">
        <v>1</v>
      </c>
      <c r="AR8" s="69">
        <v>1</v>
      </c>
      <c r="AS8" s="69">
        <v>1</v>
      </c>
      <c r="AT8" s="70">
        <f t="shared" si="0"/>
        <v>8</v>
      </c>
      <c r="AU8" s="71">
        <v>1</v>
      </c>
      <c r="AV8" s="71">
        <v>1</v>
      </c>
      <c r="AW8" s="71">
        <v>1</v>
      </c>
      <c r="AX8" s="71">
        <v>1</v>
      </c>
      <c r="AY8" s="70">
        <f t="shared" si="1"/>
        <v>4</v>
      </c>
      <c r="AZ8" s="115">
        <v>0</v>
      </c>
      <c r="BA8" s="115">
        <v>0</v>
      </c>
      <c r="BB8" s="115">
        <v>0</v>
      </c>
      <c r="BC8" s="115">
        <v>0</v>
      </c>
      <c r="BD8" s="115">
        <v>0</v>
      </c>
      <c r="BE8" s="71">
        <v>1</v>
      </c>
      <c r="BF8" s="115">
        <v>0</v>
      </c>
      <c r="BG8" s="115">
        <v>0</v>
      </c>
      <c r="BH8" s="70">
        <f t="shared" si="2"/>
        <v>1</v>
      </c>
      <c r="BI8" s="69">
        <v>0</v>
      </c>
      <c r="BJ8" s="69">
        <v>0</v>
      </c>
      <c r="BK8" s="70">
        <f t="shared" si="3"/>
        <v>0</v>
      </c>
      <c r="BL8" s="120">
        <v>1</v>
      </c>
      <c r="BM8" s="72">
        <v>0</v>
      </c>
      <c r="BN8" s="72">
        <v>0</v>
      </c>
      <c r="BO8" s="72">
        <v>0</v>
      </c>
      <c r="BP8" s="120">
        <v>1</v>
      </c>
      <c r="BQ8" s="72">
        <v>0</v>
      </c>
      <c r="BR8" s="72">
        <v>0</v>
      </c>
      <c r="BS8" s="72">
        <v>0</v>
      </c>
      <c r="BT8" s="70">
        <f t="shared" si="4"/>
        <v>1</v>
      </c>
      <c r="BU8" s="70">
        <f t="shared" si="5"/>
        <v>14</v>
      </c>
      <c r="BV8" s="73">
        <v>5</v>
      </c>
      <c r="BW8" s="73">
        <v>5</v>
      </c>
      <c r="BX8" s="73">
        <v>5</v>
      </c>
      <c r="BY8" s="73">
        <v>1</v>
      </c>
      <c r="BZ8" s="73">
        <v>5</v>
      </c>
      <c r="CA8" s="73">
        <v>3</v>
      </c>
      <c r="CB8" s="73">
        <v>5</v>
      </c>
      <c r="CC8" s="73">
        <v>5</v>
      </c>
      <c r="CD8" s="73">
        <v>2</v>
      </c>
      <c r="CE8" s="73">
        <v>3</v>
      </c>
      <c r="CF8" s="73">
        <v>3</v>
      </c>
      <c r="CG8" s="73">
        <v>5</v>
      </c>
      <c r="CH8" s="74">
        <v>5</v>
      </c>
      <c r="CI8" s="73">
        <v>5</v>
      </c>
      <c r="CJ8" s="73">
        <v>3</v>
      </c>
      <c r="CK8" s="75">
        <f t="shared" si="6"/>
        <v>60</v>
      </c>
      <c r="CL8" s="76">
        <v>5</v>
      </c>
      <c r="CM8" s="76">
        <v>1</v>
      </c>
      <c r="CN8" s="76">
        <v>5</v>
      </c>
      <c r="CO8" s="76">
        <v>5</v>
      </c>
      <c r="CP8" s="76">
        <v>5</v>
      </c>
      <c r="CQ8" s="76">
        <v>5</v>
      </c>
      <c r="CR8" s="76">
        <v>1</v>
      </c>
      <c r="CS8" s="76">
        <v>5</v>
      </c>
      <c r="CT8" s="76">
        <v>5</v>
      </c>
      <c r="CU8" s="76">
        <v>5</v>
      </c>
      <c r="CV8" s="76">
        <v>5</v>
      </c>
      <c r="CW8" s="76">
        <v>1</v>
      </c>
      <c r="CX8" s="76">
        <v>1</v>
      </c>
      <c r="CY8" s="76">
        <v>4</v>
      </c>
      <c r="CZ8" s="76">
        <v>5</v>
      </c>
      <c r="DA8" s="76">
        <v>5</v>
      </c>
      <c r="DB8" s="76">
        <v>5</v>
      </c>
      <c r="DC8" s="76">
        <v>4</v>
      </c>
      <c r="DD8" s="76">
        <v>5</v>
      </c>
      <c r="DE8" s="76">
        <v>5</v>
      </c>
      <c r="DF8" s="76">
        <v>5</v>
      </c>
      <c r="DG8" s="76">
        <v>5</v>
      </c>
      <c r="DH8" s="76">
        <v>5</v>
      </c>
      <c r="DI8" s="76">
        <v>5</v>
      </c>
      <c r="DJ8" s="76">
        <v>1</v>
      </c>
      <c r="DK8" s="76">
        <v>5</v>
      </c>
      <c r="DL8" s="76">
        <v>3</v>
      </c>
      <c r="DM8" s="76">
        <v>1</v>
      </c>
      <c r="DN8" s="76">
        <f t="shared" si="7"/>
        <v>112</v>
      </c>
      <c r="DO8" s="106">
        <v>26</v>
      </c>
      <c r="DP8" s="97">
        <v>1</v>
      </c>
      <c r="DQ8" s="97">
        <v>1</v>
      </c>
      <c r="DR8" s="97">
        <v>1</v>
      </c>
      <c r="DS8" s="97">
        <v>1</v>
      </c>
      <c r="DT8" s="97">
        <v>1</v>
      </c>
      <c r="DU8" s="97">
        <v>1</v>
      </c>
      <c r="DV8" s="97">
        <v>1</v>
      </c>
      <c r="DW8" s="97">
        <v>1</v>
      </c>
      <c r="DX8" s="97">
        <v>1</v>
      </c>
      <c r="DY8" s="97">
        <v>1</v>
      </c>
      <c r="DZ8" s="97">
        <v>0</v>
      </c>
      <c r="EA8" s="97">
        <v>1</v>
      </c>
      <c r="EB8" s="97">
        <v>1</v>
      </c>
      <c r="EC8" s="97">
        <v>1</v>
      </c>
      <c r="ED8" s="97">
        <v>1</v>
      </c>
      <c r="EE8" s="77">
        <f t="shared" si="31"/>
        <v>14</v>
      </c>
      <c r="EF8" s="77" t="s">
        <v>267</v>
      </c>
      <c r="EG8" s="78">
        <f t="shared" si="8"/>
        <v>14</v>
      </c>
      <c r="EH8" s="97">
        <v>0</v>
      </c>
      <c r="EI8" s="97">
        <v>0.5</v>
      </c>
      <c r="EJ8" s="97">
        <v>0</v>
      </c>
      <c r="EK8" s="97">
        <v>0</v>
      </c>
      <c r="EL8" s="97">
        <v>0</v>
      </c>
      <c r="EM8" s="97">
        <v>0</v>
      </c>
      <c r="EN8" s="97">
        <v>1</v>
      </c>
      <c r="EO8" s="97">
        <v>0.5</v>
      </c>
      <c r="EP8" s="97">
        <v>0</v>
      </c>
      <c r="EQ8" s="97">
        <v>0</v>
      </c>
      <c r="ER8" s="97">
        <v>0</v>
      </c>
      <c r="ES8" s="97">
        <v>0</v>
      </c>
      <c r="ET8" s="97">
        <v>0</v>
      </c>
      <c r="EU8" s="97">
        <v>0</v>
      </c>
      <c r="EV8" s="97">
        <v>0</v>
      </c>
      <c r="EW8" s="97">
        <v>0</v>
      </c>
      <c r="EX8" s="97">
        <v>1</v>
      </c>
      <c r="EY8" s="97">
        <v>1</v>
      </c>
      <c r="EZ8" s="97">
        <v>0</v>
      </c>
      <c r="FA8" s="97">
        <v>1</v>
      </c>
      <c r="FB8" s="97">
        <v>1</v>
      </c>
      <c r="FC8" s="97">
        <v>0</v>
      </c>
      <c r="FD8" s="79">
        <f t="shared" si="9"/>
        <v>6</v>
      </c>
      <c r="FE8" s="79">
        <v>2</v>
      </c>
      <c r="FF8" s="97">
        <v>1</v>
      </c>
      <c r="FG8" s="97">
        <v>1</v>
      </c>
      <c r="FH8" s="97">
        <v>1</v>
      </c>
      <c r="FI8" s="97">
        <v>1</v>
      </c>
      <c r="FJ8" s="97">
        <v>1</v>
      </c>
      <c r="FK8" s="97">
        <v>1</v>
      </c>
      <c r="FL8" s="97">
        <v>1</v>
      </c>
      <c r="FM8" s="97">
        <v>1</v>
      </c>
      <c r="FN8" s="81">
        <f t="shared" si="10"/>
        <v>8</v>
      </c>
      <c r="FO8" s="82">
        <v>1</v>
      </c>
      <c r="FP8" s="97">
        <v>10</v>
      </c>
      <c r="FQ8" s="97">
        <v>5</v>
      </c>
      <c r="FR8" s="97">
        <v>10</v>
      </c>
      <c r="FS8" s="97">
        <v>5</v>
      </c>
      <c r="FT8" s="97">
        <v>10</v>
      </c>
      <c r="FU8" s="97">
        <v>10</v>
      </c>
      <c r="FV8" s="97">
        <v>10</v>
      </c>
      <c r="FW8" s="97">
        <v>15</v>
      </c>
      <c r="FX8" s="97">
        <v>15</v>
      </c>
      <c r="FY8" s="97">
        <v>10</v>
      </c>
      <c r="FZ8" s="83">
        <f t="shared" si="11"/>
        <v>100</v>
      </c>
      <c r="GA8" s="84">
        <v>1</v>
      </c>
      <c r="GB8" s="55">
        <v>0</v>
      </c>
      <c r="GC8" s="85">
        <v>0.5</v>
      </c>
      <c r="GD8" s="85">
        <v>0</v>
      </c>
      <c r="GE8" s="85">
        <v>0</v>
      </c>
      <c r="GF8" s="85">
        <v>0</v>
      </c>
      <c r="GG8" s="85">
        <v>0</v>
      </c>
      <c r="GH8" s="85">
        <v>0</v>
      </c>
      <c r="GI8" s="97">
        <v>0</v>
      </c>
      <c r="GJ8" s="97">
        <v>0</v>
      </c>
      <c r="GK8" s="97">
        <v>1</v>
      </c>
      <c r="GL8" s="97">
        <v>1</v>
      </c>
      <c r="GM8" s="97">
        <v>1</v>
      </c>
      <c r="GN8" s="97">
        <v>0</v>
      </c>
      <c r="GO8" s="97">
        <v>0</v>
      </c>
      <c r="GP8" s="97">
        <v>0</v>
      </c>
      <c r="GQ8" s="97">
        <v>1</v>
      </c>
      <c r="GR8" s="97">
        <v>0</v>
      </c>
      <c r="GS8" s="97">
        <v>0</v>
      </c>
      <c r="GT8" s="97">
        <v>0</v>
      </c>
      <c r="GU8" s="86">
        <f t="shared" si="12"/>
        <v>4</v>
      </c>
      <c r="GV8" s="87" t="s">
        <v>266</v>
      </c>
      <c r="GW8" s="87">
        <v>0</v>
      </c>
      <c r="GX8" s="88" t="s">
        <v>267</v>
      </c>
      <c r="GY8" s="55">
        <v>4</v>
      </c>
      <c r="GZ8" s="55">
        <v>5</v>
      </c>
      <c r="HA8" s="55">
        <v>3</v>
      </c>
      <c r="HB8" s="55">
        <v>3</v>
      </c>
      <c r="HC8" s="55">
        <v>2</v>
      </c>
      <c r="HD8" s="55">
        <v>4</v>
      </c>
      <c r="HE8" s="55"/>
      <c r="HF8" s="55"/>
      <c r="HG8" s="55">
        <v>3</v>
      </c>
      <c r="HH8" s="55">
        <v>7</v>
      </c>
      <c r="HI8" s="55">
        <v>7</v>
      </c>
      <c r="HJ8" s="55"/>
      <c r="HK8" s="55">
        <v>4</v>
      </c>
      <c r="HL8" s="55">
        <v>5</v>
      </c>
      <c r="HM8" s="55">
        <v>7</v>
      </c>
      <c r="HN8" s="55">
        <v>1</v>
      </c>
      <c r="HO8" s="55">
        <v>3</v>
      </c>
      <c r="HP8" s="55">
        <v>1</v>
      </c>
      <c r="HQ8" s="55">
        <v>1</v>
      </c>
      <c r="HR8" s="55">
        <v>1</v>
      </c>
      <c r="HS8" s="55">
        <v>1</v>
      </c>
      <c r="HT8" s="55">
        <v>2</v>
      </c>
      <c r="HU8" s="55">
        <v>4</v>
      </c>
      <c r="HV8" s="55">
        <v>1</v>
      </c>
      <c r="HW8" s="55">
        <v>0</v>
      </c>
      <c r="HX8" s="55">
        <v>1</v>
      </c>
      <c r="HY8" s="55">
        <v>3</v>
      </c>
      <c r="HZ8" s="55">
        <v>4</v>
      </c>
      <c r="IA8" s="55">
        <v>4</v>
      </c>
      <c r="IB8" s="55">
        <v>7</v>
      </c>
      <c r="IC8" s="55"/>
      <c r="ID8" s="55">
        <f t="shared" ref="ID8:IG8" si="44">SUM(GY8)</f>
        <v>4</v>
      </c>
      <c r="IE8" s="55">
        <f t="shared" si="44"/>
        <v>5</v>
      </c>
      <c r="IF8" s="55">
        <f t="shared" si="44"/>
        <v>3</v>
      </c>
      <c r="IG8" s="55">
        <f t="shared" si="44"/>
        <v>3</v>
      </c>
      <c r="IH8" s="55">
        <f t="shared" si="14"/>
        <v>6</v>
      </c>
      <c r="II8" s="55">
        <f t="shared" si="15"/>
        <v>3</v>
      </c>
      <c r="IJ8" s="55">
        <f t="shared" si="16"/>
        <v>14</v>
      </c>
      <c r="IK8" s="55">
        <f t="shared" ref="IK8:IQ8" si="45">SUM(HK8)</f>
        <v>4</v>
      </c>
      <c r="IL8" s="55">
        <f t="shared" si="45"/>
        <v>5</v>
      </c>
      <c r="IM8" s="55">
        <f t="shared" si="45"/>
        <v>7</v>
      </c>
      <c r="IN8" s="55">
        <f t="shared" si="45"/>
        <v>1</v>
      </c>
      <c r="IO8" s="55">
        <f t="shared" si="45"/>
        <v>3</v>
      </c>
      <c r="IP8" s="55">
        <f t="shared" si="45"/>
        <v>1</v>
      </c>
      <c r="IQ8" s="55">
        <f t="shared" si="45"/>
        <v>1</v>
      </c>
      <c r="IR8" s="55">
        <f t="shared" si="18"/>
        <v>2</v>
      </c>
      <c r="IS8" s="55">
        <f t="shared" ref="IS8:JB8" si="46">SUM(HT8)</f>
        <v>2</v>
      </c>
      <c r="IT8" s="55">
        <f t="shared" si="46"/>
        <v>4</v>
      </c>
      <c r="IU8" s="55">
        <f t="shared" si="46"/>
        <v>1</v>
      </c>
      <c r="IV8" s="55">
        <f t="shared" si="46"/>
        <v>0</v>
      </c>
      <c r="IW8" s="55">
        <f t="shared" si="46"/>
        <v>1</v>
      </c>
      <c r="IX8" s="55">
        <f t="shared" si="46"/>
        <v>3</v>
      </c>
      <c r="IY8" s="55">
        <f t="shared" si="46"/>
        <v>4</v>
      </c>
      <c r="IZ8" s="55">
        <f t="shared" si="46"/>
        <v>4</v>
      </c>
      <c r="JA8" s="55">
        <f t="shared" si="46"/>
        <v>7</v>
      </c>
      <c r="JB8" s="55">
        <f t="shared" si="46"/>
        <v>0</v>
      </c>
      <c r="JC8" s="89">
        <f t="shared" si="20"/>
        <v>85</v>
      </c>
      <c r="JD8" s="90">
        <v>1</v>
      </c>
      <c r="JE8" s="89">
        <v>1</v>
      </c>
      <c r="JF8" s="121">
        <v>15</v>
      </c>
      <c r="JG8" s="121">
        <v>4</v>
      </c>
      <c r="JH8" s="55">
        <v>2</v>
      </c>
      <c r="JI8" s="55">
        <v>2</v>
      </c>
      <c r="JJ8" s="55">
        <v>2</v>
      </c>
      <c r="JK8" s="55">
        <v>0</v>
      </c>
      <c r="JL8" s="55">
        <v>0</v>
      </c>
      <c r="JM8" s="55">
        <v>0</v>
      </c>
      <c r="JN8" s="55">
        <v>0</v>
      </c>
      <c r="JO8" s="55">
        <v>0</v>
      </c>
      <c r="JP8" s="89">
        <f t="shared" si="21"/>
        <v>6</v>
      </c>
      <c r="JQ8" s="55">
        <v>2</v>
      </c>
      <c r="JR8" s="55">
        <v>1</v>
      </c>
      <c r="JS8" s="55">
        <v>0</v>
      </c>
      <c r="JT8" s="55">
        <v>0</v>
      </c>
      <c r="JU8" s="55">
        <v>0</v>
      </c>
      <c r="JV8" s="55">
        <v>0</v>
      </c>
      <c r="JW8" s="55">
        <v>0</v>
      </c>
      <c r="JX8" s="92">
        <f t="shared" si="22"/>
        <v>3</v>
      </c>
      <c r="JY8" s="93">
        <f t="shared" si="23"/>
        <v>9</v>
      </c>
      <c r="JZ8" s="55">
        <v>3</v>
      </c>
      <c r="KA8" s="55">
        <v>2</v>
      </c>
      <c r="KB8" s="55">
        <v>0</v>
      </c>
      <c r="KC8" s="55">
        <v>0</v>
      </c>
      <c r="KD8" s="55">
        <v>0</v>
      </c>
      <c r="KE8" s="55">
        <v>0</v>
      </c>
      <c r="KF8" s="55">
        <v>0</v>
      </c>
      <c r="KG8" s="94">
        <f t="shared" si="24"/>
        <v>5</v>
      </c>
      <c r="KH8" s="95" t="s">
        <v>331</v>
      </c>
      <c r="KI8" s="55">
        <v>0</v>
      </c>
      <c r="KJ8" s="55">
        <v>2</v>
      </c>
      <c r="KK8" s="55">
        <v>2</v>
      </c>
      <c r="KL8" s="95" t="s">
        <v>773</v>
      </c>
      <c r="KM8" s="55">
        <v>2</v>
      </c>
      <c r="KN8" s="55">
        <v>0</v>
      </c>
      <c r="KO8" s="55">
        <v>0</v>
      </c>
      <c r="KP8" s="95" t="s">
        <v>320</v>
      </c>
      <c r="KQ8" s="55">
        <v>0</v>
      </c>
      <c r="KR8" s="55">
        <v>2</v>
      </c>
      <c r="KS8" s="55">
        <v>0</v>
      </c>
      <c r="KT8" s="95" t="s">
        <v>322</v>
      </c>
      <c r="KU8" s="55">
        <v>0</v>
      </c>
      <c r="KV8" s="55">
        <v>2</v>
      </c>
      <c r="KW8" s="55">
        <v>0</v>
      </c>
      <c r="KX8" s="95" t="s">
        <v>327</v>
      </c>
      <c r="KY8" s="55">
        <v>0</v>
      </c>
      <c r="KZ8" s="55">
        <v>2</v>
      </c>
      <c r="LA8" s="55">
        <v>1</v>
      </c>
      <c r="LB8" s="95" t="s">
        <v>315</v>
      </c>
      <c r="LC8" s="55">
        <v>0</v>
      </c>
      <c r="LD8" s="55">
        <v>2</v>
      </c>
      <c r="LE8" s="55">
        <v>1</v>
      </c>
      <c r="LF8" s="95" t="s">
        <v>774</v>
      </c>
      <c r="LG8" s="55">
        <v>0</v>
      </c>
      <c r="LH8" s="55">
        <v>2</v>
      </c>
      <c r="LI8" s="55">
        <v>0</v>
      </c>
      <c r="LJ8" s="95" t="s">
        <v>325</v>
      </c>
      <c r="LK8" s="55">
        <v>0</v>
      </c>
      <c r="LL8" s="55">
        <v>2</v>
      </c>
      <c r="LM8" s="55">
        <v>0</v>
      </c>
      <c r="LN8" s="96">
        <f t="shared" si="25"/>
        <v>18</v>
      </c>
      <c r="LO8" s="97">
        <f t="shared" si="26"/>
        <v>4</v>
      </c>
      <c r="LP8" s="97">
        <f t="shared" si="27"/>
        <v>32</v>
      </c>
    </row>
    <row r="9" spans="1:328" s="98" customFormat="1" ht="13.8">
      <c r="A9" s="55" t="s">
        <v>634</v>
      </c>
      <c r="B9" s="110">
        <v>45953</v>
      </c>
      <c r="C9" s="61">
        <v>45</v>
      </c>
      <c r="D9" s="62" t="s">
        <v>763</v>
      </c>
      <c r="E9" s="62"/>
      <c r="F9" s="61">
        <v>1</v>
      </c>
      <c r="G9" s="61">
        <v>1</v>
      </c>
      <c r="H9" s="119">
        <v>1</v>
      </c>
      <c r="I9" s="164">
        <v>6</v>
      </c>
      <c r="J9" s="164">
        <v>6</v>
      </c>
      <c r="K9" s="63">
        <v>0.13333333333333333</v>
      </c>
      <c r="L9" s="63">
        <v>8.4027777777777785E-2</v>
      </c>
      <c r="M9" s="63">
        <v>2.7083333333333334E-2</v>
      </c>
      <c r="N9" s="64" t="s">
        <v>1040</v>
      </c>
      <c r="O9" s="101" t="s">
        <v>983</v>
      </c>
      <c r="P9" s="102" t="s">
        <v>703</v>
      </c>
      <c r="Q9" s="95">
        <v>1</v>
      </c>
      <c r="R9" s="103">
        <v>20311</v>
      </c>
      <c r="S9" s="102">
        <v>70</v>
      </c>
      <c r="T9" s="102" t="s">
        <v>310</v>
      </c>
      <c r="U9" s="102" t="s">
        <v>298</v>
      </c>
      <c r="V9" s="102">
        <v>998200543</v>
      </c>
      <c r="W9" s="102" t="s">
        <v>595</v>
      </c>
      <c r="X9" s="102" t="s">
        <v>596</v>
      </c>
      <c r="Y9" s="102" t="s">
        <v>311</v>
      </c>
      <c r="Z9" s="102" t="s">
        <v>262</v>
      </c>
      <c r="AA9" s="102" t="s">
        <v>312</v>
      </c>
      <c r="AB9" s="102" t="s">
        <v>264</v>
      </c>
      <c r="AC9" s="102" t="s">
        <v>597</v>
      </c>
      <c r="AD9" s="102" t="s">
        <v>597</v>
      </c>
      <c r="AE9" s="102" t="s">
        <v>704</v>
      </c>
      <c r="AF9" s="102" t="s">
        <v>597</v>
      </c>
      <c r="AG9" s="102" t="s">
        <v>610</v>
      </c>
      <c r="AH9" s="102" t="s">
        <v>599</v>
      </c>
      <c r="AI9" s="102" t="s">
        <v>599</v>
      </c>
      <c r="AJ9" s="103">
        <v>45744</v>
      </c>
      <c r="AK9" s="122"/>
      <c r="AL9" s="69">
        <v>1</v>
      </c>
      <c r="AM9" s="69">
        <v>1</v>
      </c>
      <c r="AN9" s="69">
        <v>1</v>
      </c>
      <c r="AO9" s="69">
        <v>1</v>
      </c>
      <c r="AP9" s="69">
        <v>1</v>
      </c>
      <c r="AQ9" s="69">
        <v>1</v>
      </c>
      <c r="AR9" s="69">
        <v>1</v>
      </c>
      <c r="AS9" s="69">
        <v>1</v>
      </c>
      <c r="AT9" s="70">
        <f t="shared" si="0"/>
        <v>8</v>
      </c>
      <c r="AU9" s="71">
        <v>1</v>
      </c>
      <c r="AV9" s="71">
        <v>1</v>
      </c>
      <c r="AW9" s="71">
        <v>1</v>
      </c>
      <c r="AX9" s="71">
        <v>1</v>
      </c>
      <c r="AY9" s="70">
        <f t="shared" si="1"/>
        <v>4</v>
      </c>
      <c r="AZ9" s="69">
        <v>1</v>
      </c>
      <c r="BA9" s="69">
        <v>1</v>
      </c>
      <c r="BB9" s="69">
        <v>1</v>
      </c>
      <c r="BC9" s="69">
        <v>1</v>
      </c>
      <c r="BD9" s="69">
        <v>1</v>
      </c>
      <c r="BE9" s="69">
        <v>1</v>
      </c>
      <c r="BF9" s="69">
        <v>1</v>
      </c>
      <c r="BG9" s="69">
        <v>1</v>
      </c>
      <c r="BH9" s="70">
        <f t="shared" si="2"/>
        <v>8</v>
      </c>
      <c r="BI9" s="69">
        <v>1</v>
      </c>
      <c r="BJ9" s="69">
        <v>1</v>
      </c>
      <c r="BK9" s="70">
        <f t="shared" si="3"/>
        <v>2</v>
      </c>
      <c r="BL9" s="72">
        <v>1</v>
      </c>
      <c r="BM9" s="72">
        <v>1</v>
      </c>
      <c r="BN9" s="72">
        <v>1</v>
      </c>
      <c r="BO9" s="72">
        <v>1</v>
      </c>
      <c r="BP9" s="72">
        <v>1</v>
      </c>
      <c r="BQ9" s="72">
        <v>1</v>
      </c>
      <c r="BR9" s="72">
        <v>1</v>
      </c>
      <c r="BS9" s="72">
        <v>1</v>
      </c>
      <c r="BT9" s="70">
        <f t="shared" si="4"/>
        <v>7</v>
      </c>
      <c r="BU9" s="70">
        <f t="shared" si="5"/>
        <v>29</v>
      </c>
      <c r="BV9" s="105">
        <v>5</v>
      </c>
      <c r="BW9" s="105">
        <v>5</v>
      </c>
      <c r="BX9" s="105">
        <v>5</v>
      </c>
      <c r="BY9" s="73">
        <v>1</v>
      </c>
      <c r="BZ9" s="105">
        <v>5</v>
      </c>
      <c r="CA9" s="73">
        <v>3</v>
      </c>
      <c r="CB9" s="105">
        <v>5</v>
      </c>
      <c r="CC9" s="73">
        <v>5</v>
      </c>
      <c r="CD9" s="73">
        <v>2</v>
      </c>
      <c r="CE9" s="73">
        <v>3</v>
      </c>
      <c r="CF9" s="73">
        <v>3</v>
      </c>
      <c r="CG9" s="73">
        <v>5</v>
      </c>
      <c r="CH9" s="74">
        <v>5</v>
      </c>
      <c r="CI9" s="105">
        <v>5</v>
      </c>
      <c r="CJ9" s="73">
        <v>3</v>
      </c>
      <c r="CK9" s="75">
        <f t="shared" si="6"/>
        <v>60</v>
      </c>
      <c r="CL9" s="106">
        <v>5</v>
      </c>
      <c r="CM9" s="76">
        <v>1</v>
      </c>
      <c r="CN9" s="76">
        <v>5</v>
      </c>
      <c r="CO9" s="76">
        <v>5</v>
      </c>
      <c r="CP9" s="76">
        <v>5</v>
      </c>
      <c r="CQ9" s="106">
        <v>5</v>
      </c>
      <c r="CR9" s="76">
        <v>1</v>
      </c>
      <c r="CS9" s="76">
        <v>5</v>
      </c>
      <c r="CT9" s="76">
        <v>5</v>
      </c>
      <c r="CU9" s="76">
        <v>5</v>
      </c>
      <c r="CV9" s="76">
        <v>5</v>
      </c>
      <c r="CW9" s="76">
        <v>1</v>
      </c>
      <c r="CX9" s="76">
        <v>1</v>
      </c>
      <c r="CY9" s="76">
        <v>5</v>
      </c>
      <c r="CZ9" s="76">
        <v>5</v>
      </c>
      <c r="DA9" s="76">
        <v>5</v>
      </c>
      <c r="DB9" s="76">
        <v>5</v>
      </c>
      <c r="DC9" s="76">
        <v>4</v>
      </c>
      <c r="DD9" s="76">
        <v>5</v>
      </c>
      <c r="DE9" s="76">
        <v>5</v>
      </c>
      <c r="DF9" s="76">
        <v>5</v>
      </c>
      <c r="DG9" s="76">
        <v>5</v>
      </c>
      <c r="DH9" s="76">
        <v>5</v>
      </c>
      <c r="DI9" s="76">
        <v>5</v>
      </c>
      <c r="DJ9" s="76">
        <v>1</v>
      </c>
      <c r="DK9" s="76">
        <v>5</v>
      </c>
      <c r="DL9" s="76">
        <v>3</v>
      </c>
      <c r="DM9" s="76">
        <v>1</v>
      </c>
      <c r="DN9" s="76">
        <f t="shared" si="7"/>
        <v>113</v>
      </c>
      <c r="DO9" s="123">
        <v>30</v>
      </c>
      <c r="DP9" s="97">
        <v>0</v>
      </c>
      <c r="DQ9" s="97">
        <v>0</v>
      </c>
      <c r="DR9" s="97">
        <v>0</v>
      </c>
      <c r="DS9" s="97">
        <v>0</v>
      </c>
      <c r="DT9" s="97">
        <v>0</v>
      </c>
      <c r="DU9" s="97">
        <v>0</v>
      </c>
      <c r="DV9" s="97">
        <v>0</v>
      </c>
      <c r="DW9" s="97">
        <v>0</v>
      </c>
      <c r="DX9" s="97">
        <v>0</v>
      </c>
      <c r="DY9" s="97">
        <v>0</v>
      </c>
      <c r="DZ9" s="97">
        <v>0</v>
      </c>
      <c r="EA9" s="97">
        <v>0</v>
      </c>
      <c r="EB9" s="97">
        <v>0</v>
      </c>
      <c r="EC9" s="97">
        <v>0</v>
      </c>
      <c r="ED9" s="97">
        <v>0</v>
      </c>
      <c r="EE9" s="77">
        <f t="shared" si="31"/>
        <v>0</v>
      </c>
      <c r="EF9" s="77" t="s">
        <v>265</v>
      </c>
      <c r="EG9" s="78">
        <f t="shared" si="8"/>
        <v>0</v>
      </c>
      <c r="EH9" s="97">
        <v>0</v>
      </c>
      <c r="EI9" s="97">
        <v>0</v>
      </c>
      <c r="EJ9" s="97">
        <v>0</v>
      </c>
      <c r="EK9" s="97">
        <v>0</v>
      </c>
      <c r="EL9" s="97">
        <v>0</v>
      </c>
      <c r="EM9" s="97">
        <v>0</v>
      </c>
      <c r="EN9" s="97">
        <v>0</v>
      </c>
      <c r="EO9" s="97">
        <v>0</v>
      </c>
      <c r="EP9" s="97">
        <v>0</v>
      </c>
      <c r="EQ9" s="97">
        <v>0</v>
      </c>
      <c r="ER9" s="97">
        <v>0</v>
      </c>
      <c r="ES9" s="97">
        <v>0</v>
      </c>
      <c r="ET9" s="97">
        <v>0</v>
      </c>
      <c r="EU9" s="97">
        <v>0</v>
      </c>
      <c r="EV9" s="97">
        <v>0</v>
      </c>
      <c r="EW9" s="97">
        <v>0</v>
      </c>
      <c r="EX9" s="97">
        <v>0</v>
      </c>
      <c r="EY9" s="97">
        <v>0</v>
      </c>
      <c r="EZ9" s="97">
        <v>0</v>
      </c>
      <c r="FA9" s="97">
        <v>0</v>
      </c>
      <c r="FB9" s="97">
        <v>0</v>
      </c>
      <c r="FC9" s="97">
        <v>0</v>
      </c>
      <c r="FD9" s="79">
        <f t="shared" si="9"/>
        <v>0</v>
      </c>
      <c r="FE9" s="80">
        <v>1</v>
      </c>
      <c r="FF9" s="97">
        <v>1</v>
      </c>
      <c r="FG9" s="97">
        <v>1</v>
      </c>
      <c r="FH9" s="97">
        <v>1</v>
      </c>
      <c r="FI9" s="97">
        <v>1</v>
      </c>
      <c r="FJ9" s="97">
        <v>1</v>
      </c>
      <c r="FK9" s="97">
        <v>1</v>
      </c>
      <c r="FL9" s="97">
        <v>1</v>
      </c>
      <c r="FM9" s="97">
        <v>1</v>
      </c>
      <c r="FN9" s="81">
        <f t="shared" si="10"/>
        <v>8</v>
      </c>
      <c r="FO9" s="82">
        <v>1</v>
      </c>
      <c r="FP9" s="97">
        <v>10</v>
      </c>
      <c r="FQ9" s="97">
        <v>5</v>
      </c>
      <c r="FR9" s="97">
        <v>10</v>
      </c>
      <c r="FS9" s="97">
        <v>5</v>
      </c>
      <c r="FT9" s="97">
        <v>10</v>
      </c>
      <c r="FU9" s="97">
        <v>10</v>
      </c>
      <c r="FV9" s="97">
        <v>10</v>
      </c>
      <c r="FW9" s="97">
        <v>15</v>
      </c>
      <c r="FX9" s="97">
        <v>15</v>
      </c>
      <c r="FY9" s="97">
        <v>10</v>
      </c>
      <c r="FZ9" s="83">
        <f t="shared" si="11"/>
        <v>100</v>
      </c>
      <c r="GA9" s="84">
        <v>1</v>
      </c>
      <c r="GB9" s="55">
        <v>0</v>
      </c>
      <c r="GC9" s="85">
        <v>0</v>
      </c>
      <c r="GD9" s="85">
        <v>0</v>
      </c>
      <c r="GE9" s="85">
        <v>0</v>
      </c>
      <c r="GF9" s="85">
        <v>0</v>
      </c>
      <c r="GG9" s="85">
        <v>0</v>
      </c>
      <c r="GH9" s="85">
        <v>0</v>
      </c>
      <c r="GI9" s="97">
        <v>0</v>
      </c>
      <c r="GJ9" s="97">
        <v>0</v>
      </c>
      <c r="GK9" s="97">
        <v>0</v>
      </c>
      <c r="GL9" s="97">
        <v>0</v>
      </c>
      <c r="GM9" s="97">
        <v>0</v>
      </c>
      <c r="GN9" s="97">
        <v>1</v>
      </c>
      <c r="GO9" s="97">
        <v>0</v>
      </c>
      <c r="GP9" s="97">
        <v>0</v>
      </c>
      <c r="GQ9" s="97">
        <v>0</v>
      </c>
      <c r="GR9" s="97">
        <v>0</v>
      </c>
      <c r="GS9" s="97">
        <v>1</v>
      </c>
      <c r="GT9" s="97">
        <v>0</v>
      </c>
      <c r="GU9" s="86">
        <f t="shared" si="12"/>
        <v>2</v>
      </c>
      <c r="GV9" s="87" t="s">
        <v>266</v>
      </c>
      <c r="GW9" s="87">
        <v>0</v>
      </c>
      <c r="GX9" s="88" t="s">
        <v>267</v>
      </c>
      <c r="GY9" s="55">
        <v>5</v>
      </c>
      <c r="GZ9" s="55">
        <v>5</v>
      </c>
      <c r="HA9" s="55">
        <v>3</v>
      </c>
      <c r="HB9" s="55">
        <v>3</v>
      </c>
      <c r="HC9" s="55">
        <v>4</v>
      </c>
      <c r="HD9" s="55">
        <v>5</v>
      </c>
      <c r="HE9" s="55"/>
      <c r="HF9" s="55"/>
      <c r="HG9" s="55">
        <v>3</v>
      </c>
      <c r="HH9" s="55">
        <v>6</v>
      </c>
      <c r="HI9" s="55">
        <v>6</v>
      </c>
      <c r="HJ9" s="55"/>
      <c r="HK9" s="55">
        <v>4</v>
      </c>
      <c r="HL9" s="55">
        <v>6</v>
      </c>
      <c r="HM9" s="55">
        <v>5</v>
      </c>
      <c r="HN9" s="55">
        <v>1</v>
      </c>
      <c r="HO9" s="55">
        <v>3</v>
      </c>
      <c r="HP9" s="55">
        <v>1</v>
      </c>
      <c r="HQ9" s="55">
        <v>1</v>
      </c>
      <c r="HR9" s="55">
        <v>1</v>
      </c>
      <c r="HS9" s="55">
        <v>1</v>
      </c>
      <c r="HT9" s="55">
        <v>2</v>
      </c>
      <c r="HU9" s="55">
        <v>3</v>
      </c>
      <c r="HV9" s="55">
        <v>1</v>
      </c>
      <c r="HW9" s="55">
        <v>1</v>
      </c>
      <c r="HX9" s="55">
        <v>1</v>
      </c>
      <c r="HY9" s="55">
        <v>5</v>
      </c>
      <c r="HZ9" s="55">
        <v>4</v>
      </c>
      <c r="IA9" s="55">
        <v>4</v>
      </c>
      <c r="IB9" s="55">
        <v>7</v>
      </c>
      <c r="IC9" s="55"/>
      <c r="ID9" s="55">
        <f t="shared" ref="ID9:IG9" si="47">SUM(GY9)</f>
        <v>5</v>
      </c>
      <c r="IE9" s="55">
        <f t="shared" si="47"/>
        <v>5</v>
      </c>
      <c r="IF9" s="55">
        <f t="shared" si="47"/>
        <v>3</v>
      </c>
      <c r="IG9" s="55">
        <f t="shared" si="47"/>
        <v>3</v>
      </c>
      <c r="IH9" s="55">
        <f t="shared" si="14"/>
        <v>9</v>
      </c>
      <c r="II9" s="55">
        <f t="shared" si="15"/>
        <v>3</v>
      </c>
      <c r="IJ9" s="55">
        <f t="shared" si="16"/>
        <v>12</v>
      </c>
      <c r="IK9" s="55">
        <f t="shared" ref="IK9:IQ9" si="48">SUM(HK9)</f>
        <v>4</v>
      </c>
      <c r="IL9" s="55">
        <f t="shared" si="48"/>
        <v>6</v>
      </c>
      <c r="IM9" s="55">
        <f t="shared" si="48"/>
        <v>5</v>
      </c>
      <c r="IN9" s="55">
        <f t="shared" si="48"/>
        <v>1</v>
      </c>
      <c r="IO9" s="55">
        <f t="shared" si="48"/>
        <v>3</v>
      </c>
      <c r="IP9" s="55">
        <f t="shared" si="48"/>
        <v>1</v>
      </c>
      <c r="IQ9" s="55">
        <f t="shared" si="48"/>
        <v>1</v>
      </c>
      <c r="IR9" s="55">
        <f t="shared" si="18"/>
        <v>2</v>
      </c>
      <c r="IS9" s="55">
        <f t="shared" ref="IS9:JB9" si="49">SUM(HT9)</f>
        <v>2</v>
      </c>
      <c r="IT9" s="55">
        <f t="shared" si="49"/>
        <v>3</v>
      </c>
      <c r="IU9" s="55">
        <f t="shared" si="49"/>
        <v>1</v>
      </c>
      <c r="IV9" s="55">
        <f t="shared" si="49"/>
        <v>1</v>
      </c>
      <c r="IW9" s="55">
        <f t="shared" si="49"/>
        <v>1</v>
      </c>
      <c r="IX9" s="55">
        <f t="shared" si="49"/>
        <v>5</v>
      </c>
      <c r="IY9" s="55">
        <f t="shared" si="49"/>
        <v>4</v>
      </c>
      <c r="IZ9" s="55">
        <f t="shared" si="49"/>
        <v>4</v>
      </c>
      <c r="JA9" s="55">
        <f t="shared" si="49"/>
        <v>7</v>
      </c>
      <c r="JB9" s="55">
        <f t="shared" si="49"/>
        <v>0</v>
      </c>
      <c r="JC9" s="89">
        <f t="shared" si="20"/>
        <v>88</v>
      </c>
      <c r="JD9" s="90">
        <v>1</v>
      </c>
      <c r="JE9" s="89">
        <v>1</v>
      </c>
      <c r="JF9" s="121">
        <v>40</v>
      </c>
      <c r="JG9" s="121">
        <v>2</v>
      </c>
      <c r="JH9" s="97">
        <v>2</v>
      </c>
      <c r="JI9" s="97">
        <v>2</v>
      </c>
      <c r="JJ9" s="97">
        <v>2</v>
      </c>
      <c r="JK9" s="97">
        <v>0</v>
      </c>
      <c r="JL9" s="97">
        <v>0</v>
      </c>
      <c r="JM9" s="97">
        <v>0</v>
      </c>
      <c r="JN9" s="97">
        <v>0</v>
      </c>
      <c r="JO9" s="97">
        <v>0</v>
      </c>
      <c r="JP9" s="89">
        <f t="shared" si="21"/>
        <v>6</v>
      </c>
      <c r="JQ9" s="97">
        <v>2</v>
      </c>
      <c r="JR9" s="97">
        <v>0</v>
      </c>
      <c r="JS9" s="97">
        <v>0</v>
      </c>
      <c r="JT9" s="97">
        <v>0</v>
      </c>
      <c r="JU9" s="97">
        <v>0</v>
      </c>
      <c r="JV9" s="97">
        <v>0</v>
      </c>
      <c r="JW9" s="97">
        <v>0</v>
      </c>
      <c r="JX9" s="92">
        <f t="shared" si="22"/>
        <v>2</v>
      </c>
      <c r="JY9" s="93">
        <f t="shared" si="23"/>
        <v>8</v>
      </c>
      <c r="JZ9" s="97">
        <v>3</v>
      </c>
      <c r="KA9" s="97">
        <v>1</v>
      </c>
      <c r="KB9" s="97">
        <v>1</v>
      </c>
      <c r="KC9" s="97">
        <v>0</v>
      </c>
      <c r="KD9" s="97">
        <v>0</v>
      </c>
      <c r="KE9" s="97">
        <v>0</v>
      </c>
      <c r="KF9" s="97">
        <v>0</v>
      </c>
      <c r="KG9" s="94">
        <f t="shared" si="24"/>
        <v>5</v>
      </c>
      <c r="KH9" s="95" t="s">
        <v>313</v>
      </c>
      <c r="KI9" s="97">
        <v>0</v>
      </c>
      <c r="KJ9" s="97">
        <v>2</v>
      </c>
      <c r="KK9" s="97">
        <v>0</v>
      </c>
      <c r="KL9" s="95" t="s">
        <v>314</v>
      </c>
      <c r="KM9" s="97">
        <v>0</v>
      </c>
      <c r="KN9" s="97">
        <v>2</v>
      </c>
      <c r="KO9" s="97">
        <v>0</v>
      </c>
      <c r="KP9" s="95" t="s">
        <v>315</v>
      </c>
      <c r="KQ9" s="97">
        <v>0</v>
      </c>
      <c r="KR9" s="97">
        <v>2</v>
      </c>
      <c r="KS9" s="97">
        <v>0</v>
      </c>
      <c r="KT9" s="95" t="s">
        <v>316</v>
      </c>
      <c r="KU9" s="97">
        <v>0</v>
      </c>
      <c r="KV9" s="97">
        <v>2</v>
      </c>
      <c r="KW9" s="97">
        <v>0</v>
      </c>
      <c r="KX9" s="95" t="s">
        <v>317</v>
      </c>
      <c r="KY9" s="97">
        <v>0</v>
      </c>
      <c r="KZ9" s="97">
        <v>2</v>
      </c>
      <c r="LA9" s="97">
        <v>0</v>
      </c>
      <c r="LB9" s="108">
        <v>45905</v>
      </c>
      <c r="LC9" s="97">
        <v>0</v>
      </c>
      <c r="LD9" s="97">
        <v>2</v>
      </c>
      <c r="LE9" s="97">
        <v>1</v>
      </c>
      <c r="LF9" s="108">
        <v>45897</v>
      </c>
      <c r="LG9" s="97">
        <v>0</v>
      </c>
      <c r="LH9" s="97">
        <v>2</v>
      </c>
      <c r="LI9" s="97">
        <v>0</v>
      </c>
      <c r="LJ9" s="95" t="s">
        <v>318</v>
      </c>
      <c r="LK9" s="97">
        <v>2</v>
      </c>
      <c r="LL9" s="97">
        <v>0</v>
      </c>
      <c r="LM9" s="97">
        <v>0</v>
      </c>
      <c r="LN9" s="96">
        <f t="shared" si="25"/>
        <v>15</v>
      </c>
      <c r="LO9" s="97">
        <f t="shared" si="26"/>
        <v>1</v>
      </c>
      <c r="LP9" s="97">
        <f t="shared" si="27"/>
        <v>28</v>
      </c>
    </row>
    <row r="10" spans="1:328" s="98" customFormat="1" ht="13.8">
      <c r="A10" s="55" t="s">
        <v>604</v>
      </c>
      <c r="B10" s="110">
        <v>45973</v>
      </c>
      <c r="C10" s="61">
        <v>42</v>
      </c>
      <c r="D10" s="62" t="s">
        <v>763</v>
      </c>
      <c r="E10" s="62"/>
      <c r="F10" s="61">
        <v>1</v>
      </c>
      <c r="G10" s="61">
        <v>1</v>
      </c>
      <c r="H10" s="39">
        <v>1</v>
      </c>
      <c r="I10" s="164">
        <v>8</v>
      </c>
      <c r="J10" s="164">
        <v>8</v>
      </c>
      <c r="K10" s="63">
        <v>6.7361111111111108E-2</v>
      </c>
      <c r="L10" s="63">
        <v>0.12847222222222221</v>
      </c>
      <c r="M10" s="63">
        <v>0.125</v>
      </c>
      <c r="N10" s="64" t="s">
        <v>1041</v>
      </c>
      <c r="O10" s="101" t="s">
        <v>984</v>
      </c>
      <c r="P10" s="66" t="s">
        <v>694</v>
      </c>
      <c r="Q10" s="111">
        <v>1</v>
      </c>
      <c r="R10" s="67">
        <v>23081</v>
      </c>
      <c r="S10" s="66">
        <v>61</v>
      </c>
      <c r="T10" s="66" t="s">
        <v>259</v>
      </c>
      <c r="U10" s="66" t="s">
        <v>276</v>
      </c>
      <c r="V10" s="66">
        <v>986625204</v>
      </c>
      <c r="W10" s="66" t="s">
        <v>595</v>
      </c>
      <c r="X10" s="66" t="s">
        <v>596</v>
      </c>
      <c r="Y10" s="66" t="s">
        <v>311</v>
      </c>
      <c r="Z10" s="66" t="s">
        <v>262</v>
      </c>
      <c r="AA10" s="66" t="s">
        <v>289</v>
      </c>
      <c r="AB10" s="66" t="s">
        <v>279</v>
      </c>
      <c r="AC10" s="66" t="s">
        <v>597</v>
      </c>
      <c r="AD10" s="66" t="s">
        <v>597</v>
      </c>
      <c r="AE10" s="66" t="s">
        <v>602</v>
      </c>
      <c r="AF10" s="66" t="s">
        <v>599</v>
      </c>
      <c r="AG10" s="66" t="s">
        <v>695</v>
      </c>
      <c r="AH10" s="66" t="s">
        <v>599</v>
      </c>
      <c r="AI10" s="66" t="s">
        <v>597</v>
      </c>
      <c r="AJ10" s="66" t="s">
        <v>603</v>
      </c>
      <c r="AK10" s="124"/>
      <c r="AL10" s="69">
        <v>1</v>
      </c>
      <c r="AM10" s="69">
        <v>1</v>
      </c>
      <c r="AN10" s="69">
        <v>1</v>
      </c>
      <c r="AO10" s="69">
        <v>1</v>
      </c>
      <c r="AP10" s="69">
        <v>1</v>
      </c>
      <c r="AQ10" s="69">
        <v>1</v>
      </c>
      <c r="AR10" s="69">
        <v>1</v>
      </c>
      <c r="AS10" s="69">
        <v>1</v>
      </c>
      <c r="AT10" s="70">
        <f t="shared" si="0"/>
        <v>8</v>
      </c>
      <c r="AU10" s="71">
        <v>1</v>
      </c>
      <c r="AV10" s="71">
        <v>1</v>
      </c>
      <c r="AW10" s="71">
        <v>1</v>
      </c>
      <c r="AX10" s="71">
        <v>1</v>
      </c>
      <c r="AY10" s="70">
        <f t="shared" si="1"/>
        <v>4</v>
      </c>
      <c r="AZ10" s="69">
        <v>1</v>
      </c>
      <c r="BA10" s="69">
        <v>1</v>
      </c>
      <c r="BB10" s="69">
        <v>1</v>
      </c>
      <c r="BC10" s="69">
        <v>1</v>
      </c>
      <c r="BD10" s="69">
        <v>1</v>
      </c>
      <c r="BE10" s="69">
        <v>1</v>
      </c>
      <c r="BF10" s="69">
        <v>1</v>
      </c>
      <c r="BG10" s="69">
        <v>1</v>
      </c>
      <c r="BH10" s="70">
        <f t="shared" si="2"/>
        <v>8</v>
      </c>
      <c r="BI10" s="69">
        <v>1</v>
      </c>
      <c r="BJ10" s="69">
        <v>1</v>
      </c>
      <c r="BK10" s="70">
        <f t="shared" si="3"/>
        <v>2</v>
      </c>
      <c r="BL10" s="72">
        <v>1</v>
      </c>
      <c r="BM10" s="72">
        <v>1</v>
      </c>
      <c r="BN10" s="72">
        <v>1</v>
      </c>
      <c r="BO10" s="72">
        <v>1</v>
      </c>
      <c r="BP10" s="72">
        <v>1</v>
      </c>
      <c r="BQ10" s="72">
        <v>1</v>
      </c>
      <c r="BR10" s="72">
        <v>1</v>
      </c>
      <c r="BS10" s="72">
        <v>1</v>
      </c>
      <c r="BT10" s="70">
        <f t="shared" si="4"/>
        <v>7</v>
      </c>
      <c r="BU10" s="70">
        <f t="shared" si="5"/>
        <v>29</v>
      </c>
      <c r="BV10" s="73">
        <v>5</v>
      </c>
      <c r="BW10" s="73">
        <v>5</v>
      </c>
      <c r="BX10" s="73">
        <v>5</v>
      </c>
      <c r="BY10" s="73">
        <v>1</v>
      </c>
      <c r="BZ10" s="105">
        <v>5</v>
      </c>
      <c r="CA10" s="73">
        <v>3</v>
      </c>
      <c r="CB10" s="105">
        <v>5</v>
      </c>
      <c r="CC10" s="73">
        <v>5</v>
      </c>
      <c r="CD10" s="73">
        <v>2</v>
      </c>
      <c r="CE10" s="73">
        <v>3</v>
      </c>
      <c r="CF10" s="73">
        <v>3</v>
      </c>
      <c r="CG10" s="73">
        <v>5</v>
      </c>
      <c r="CH10" s="74">
        <v>5</v>
      </c>
      <c r="CI10" s="73">
        <v>5</v>
      </c>
      <c r="CJ10" s="73">
        <v>3</v>
      </c>
      <c r="CK10" s="75">
        <f t="shared" si="6"/>
        <v>60</v>
      </c>
      <c r="CL10" s="76">
        <v>5</v>
      </c>
      <c r="CM10" s="76">
        <v>1</v>
      </c>
      <c r="CN10" s="76">
        <v>5</v>
      </c>
      <c r="CO10" s="76">
        <v>5</v>
      </c>
      <c r="CP10" s="76">
        <v>5</v>
      </c>
      <c r="CQ10" s="106">
        <v>5</v>
      </c>
      <c r="CR10" s="76">
        <v>1</v>
      </c>
      <c r="CS10" s="76">
        <v>5</v>
      </c>
      <c r="CT10" s="76">
        <v>5</v>
      </c>
      <c r="CU10" s="76">
        <v>5</v>
      </c>
      <c r="CV10" s="76">
        <v>5</v>
      </c>
      <c r="CW10" s="76">
        <v>1</v>
      </c>
      <c r="CX10" s="76">
        <v>1</v>
      </c>
      <c r="CY10" s="76">
        <v>5</v>
      </c>
      <c r="CZ10" s="76">
        <v>5</v>
      </c>
      <c r="DA10" s="76">
        <v>5</v>
      </c>
      <c r="DB10" s="76">
        <v>5</v>
      </c>
      <c r="DC10" s="76">
        <v>4</v>
      </c>
      <c r="DD10" s="76">
        <v>5</v>
      </c>
      <c r="DE10" s="76">
        <v>5</v>
      </c>
      <c r="DF10" s="76">
        <v>5</v>
      </c>
      <c r="DG10" s="76">
        <v>5</v>
      </c>
      <c r="DH10" s="76">
        <v>5</v>
      </c>
      <c r="DI10" s="76">
        <v>5</v>
      </c>
      <c r="DJ10" s="76">
        <v>1</v>
      </c>
      <c r="DK10" s="76">
        <v>5</v>
      </c>
      <c r="DL10" s="76">
        <v>3</v>
      </c>
      <c r="DM10" s="76">
        <v>1</v>
      </c>
      <c r="DN10" s="76">
        <f t="shared" si="7"/>
        <v>113</v>
      </c>
      <c r="DO10" s="118">
        <v>30</v>
      </c>
      <c r="DP10" s="124">
        <v>0</v>
      </c>
      <c r="DQ10" s="124">
        <v>1</v>
      </c>
      <c r="DR10" s="124">
        <v>0</v>
      </c>
      <c r="DS10" s="124">
        <v>0</v>
      </c>
      <c r="DT10" s="124">
        <v>0</v>
      </c>
      <c r="DU10" s="124">
        <v>1</v>
      </c>
      <c r="DV10" s="124">
        <v>0</v>
      </c>
      <c r="DW10" s="124">
        <v>0</v>
      </c>
      <c r="DX10" s="124">
        <v>0</v>
      </c>
      <c r="DY10" s="124">
        <v>0</v>
      </c>
      <c r="DZ10" s="124">
        <v>0</v>
      </c>
      <c r="EA10" s="124">
        <v>0</v>
      </c>
      <c r="EB10" s="124">
        <v>0</v>
      </c>
      <c r="EC10" s="124">
        <v>0</v>
      </c>
      <c r="ED10" s="124">
        <v>1</v>
      </c>
      <c r="EE10" s="77">
        <f t="shared" si="31"/>
        <v>3</v>
      </c>
      <c r="EF10" s="77" t="s">
        <v>265</v>
      </c>
      <c r="EG10" s="78">
        <f t="shared" si="8"/>
        <v>3</v>
      </c>
      <c r="EH10" s="97">
        <v>0</v>
      </c>
      <c r="EI10" s="97">
        <v>0</v>
      </c>
      <c r="EJ10" s="97">
        <v>0</v>
      </c>
      <c r="EK10" s="97">
        <v>0</v>
      </c>
      <c r="EL10" s="97">
        <v>0</v>
      </c>
      <c r="EM10" s="97">
        <v>0</v>
      </c>
      <c r="EN10" s="97">
        <v>0.5</v>
      </c>
      <c r="EO10" s="97">
        <v>0</v>
      </c>
      <c r="EP10" s="97">
        <v>0</v>
      </c>
      <c r="EQ10" s="97">
        <v>0</v>
      </c>
      <c r="ER10" s="97">
        <v>0</v>
      </c>
      <c r="ES10" s="97">
        <v>0</v>
      </c>
      <c r="ET10" s="97">
        <v>0</v>
      </c>
      <c r="EU10" s="97">
        <v>0</v>
      </c>
      <c r="EV10" s="97">
        <v>0</v>
      </c>
      <c r="EW10" s="97">
        <v>1</v>
      </c>
      <c r="EX10" s="97">
        <v>0</v>
      </c>
      <c r="EY10" s="97">
        <v>0</v>
      </c>
      <c r="EZ10" s="97">
        <v>0</v>
      </c>
      <c r="FA10" s="97">
        <v>0</v>
      </c>
      <c r="FB10" s="97">
        <v>0</v>
      </c>
      <c r="FC10" s="97">
        <v>0</v>
      </c>
      <c r="FD10" s="79">
        <f t="shared" si="9"/>
        <v>1.5</v>
      </c>
      <c r="FE10" s="80">
        <v>1</v>
      </c>
      <c r="FF10" s="97">
        <v>1</v>
      </c>
      <c r="FG10" s="97">
        <v>1</v>
      </c>
      <c r="FH10" s="97">
        <v>1</v>
      </c>
      <c r="FI10" s="97">
        <v>1</v>
      </c>
      <c r="FJ10" s="97">
        <v>1</v>
      </c>
      <c r="FK10" s="97">
        <v>1</v>
      </c>
      <c r="FL10" s="97">
        <v>1</v>
      </c>
      <c r="FM10" s="97">
        <v>1</v>
      </c>
      <c r="FN10" s="81">
        <f t="shared" si="10"/>
        <v>8</v>
      </c>
      <c r="FO10" s="82">
        <v>1</v>
      </c>
      <c r="FP10" s="97">
        <v>10</v>
      </c>
      <c r="FQ10" s="97">
        <v>5</v>
      </c>
      <c r="FR10" s="97">
        <v>10</v>
      </c>
      <c r="FS10" s="97">
        <v>5</v>
      </c>
      <c r="FT10" s="97">
        <v>10</v>
      </c>
      <c r="FU10" s="97">
        <v>10</v>
      </c>
      <c r="FV10" s="97">
        <v>10</v>
      </c>
      <c r="FW10" s="97">
        <v>15</v>
      </c>
      <c r="FX10" s="97">
        <v>15</v>
      </c>
      <c r="FY10" s="97">
        <v>10</v>
      </c>
      <c r="FZ10" s="83">
        <f t="shared" si="11"/>
        <v>100</v>
      </c>
      <c r="GA10" s="84">
        <v>1</v>
      </c>
      <c r="GB10" s="55">
        <v>0</v>
      </c>
      <c r="GC10" s="85">
        <v>0.5</v>
      </c>
      <c r="GD10" s="85">
        <v>0</v>
      </c>
      <c r="GE10" s="85">
        <v>0</v>
      </c>
      <c r="GF10" s="85">
        <v>0</v>
      </c>
      <c r="GG10" s="85">
        <v>0</v>
      </c>
      <c r="GH10" s="85">
        <v>0</v>
      </c>
      <c r="GI10" s="97">
        <v>0</v>
      </c>
      <c r="GJ10" s="97">
        <v>0</v>
      </c>
      <c r="GK10" s="97">
        <v>0</v>
      </c>
      <c r="GL10" s="97">
        <v>0</v>
      </c>
      <c r="GM10" s="97">
        <v>0</v>
      </c>
      <c r="GN10" s="97">
        <v>0</v>
      </c>
      <c r="GO10" s="97">
        <v>0</v>
      </c>
      <c r="GP10" s="97">
        <v>0</v>
      </c>
      <c r="GQ10" s="97">
        <v>1</v>
      </c>
      <c r="GR10" s="97">
        <v>0</v>
      </c>
      <c r="GS10" s="97">
        <v>1</v>
      </c>
      <c r="GT10" s="97">
        <v>0</v>
      </c>
      <c r="GU10" s="86">
        <f t="shared" si="12"/>
        <v>2</v>
      </c>
      <c r="GV10" s="87" t="s">
        <v>266</v>
      </c>
      <c r="GW10" s="87">
        <v>0</v>
      </c>
      <c r="GX10" s="88" t="s">
        <v>267</v>
      </c>
      <c r="GY10" s="55">
        <v>5</v>
      </c>
      <c r="GZ10" s="55">
        <v>5</v>
      </c>
      <c r="HA10" s="55">
        <v>3</v>
      </c>
      <c r="HB10" s="55">
        <v>1</v>
      </c>
      <c r="HC10" s="55">
        <v>3</v>
      </c>
      <c r="HD10" s="55">
        <v>4</v>
      </c>
      <c r="HE10" s="55"/>
      <c r="HF10" s="55"/>
      <c r="HG10" s="55">
        <v>3</v>
      </c>
      <c r="HH10" s="55">
        <v>7</v>
      </c>
      <c r="HI10" s="55">
        <v>7</v>
      </c>
      <c r="HJ10" s="55"/>
      <c r="HK10" s="55">
        <v>3</v>
      </c>
      <c r="HL10" s="55">
        <v>7</v>
      </c>
      <c r="HM10" s="55">
        <v>7</v>
      </c>
      <c r="HN10" s="55">
        <v>1</v>
      </c>
      <c r="HO10" s="55">
        <v>3</v>
      </c>
      <c r="HP10" s="55">
        <v>1</v>
      </c>
      <c r="HQ10" s="55">
        <v>2</v>
      </c>
      <c r="HR10" s="55">
        <v>1</v>
      </c>
      <c r="HS10" s="55">
        <v>1</v>
      </c>
      <c r="HT10" s="55">
        <v>2</v>
      </c>
      <c r="HU10" s="55">
        <v>4</v>
      </c>
      <c r="HV10" s="55">
        <v>1</v>
      </c>
      <c r="HW10" s="55">
        <v>1</v>
      </c>
      <c r="HX10" s="55">
        <v>2</v>
      </c>
      <c r="HY10" s="55">
        <v>5</v>
      </c>
      <c r="HZ10" s="55">
        <v>4</v>
      </c>
      <c r="IA10" s="55">
        <v>4</v>
      </c>
      <c r="IB10" s="55">
        <v>7</v>
      </c>
      <c r="IC10" s="55"/>
      <c r="ID10" s="55">
        <f t="shared" ref="ID10:IG10" si="50">SUM(GY10)</f>
        <v>5</v>
      </c>
      <c r="IE10" s="55">
        <f t="shared" si="50"/>
        <v>5</v>
      </c>
      <c r="IF10" s="55">
        <f t="shared" si="50"/>
        <v>3</v>
      </c>
      <c r="IG10" s="55">
        <f t="shared" si="50"/>
        <v>1</v>
      </c>
      <c r="IH10" s="55">
        <f t="shared" si="14"/>
        <v>7</v>
      </c>
      <c r="II10" s="55">
        <f t="shared" si="15"/>
        <v>3</v>
      </c>
      <c r="IJ10" s="55">
        <f t="shared" si="16"/>
        <v>14</v>
      </c>
      <c r="IK10" s="55">
        <f t="shared" ref="IK10:IQ10" si="51">SUM(HK10)</f>
        <v>3</v>
      </c>
      <c r="IL10" s="55">
        <f t="shared" si="51"/>
        <v>7</v>
      </c>
      <c r="IM10" s="55">
        <f t="shared" si="51"/>
        <v>7</v>
      </c>
      <c r="IN10" s="55">
        <f t="shared" si="51"/>
        <v>1</v>
      </c>
      <c r="IO10" s="55">
        <f t="shared" si="51"/>
        <v>3</v>
      </c>
      <c r="IP10" s="55">
        <f t="shared" si="51"/>
        <v>1</v>
      </c>
      <c r="IQ10" s="55">
        <f t="shared" si="51"/>
        <v>2</v>
      </c>
      <c r="IR10" s="55">
        <f t="shared" si="18"/>
        <v>2</v>
      </c>
      <c r="IS10" s="55">
        <f t="shared" ref="IS10:JB10" si="52">SUM(HT10)</f>
        <v>2</v>
      </c>
      <c r="IT10" s="55">
        <f t="shared" si="52"/>
        <v>4</v>
      </c>
      <c r="IU10" s="55">
        <f t="shared" si="52"/>
        <v>1</v>
      </c>
      <c r="IV10" s="55">
        <f t="shared" si="52"/>
        <v>1</v>
      </c>
      <c r="IW10" s="55">
        <f t="shared" si="52"/>
        <v>2</v>
      </c>
      <c r="IX10" s="55">
        <f t="shared" si="52"/>
        <v>5</v>
      </c>
      <c r="IY10" s="55">
        <f t="shared" si="52"/>
        <v>4</v>
      </c>
      <c r="IZ10" s="55">
        <f t="shared" si="52"/>
        <v>4</v>
      </c>
      <c r="JA10" s="55">
        <f t="shared" si="52"/>
        <v>7</v>
      </c>
      <c r="JB10" s="55">
        <f t="shared" si="52"/>
        <v>0</v>
      </c>
      <c r="JC10" s="89">
        <f t="shared" si="20"/>
        <v>93</v>
      </c>
      <c r="JD10" s="90">
        <v>1</v>
      </c>
      <c r="JE10" s="90">
        <v>1</v>
      </c>
      <c r="JF10" s="91">
        <v>46</v>
      </c>
      <c r="JG10" s="91">
        <v>2</v>
      </c>
      <c r="JH10" s="97">
        <v>2</v>
      </c>
      <c r="JI10" s="97">
        <v>2</v>
      </c>
      <c r="JJ10" s="97">
        <v>2</v>
      </c>
      <c r="JK10" s="97">
        <v>1</v>
      </c>
      <c r="JL10" s="97">
        <v>0</v>
      </c>
      <c r="JM10" s="97">
        <v>0</v>
      </c>
      <c r="JN10" s="97">
        <v>0</v>
      </c>
      <c r="JO10" s="97">
        <v>0</v>
      </c>
      <c r="JP10" s="89">
        <f t="shared" si="21"/>
        <v>7</v>
      </c>
      <c r="JQ10" s="97">
        <v>2</v>
      </c>
      <c r="JR10" s="97">
        <v>1</v>
      </c>
      <c r="JS10" s="97">
        <v>2</v>
      </c>
      <c r="JT10" s="97">
        <v>0</v>
      </c>
      <c r="JU10" s="97">
        <v>0</v>
      </c>
      <c r="JV10" s="97">
        <v>0</v>
      </c>
      <c r="JW10" s="97">
        <v>0</v>
      </c>
      <c r="JX10" s="92">
        <f t="shared" si="22"/>
        <v>5</v>
      </c>
      <c r="JY10" s="93">
        <f t="shared" si="23"/>
        <v>12</v>
      </c>
      <c r="JZ10" s="97">
        <v>3</v>
      </c>
      <c r="KA10" s="97">
        <v>2</v>
      </c>
      <c r="KB10" s="97">
        <v>1</v>
      </c>
      <c r="KC10" s="97">
        <v>0</v>
      </c>
      <c r="KD10" s="97">
        <v>0</v>
      </c>
      <c r="KE10" s="97">
        <v>0</v>
      </c>
      <c r="KF10" s="97">
        <v>0</v>
      </c>
      <c r="KG10" s="94">
        <f t="shared" si="24"/>
        <v>6</v>
      </c>
      <c r="KH10" s="95" t="s">
        <v>319</v>
      </c>
      <c r="KI10" s="97">
        <v>0</v>
      </c>
      <c r="KJ10" s="97">
        <v>2</v>
      </c>
      <c r="KK10" s="97">
        <v>0</v>
      </c>
      <c r="KL10" s="95" t="s">
        <v>319</v>
      </c>
      <c r="KM10" s="97">
        <v>0</v>
      </c>
      <c r="KN10" s="97">
        <v>2</v>
      </c>
      <c r="KO10" s="97">
        <v>0</v>
      </c>
      <c r="KP10" s="95" t="s">
        <v>320</v>
      </c>
      <c r="KQ10" s="97">
        <v>0</v>
      </c>
      <c r="KR10" s="97">
        <v>2</v>
      </c>
      <c r="KS10" s="97">
        <v>0</v>
      </c>
      <c r="KT10" s="95" t="s">
        <v>315</v>
      </c>
      <c r="KU10" s="97">
        <v>0</v>
      </c>
      <c r="KV10" s="97">
        <v>2</v>
      </c>
      <c r="KW10" s="97">
        <v>0</v>
      </c>
      <c r="KX10" s="95" t="s">
        <v>321</v>
      </c>
      <c r="KY10" s="97">
        <v>0</v>
      </c>
      <c r="KZ10" s="97">
        <v>2</v>
      </c>
      <c r="LA10" s="97">
        <v>0</v>
      </c>
      <c r="LB10" s="95" t="s">
        <v>315</v>
      </c>
      <c r="LC10" s="97">
        <v>0</v>
      </c>
      <c r="LD10" s="97">
        <v>2</v>
      </c>
      <c r="LE10" s="97">
        <v>1</v>
      </c>
      <c r="LF10" s="95" t="s">
        <v>322</v>
      </c>
      <c r="LG10" s="97">
        <v>0</v>
      </c>
      <c r="LH10" s="97">
        <v>2</v>
      </c>
      <c r="LI10" s="97">
        <v>1</v>
      </c>
      <c r="LJ10" s="95" t="s">
        <v>322</v>
      </c>
      <c r="LK10" s="97">
        <v>0</v>
      </c>
      <c r="LL10" s="97">
        <v>2</v>
      </c>
      <c r="LM10" s="97">
        <v>3</v>
      </c>
      <c r="LN10" s="96">
        <f t="shared" si="25"/>
        <v>21</v>
      </c>
      <c r="LO10" s="97">
        <f t="shared" si="26"/>
        <v>5</v>
      </c>
      <c r="LP10" s="97">
        <f t="shared" si="27"/>
        <v>39</v>
      </c>
    </row>
    <row r="11" spans="1:328" s="98" customFormat="1" ht="13.8">
      <c r="A11" s="55" t="s">
        <v>629</v>
      </c>
      <c r="B11" s="110">
        <v>45967</v>
      </c>
      <c r="C11" s="61">
        <v>36</v>
      </c>
      <c r="D11" s="62"/>
      <c r="E11" s="62" t="s">
        <v>764</v>
      </c>
      <c r="F11" s="61">
        <v>1</v>
      </c>
      <c r="G11" s="61">
        <v>1</v>
      </c>
      <c r="H11" s="61">
        <v>1</v>
      </c>
      <c r="I11" s="164">
        <v>4</v>
      </c>
      <c r="J11" s="164">
        <v>2</v>
      </c>
      <c r="K11" s="63">
        <v>0.25763888888888886</v>
      </c>
      <c r="L11" s="63">
        <v>6.1111111111111109E-2</v>
      </c>
      <c r="M11" s="63">
        <v>2.5694444444444443E-2</v>
      </c>
      <c r="N11" s="64" t="s">
        <v>1040</v>
      </c>
      <c r="O11" s="101" t="s">
        <v>985</v>
      </c>
      <c r="P11" s="95" t="s">
        <v>680</v>
      </c>
      <c r="Q11" s="95">
        <v>1</v>
      </c>
      <c r="R11" s="125">
        <v>17814</v>
      </c>
      <c r="S11" s="95">
        <v>77</v>
      </c>
      <c r="T11" s="95" t="s">
        <v>259</v>
      </c>
      <c r="U11" s="95" t="s">
        <v>287</v>
      </c>
      <c r="V11" s="95">
        <v>0</v>
      </c>
      <c r="W11" s="95" t="s">
        <v>624</v>
      </c>
      <c r="X11" s="95" t="s">
        <v>596</v>
      </c>
      <c r="Y11" s="95" t="s">
        <v>288</v>
      </c>
      <c r="Z11" s="95" t="s">
        <v>262</v>
      </c>
      <c r="AA11" s="95" t="s">
        <v>323</v>
      </c>
      <c r="AB11" s="95" t="s">
        <v>264</v>
      </c>
      <c r="AC11" s="95" t="s">
        <v>597</v>
      </c>
      <c r="AD11" s="95" t="s">
        <v>597</v>
      </c>
      <c r="AE11" s="95" t="s">
        <v>602</v>
      </c>
      <c r="AF11" s="95" t="s">
        <v>597</v>
      </c>
      <c r="AG11" s="95" t="s">
        <v>602</v>
      </c>
      <c r="AH11" s="95" t="s">
        <v>599</v>
      </c>
      <c r="AI11" s="95" t="s">
        <v>597</v>
      </c>
      <c r="AJ11" s="125">
        <v>45145</v>
      </c>
      <c r="AK11" s="97"/>
      <c r="AL11" s="115">
        <v>1</v>
      </c>
      <c r="AM11" s="115">
        <v>1</v>
      </c>
      <c r="AN11" s="115">
        <v>1</v>
      </c>
      <c r="AO11" s="115">
        <v>1</v>
      </c>
      <c r="AP11" s="115">
        <v>0</v>
      </c>
      <c r="AQ11" s="115">
        <v>0</v>
      </c>
      <c r="AR11" s="115">
        <v>0</v>
      </c>
      <c r="AS11" s="115">
        <v>0</v>
      </c>
      <c r="AT11" s="70">
        <f t="shared" si="0"/>
        <v>4</v>
      </c>
      <c r="AU11" s="115">
        <v>0</v>
      </c>
      <c r="AV11" s="115">
        <v>0</v>
      </c>
      <c r="AW11" s="115">
        <v>0</v>
      </c>
      <c r="AX11" s="115">
        <v>0</v>
      </c>
      <c r="AY11" s="70">
        <f t="shared" si="1"/>
        <v>0</v>
      </c>
      <c r="AZ11" s="115">
        <v>0</v>
      </c>
      <c r="BA11" s="115">
        <v>0</v>
      </c>
      <c r="BB11" s="115">
        <v>0</v>
      </c>
      <c r="BC11" s="115">
        <v>0</v>
      </c>
      <c r="BD11" s="115">
        <v>0</v>
      </c>
      <c r="BE11" s="115">
        <v>0</v>
      </c>
      <c r="BF11" s="115">
        <v>0</v>
      </c>
      <c r="BG11" s="115">
        <v>0</v>
      </c>
      <c r="BH11" s="70">
        <f t="shared" si="2"/>
        <v>0</v>
      </c>
      <c r="BI11" s="69">
        <v>0</v>
      </c>
      <c r="BJ11" s="69">
        <v>0</v>
      </c>
      <c r="BK11" s="70">
        <f t="shared" si="3"/>
        <v>0</v>
      </c>
      <c r="BL11" s="92">
        <v>1</v>
      </c>
      <c r="BM11" s="72">
        <v>0</v>
      </c>
      <c r="BN11" s="72">
        <v>0</v>
      </c>
      <c r="BO11" s="72">
        <v>0</v>
      </c>
      <c r="BP11" s="92">
        <v>1</v>
      </c>
      <c r="BQ11" s="72">
        <v>0</v>
      </c>
      <c r="BR11" s="72">
        <v>0</v>
      </c>
      <c r="BS11" s="72">
        <v>0</v>
      </c>
      <c r="BT11" s="70">
        <f t="shared" si="4"/>
        <v>1</v>
      </c>
      <c r="BU11" s="70">
        <f t="shared" si="5"/>
        <v>5</v>
      </c>
      <c r="BV11" s="126">
        <v>1</v>
      </c>
      <c r="BW11" s="126">
        <v>2</v>
      </c>
      <c r="BX11" s="126">
        <v>2</v>
      </c>
      <c r="BY11" s="126">
        <v>1</v>
      </c>
      <c r="BZ11" s="74">
        <v>1</v>
      </c>
      <c r="CA11" s="126">
        <v>5</v>
      </c>
      <c r="CB11" s="74">
        <v>2</v>
      </c>
      <c r="CC11" s="126">
        <v>2</v>
      </c>
      <c r="CD11" s="126">
        <v>1</v>
      </c>
      <c r="CE11" s="126">
        <v>1</v>
      </c>
      <c r="CF11" s="126">
        <v>5</v>
      </c>
      <c r="CG11" s="126">
        <v>5</v>
      </c>
      <c r="CH11" s="74">
        <v>5</v>
      </c>
      <c r="CI11" s="126">
        <v>5</v>
      </c>
      <c r="CJ11" s="126">
        <v>2</v>
      </c>
      <c r="CK11" s="127">
        <f t="shared" si="6"/>
        <v>40</v>
      </c>
      <c r="CL11" s="118">
        <v>1</v>
      </c>
      <c r="CM11" s="118">
        <v>5</v>
      </c>
      <c r="CN11" s="118">
        <v>5</v>
      </c>
      <c r="CO11" s="118">
        <v>5</v>
      </c>
      <c r="CP11" s="118">
        <v>1</v>
      </c>
      <c r="CQ11" s="123">
        <v>5</v>
      </c>
      <c r="CR11" s="118">
        <v>1</v>
      </c>
      <c r="CS11" s="118">
        <v>3</v>
      </c>
      <c r="CT11" s="118">
        <v>3</v>
      </c>
      <c r="CU11" s="118">
        <v>1</v>
      </c>
      <c r="CV11" s="118">
        <v>5</v>
      </c>
      <c r="CW11" s="118">
        <v>1</v>
      </c>
      <c r="CX11" s="118">
        <v>1</v>
      </c>
      <c r="CY11" s="118">
        <v>4</v>
      </c>
      <c r="CZ11" s="118">
        <v>5</v>
      </c>
      <c r="DA11" s="118">
        <v>1</v>
      </c>
      <c r="DB11" s="118">
        <v>5</v>
      </c>
      <c r="DC11" s="118">
        <v>5</v>
      </c>
      <c r="DD11" s="118">
        <v>2</v>
      </c>
      <c r="DE11" s="118">
        <v>4</v>
      </c>
      <c r="DF11" s="118">
        <v>5</v>
      </c>
      <c r="DG11" s="118">
        <v>5</v>
      </c>
      <c r="DH11" s="118">
        <v>3</v>
      </c>
      <c r="DI11" s="118">
        <v>5</v>
      </c>
      <c r="DJ11" s="118">
        <v>2</v>
      </c>
      <c r="DK11" s="118">
        <v>2</v>
      </c>
      <c r="DL11" s="118">
        <v>3</v>
      </c>
      <c r="DM11" s="118">
        <v>1</v>
      </c>
      <c r="DN11" s="118">
        <f t="shared" si="7"/>
        <v>89</v>
      </c>
      <c r="DO11" s="118">
        <v>24</v>
      </c>
      <c r="DP11" s="97">
        <v>0</v>
      </c>
      <c r="DQ11" s="97">
        <v>0</v>
      </c>
      <c r="DR11" s="97">
        <v>1</v>
      </c>
      <c r="DS11" s="97">
        <v>0</v>
      </c>
      <c r="DT11" s="97">
        <v>0</v>
      </c>
      <c r="DU11" s="97">
        <v>0</v>
      </c>
      <c r="DV11" s="97">
        <v>0</v>
      </c>
      <c r="DW11" s="97">
        <v>0</v>
      </c>
      <c r="DX11" s="97">
        <v>0</v>
      </c>
      <c r="DY11" s="97">
        <v>1</v>
      </c>
      <c r="DZ11" s="97">
        <v>0</v>
      </c>
      <c r="EA11" s="97">
        <v>0</v>
      </c>
      <c r="EB11" s="97">
        <v>0</v>
      </c>
      <c r="EC11" s="97">
        <v>0</v>
      </c>
      <c r="ED11" s="97">
        <v>0</v>
      </c>
      <c r="EE11" s="77">
        <f t="shared" si="31"/>
        <v>2</v>
      </c>
      <c r="EF11" s="77" t="s">
        <v>265</v>
      </c>
      <c r="EG11" s="78">
        <f t="shared" si="8"/>
        <v>2</v>
      </c>
      <c r="EH11" s="97">
        <v>0</v>
      </c>
      <c r="EI11" s="97">
        <v>0</v>
      </c>
      <c r="EJ11" s="97">
        <v>0</v>
      </c>
      <c r="EK11" s="97">
        <v>0</v>
      </c>
      <c r="EL11" s="97">
        <v>0</v>
      </c>
      <c r="EM11" s="97">
        <v>0</v>
      </c>
      <c r="EN11" s="97">
        <v>0</v>
      </c>
      <c r="EO11" s="97">
        <v>0.5</v>
      </c>
      <c r="EP11" s="97">
        <v>1</v>
      </c>
      <c r="EQ11" s="97">
        <v>0</v>
      </c>
      <c r="ER11" s="97">
        <v>0</v>
      </c>
      <c r="ES11" s="97">
        <v>0</v>
      </c>
      <c r="ET11" s="97">
        <v>0</v>
      </c>
      <c r="EU11" s="97">
        <v>1</v>
      </c>
      <c r="EV11" s="97">
        <v>1</v>
      </c>
      <c r="EW11" s="97">
        <v>1</v>
      </c>
      <c r="EX11" s="97">
        <v>0</v>
      </c>
      <c r="EY11" s="97">
        <v>1</v>
      </c>
      <c r="EZ11" s="97">
        <v>0</v>
      </c>
      <c r="FA11" s="97">
        <v>0</v>
      </c>
      <c r="FB11" s="97">
        <v>1</v>
      </c>
      <c r="FC11" s="97">
        <v>1</v>
      </c>
      <c r="FD11" s="79">
        <f t="shared" si="9"/>
        <v>7.5</v>
      </c>
      <c r="FE11" s="79">
        <v>2</v>
      </c>
      <c r="FF11" s="97">
        <v>1</v>
      </c>
      <c r="FG11" s="97">
        <v>1</v>
      </c>
      <c r="FH11" s="97">
        <v>1</v>
      </c>
      <c r="FI11" s="97">
        <v>1</v>
      </c>
      <c r="FJ11" s="97">
        <v>1</v>
      </c>
      <c r="FK11" s="97">
        <v>1</v>
      </c>
      <c r="FL11" s="97">
        <v>0</v>
      </c>
      <c r="FM11" s="97">
        <v>1</v>
      </c>
      <c r="FN11" s="81">
        <f t="shared" si="10"/>
        <v>7</v>
      </c>
      <c r="FO11" s="82">
        <v>2</v>
      </c>
      <c r="FP11" s="97">
        <v>10</v>
      </c>
      <c r="FQ11" s="97">
        <v>5</v>
      </c>
      <c r="FR11" s="97">
        <v>10</v>
      </c>
      <c r="FS11" s="97">
        <v>5</v>
      </c>
      <c r="FT11" s="97">
        <v>10</v>
      </c>
      <c r="FU11" s="97">
        <v>10</v>
      </c>
      <c r="FV11" s="97">
        <v>10</v>
      </c>
      <c r="FW11" s="97">
        <v>15</v>
      </c>
      <c r="FX11" s="97">
        <v>15</v>
      </c>
      <c r="FY11" s="97">
        <v>10</v>
      </c>
      <c r="FZ11" s="83">
        <f t="shared" si="11"/>
        <v>100</v>
      </c>
      <c r="GA11" s="84">
        <v>1</v>
      </c>
      <c r="GB11" s="55">
        <v>2</v>
      </c>
      <c r="GC11" s="85">
        <v>2</v>
      </c>
      <c r="GD11" s="85">
        <v>1</v>
      </c>
      <c r="GE11" s="85">
        <v>1</v>
      </c>
      <c r="GF11" s="85">
        <v>0</v>
      </c>
      <c r="GG11" s="85">
        <v>0</v>
      </c>
      <c r="GH11" s="85">
        <v>1</v>
      </c>
      <c r="GI11" s="97">
        <v>0</v>
      </c>
      <c r="GJ11" s="97">
        <v>0</v>
      </c>
      <c r="GK11" s="97">
        <v>1</v>
      </c>
      <c r="GL11" s="97">
        <v>2</v>
      </c>
      <c r="GM11" s="97">
        <v>1</v>
      </c>
      <c r="GN11" s="97">
        <v>1</v>
      </c>
      <c r="GO11" s="97">
        <v>1</v>
      </c>
      <c r="GP11" s="97">
        <v>1</v>
      </c>
      <c r="GQ11" s="97">
        <v>1</v>
      </c>
      <c r="GR11" s="97">
        <v>0</v>
      </c>
      <c r="GS11" s="97">
        <v>1</v>
      </c>
      <c r="GT11" s="97">
        <v>0</v>
      </c>
      <c r="GU11" s="86">
        <f t="shared" si="12"/>
        <v>9</v>
      </c>
      <c r="GV11" s="128" t="s">
        <v>324</v>
      </c>
      <c r="GW11" s="87">
        <v>0</v>
      </c>
      <c r="GX11" s="129" t="s">
        <v>265</v>
      </c>
      <c r="GY11" s="97">
        <v>4</v>
      </c>
      <c r="GZ11" s="97">
        <v>4</v>
      </c>
      <c r="HA11" s="97">
        <v>2</v>
      </c>
      <c r="HB11" s="97">
        <v>2</v>
      </c>
      <c r="HC11" s="97">
        <v>1</v>
      </c>
      <c r="HD11" s="97">
        <v>4</v>
      </c>
      <c r="HE11" s="97"/>
      <c r="HF11" s="97"/>
      <c r="HG11" s="97">
        <v>2</v>
      </c>
      <c r="HH11" s="97">
        <v>7</v>
      </c>
      <c r="HI11" s="97">
        <v>7</v>
      </c>
      <c r="HJ11" s="97"/>
      <c r="HK11" s="97">
        <v>4</v>
      </c>
      <c r="HL11" s="97">
        <v>5</v>
      </c>
      <c r="HM11" s="97">
        <v>2</v>
      </c>
      <c r="HN11" s="97">
        <v>1</v>
      </c>
      <c r="HO11" s="97">
        <v>3</v>
      </c>
      <c r="HP11" s="97">
        <v>1</v>
      </c>
      <c r="HQ11" s="97">
        <v>2</v>
      </c>
      <c r="HR11" s="97">
        <v>1</v>
      </c>
      <c r="HS11" s="97">
        <v>1</v>
      </c>
      <c r="HT11" s="97">
        <v>2</v>
      </c>
      <c r="HU11" s="97">
        <v>4</v>
      </c>
      <c r="HV11" s="97">
        <v>1</v>
      </c>
      <c r="HW11" s="97">
        <v>0</v>
      </c>
      <c r="HX11" s="97">
        <v>0</v>
      </c>
      <c r="HY11" s="97">
        <v>4</v>
      </c>
      <c r="HZ11" s="97">
        <v>4</v>
      </c>
      <c r="IA11" s="97">
        <v>4</v>
      </c>
      <c r="IB11" s="97">
        <v>7</v>
      </c>
      <c r="IC11" s="55"/>
      <c r="ID11" s="55">
        <f t="shared" ref="ID11:IG11" si="53">SUM(GY11)</f>
        <v>4</v>
      </c>
      <c r="IE11" s="55">
        <f t="shared" si="53"/>
        <v>4</v>
      </c>
      <c r="IF11" s="55">
        <f t="shared" si="53"/>
        <v>2</v>
      </c>
      <c r="IG11" s="55">
        <f t="shared" si="53"/>
        <v>2</v>
      </c>
      <c r="IH11" s="55">
        <f t="shared" si="14"/>
        <v>5</v>
      </c>
      <c r="II11" s="55">
        <f t="shared" si="15"/>
        <v>2</v>
      </c>
      <c r="IJ11" s="55">
        <f t="shared" si="16"/>
        <v>14</v>
      </c>
      <c r="IK11" s="55">
        <f t="shared" ref="IK11:IQ11" si="54">SUM(HK11)</f>
        <v>4</v>
      </c>
      <c r="IL11" s="55">
        <f t="shared" si="54"/>
        <v>5</v>
      </c>
      <c r="IM11" s="55">
        <f t="shared" si="54"/>
        <v>2</v>
      </c>
      <c r="IN11" s="55">
        <f t="shared" si="54"/>
        <v>1</v>
      </c>
      <c r="IO11" s="55">
        <f t="shared" si="54"/>
        <v>3</v>
      </c>
      <c r="IP11" s="55">
        <f t="shared" si="54"/>
        <v>1</v>
      </c>
      <c r="IQ11" s="55">
        <f t="shared" si="54"/>
        <v>2</v>
      </c>
      <c r="IR11" s="55">
        <f t="shared" si="18"/>
        <v>2</v>
      </c>
      <c r="IS11" s="55">
        <f t="shared" ref="IS11:JB11" si="55">SUM(HT11)</f>
        <v>2</v>
      </c>
      <c r="IT11" s="55">
        <f t="shared" si="55"/>
        <v>4</v>
      </c>
      <c r="IU11" s="55">
        <f t="shared" si="55"/>
        <v>1</v>
      </c>
      <c r="IV11" s="55">
        <f t="shared" si="55"/>
        <v>0</v>
      </c>
      <c r="IW11" s="55">
        <f t="shared" si="55"/>
        <v>0</v>
      </c>
      <c r="IX11" s="55">
        <f t="shared" si="55"/>
        <v>4</v>
      </c>
      <c r="IY11" s="55">
        <f t="shared" si="55"/>
        <v>4</v>
      </c>
      <c r="IZ11" s="55">
        <f t="shared" si="55"/>
        <v>4</v>
      </c>
      <c r="JA11" s="55">
        <f t="shared" si="55"/>
        <v>7</v>
      </c>
      <c r="JB11" s="55">
        <f t="shared" si="55"/>
        <v>0</v>
      </c>
      <c r="JC11" s="89">
        <f t="shared" si="20"/>
        <v>77</v>
      </c>
      <c r="JD11" s="90">
        <v>1</v>
      </c>
      <c r="JE11" s="90">
        <v>1</v>
      </c>
      <c r="JF11" s="91">
        <v>2</v>
      </c>
      <c r="JG11" s="121">
        <v>2</v>
      </c>
      <c r="JH11" s="97">
        <v>2</v>
      </c>
      <c r="JI11" s="97">
        <v>2</v>
      </c>
      <c r="JJ11" s="97">
        <v>1</v>
      </c>
      <c r="JK11" s="97">
        <v>0</v>
      </c>
      <c r="JL11" s="97">
        <v>0</v>
      </c>
      <c r="JM11" s="97">
        <v>0</v>
      </c>
      <c r="JN11" s="97">
        <v>0</v>
      </c>
      <c r="JO11" s="97">
        <v>0</v>
      </c>
      <c r="JP11" s="89">
        <f t="shared" si="21"/>
        <v>5</v>
      </c>
      <c r="JQ11" s="97">
        <v>2</v>
      </c>
      <c r="JR11" s="97">
        <v>2</v>
      </c>
      <c r="JS11" s="97">
        <v>0</v>
      </c>
      <c r="JT11" s="97">
        <v>0</v>
      </c>
      <c r="JU11" s="97">
        <v>0</v>
      </c>
      <c r="JV11" s="97">
        <v>0</v>
      </c>
      <c r="JW11" s="97">
        <v>0</v>
      </c>
      <c r="JX11" s="92">
        <f t="shared" si="22"/>
        <v>4</v>
      </c>
      <c r="JY11" s="93">
        <f t="shared" si="23"/>
        <v>9</v>
      </c>
      <c r="JZ11" s="97">
        <v>3</v>
      </c>
      <c r="KA11" s="97">
        <v>1</v>
      </c>
      <c r="KB11" s="97">
        <v>0</v>
      </c>
      <c r="KC11" s="97">
        <v>0</v>
      </c>
      <c r="KD11" s="97">
        <v>0</v>
      </c>
      <c r="KE11" s="97">
        <v>0</v>
      </c>
      <c r="KF11" s="97">
        <v>0</v>
      </c>
      <c r="KG11" s="94">
        <f t="shared" si="24"/>
        <v>4</v>
      </c>
      <c r="KH11" s="95" t="s">
        <v>325</v>
      </c>
      <c r="KI11" s="97">
        <v>0</v>
      </c>
      <c r="KJ11" s="97">
        <v>2</v>
      </c>
      <c r="KK11" s="97">
        <v>0</v>
      </c>
      <c r="KL11" s="95" t="s">
        <v>326</v>
      </c>
      <c r="KM11" s="97">
        <v>0</v>
      </c>
      <c r="KN11" s="97">
        <v>2</v>
      </c>
      <c r="KO11" s="97">
        <v>0</v>
      </c>
      <c r="KP11" s="95" t="s">
        <v>327</v>
      </c>
      <c r="KQ11" s="97">
        <v>0</v>
      </c>
      <c r="KR11" s="97">
        <v>2</v>
      </c>
      <c r="KS11" s="97">
        <v>0</v>
      </c>
      <c r="KT11" s="95" t="s">
        <v>327</v>
      </c>
      <c r="KU11" s="97">
        <v>0</v>
      </c>
      <c r="KV11" s="97">
        <v>2</v>
      </c>
      <c r="KW11" s="97">
        <v>0</v>
      </c>
      <c r="KX11" s="95" t="s">
        <v>326</v>
      </c>
      <c r="KY11" s="97">
        <v>0</v>
      </c>
      <c r="KZ11" s="97">
        <v>2</v>
      </c>
      <c r="LA11" s="97">
        <v>0</v>
      </c>
      <c r="LB11" s="95" t="s">
        <v>327</v>
      </c>
      <c r="LC11" s="97">
        <v>0</v>
      </c>
      <c r="LD11" s="97">
        <v>2</v>
      </c>
      <c r="LE11" s="97">
        <v>0</v>
      </c>
      <c r="LF11" s="95" t="s">
        <v>328</v>
      </c>
      <c r="LG11" s="97">
        <v>0</v>
      </c>
      <c r="LH11" s="97">
        <v>2</v>
      </c>
      <c r="LI11" s="97">
        <v>0</v>
      </c>
      <c r="LJ11" s="95" t="s">
        <v>329</v>
      </c>
      <c r="LK11" s="97">
        <v>0</v>
      </c>
      <c r="LL11" s="97">
        <v>2</v>
      </c>
      <c r="LM11" s="97">
        <v>0</v>
      </c>
      <c r="LN11" s="96">
        <f t="shared" si="25"/>
        <v>16</v>
      </c>
      <c r="LO11" s="97">
        <f t="shared" si="26"/>
        <v>0</v>
      </c>
      <c r="LP11" s="97">
        <f t="shared" si="27"/>
        <v>29</v>
      </c>
    </row>
    <row r="12" spans="1:328" s="98" customFormat="1" ht="13.2">
      <c r="A12" s="55" t="s">
        <v>613</v>
      </c>
      <c r="B12" s="40"/>
      <c r="C12" s="40"/>
      <c r="D12" s="49"/>
      <c r="E12" s="49"/>
      <c r="F12" s="40"/>
      <c r="G12" s="40"/>
      <c r="H12" s="40"/>
      <c r="I12" s="40"/>
      <c r="J12" s="40"/>
      <c r="K12" s="40"/>
      <c r="L12" s="40"/>
      <c r="M12" s="40"/>
      <c r="N12" s="64" t="s">
        <v>1041</v>
      </c>
      <c r="O12" s="101" t="s">
        <v>986</v>
      </c>
      <c r="P12" s="111" t="s">
        <v>775</v>
      </c>
      <c r="Q12" s="95">
        <v>1</v>
      </c>
      <c r="R12" s="112">
        <v>17879</v>
      </c>
      <c r="S12" s="111">
        <v>76</v>
      </c>
      <c r="T12" s="111" t="s">
        <v>310</v>
      </c>
      <c r="U12" s="111" t="s">
        <v>298</v>
      </c>
      <c r="V12" s="111">
        <v>968685574</v>
      </c>
      <c r="W12" s="111" t="s">
        <v>595</v>
      </c>
      <c r="X12" s="111" t="s">
        <v>596</v>
      </c>
      <c r="Y12" s="111" t="s">
        <v>288</v>
      </c>
      <c r="Z12" s="111" t="s">
        <v>262</v>
      </c>
      <c r="AA12" s="111" t="s">
        <v>776</v>
      </c>
      <c r="AB12" s="111" t="s">
        <v>300</v>
      </c>
      <c r="AC12" s="111" t="s">
        <v>597</v>
      </c>
      <c r="AD12" s="111" t="s">
        <v>597</v>
      </c>
      <c r="AE12" s="111" t="s">
        <v>777</v>
      </c>
      <c r="AF12" s="111" t="s">
        <v>599</v>
      </c>
      <c r="AG12" s="111" t="s">
        <v>612</v>
      </c>
      <c r="AH12" s="111" t="s">
        <v>599</v>
      </c>
      <c r="AI12" s="111" t="s">
        <v>599</v>
      </c>
      <c r="AJ12" s="112">
        <v>45267</v>
      </c>
      <c r="AK12" s="55"/>
      <c r="AL12" s="115">
        <v>1</v>
      </c>
      <c r="AM12" s="115">
        <v>1</v>
      </c>
      <c r="AN12" s="115">
        <v>1</v>
      </c>
      <c r="AO12" s="115">
        <v>1</v>
      </c>
      <c r="AP12" s="115">
        <v>1</v>
      </c>
      <c r="AQ12" s="115">
        <v>1</v>
      </c>
      <c r="AR12" s="115">
        <v>1</v>
      </c>
      <c r="AS12" s="115">
        <v>1</v>
      </c>
      <c r="AT12" s="70">
        <f t="shared" si="0"/>
        <v>8</v>
      </c>
      <c r="AU12" s="71">
        <v>1</v>
      </c>
      <c r="AV12" s="71">
        <v>1</v>
      </c>
      <c r="AW12" s="71">
        <v>1</v>
      </c>
      <c r="AX12" s="71">
        <v>1</v>
      </c>
      <c r="AY12" s="70">
        <f t="shared" si="1"/>
        <v>4</v>
      </c>
      <c r="AZ12" s="69">
        <v>1</v>
      </c>
      <c r="BA12" s="69">
        <v>1</v>
      </c>
      <c r="BB12" s="69">
        <v>1</v>
      </c>
      <c r="BC12" s="69">
        <v>1</v>
      </c>
      <c r="BD12" s="69">
        <v>1</v>
      </c>
      <c r="BE12" s="69">
        <v>1</v>
      </c>
      <c r="BF12" s="69">
        <v>1</v>
      </c>
      <c r="BG12" s="69">
        <v>1</v>
      </c>
      <c r="BH12" s="70">
        <f t="shared" si="2"/>
        <v>8</v>
      </c>
      <c r="BI12" s="69">
        <v>1</v>
      </c>
      <c r="BJ12" s="69">
        <v>1</v>
      </c>
      <c r="BK12" s="70">
        <f t="shared" si="3"/>
        <v>2</v>
      </c>
      <c r="BL12" s="72">
        <v>1</v>
      </c>
      <c r="BM12" s="72">
        <v>1</v>
      </c>
      <c r="BN12" s="72">
        <v>1</v>
      </c>
      <c r="BO12" s="72">
        <v>1</v>
      </c>
      <c r="BP12" s="72">
        <v>1</v>
      </c>
      <c r="BQ12" s="72">
        <v>1</v>
      </c>
      <c r="BR12" s="72">
        <v>1</v>
      </c>
      <c r="BS12" s="72">
        <v>1</v>
      </c>
      <c r="BT12" s="70">
        <f t="shared" si="4"/>
        <v>7</v>
      </c>
      <c r="BU12" s="70">
        <f t="shared" si="5"/>
        <v>29</v>
      </c>
      <c r="BV12" s="105">
        <v>5</v>
      </c>
      <c r="BW12" s="105">
        <v>5</v>
      </c>
      <c r="BX12" s="105">
        <v>5</v>
      </c>
      <c r="BY12" s="73">
        <v>1</v>
      </c>
      <c r="BZ12" s="105">
        <v>5</v>
      </c>
      <c r="CA12" s="73">
        <v>3</v>
      </c>
      <c r="CB12" s="105">
        <v>5</v>
      </c>
      <c r="CC12" s="73">
        <v>5</v>
      </c>
      <c r="CD12" s="73">
        <v>2</v>
      </c>
      <c r="CE12" s="73">
        <v>3</v>
      </c>
      <c r="CF12" s="73">
        <v>3</v>
      </c>
      <c r="CG12" s="73">
        <v>5</v>
      </c>
      <c r="CH12" s="74">
        <v>5</v>
      </c>
      <c r="CI12" s="105">
        <v>5</v>
      </c>
      <c r="CJ12" s="73">
        <v>3</v>
      </c>
      <c r="CK12" s="75">
        <f t="shared" si="6"/>
        <v>60</v>
      </c>
      <c r="CL12" s="106"/>
      <c r="CM12" s="76"/>
      <c r="CN12" s="76"/>
      <c r="CO12" s="76"/>
      <c r="CP12" s="76"/>
      <c r="CQ12" s="10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>
        <f t="shared" si="7"/>
        <v>0</v>
      </c>
      <c r="DO12" s="76">
        <v>20</v>
      </c>
      <c r="DP12" s="55">
        <v>0</v>
      </c>
      <c r="DQ12" s="55">
        <v>0</v>
      </c>
      <c r="DR12" s="55">
        <v>1</v>
      </c>
      <c r="DS12" s="55">
        <v>0</v>
      </c>
      <c r="DT12" s="55">
        <v>0</v>
      </c>
      <c r="DU12" s="55">
        <v>1</v>
      </c>
      <c r="DV12" s="55">
        <v>1</v>
      </c>
      <c r="DW12" s="55">
        <v>0</v>
      </c>
      <c r="DX12" s="55">
        <v>0</v>
      </c>
      <c r="DY12" s="55">
        <v>0</v>
      </c>
      <c r="DZ12" s="55">
        <v>0</v>
      </c>
      <c r="EA12" s="55">
        <v>0</v>
      </c>
      <c r="EB12" s="55">
        <v>0</v>
      </c>
      <c r="EC12" s="55">
        <v>0</v>
      </c>
      <c r="ED12" s="55">
        <v>0</v>
      </c>
      <c r="EE12" s="77">
        <f t="shared" si="31"/>
        <v>3</v>
      </c>
      <c r="EF12" s="77" t="s">
        <v>265</v>
      </c>
      <c r="EG12" s="78">
        <f t="shared" si="8"/>
        <v>3</v>
      </c>
      <c r="EH12" s="55">
        <v>0</v>
      </c>
      <c r="EI12" s="55">
        <v>0</v>
      </c>
      <c r="EJ12" s="55">
        <v>0</v>
      </c>
      <c r="EK12" s="55">
        <v>0</v>
      </c>
      <c r="EL12" s="55">
        <v>0</v>
      </c>
      <c r="EM12" s="55">
        <v>0</v>
      </c>
      <c r="EN12" s="55">
        <v>0.5</v>
      </c>
      <c r="EO12" s="55">
        <v>0</v>
      </c>
      <c r="EP12" s="55">
        <v>0</v>
      </c>
      <c r="EQ12" s="55">
        <v>0</v>
      </c>
      <c r="ER12" s="55">
        <v>0</v>
      </c>
      <c r="ES12" s="55">
        <v>0</v>
      </c>
      <c r="ET12" s="55">
        <v>0</v>
      </c>
      <c r="EU12" s="55">
        <v>0</v>
      </c>
      <c r="EV12" s="55">
        <v>0</v>
      </c>
      <c r="EW12" s="55">
        <v>0</v>
      </c>
      <c r="EX12" s="55">
        <v>0</v>
      </c>
      <c r="EY12" s="55">
        <v>0</v>
      </c>
      <c r="EZ12" s="55">
        <v>0</v>
      </c>
      <c r="FA12" s="55">
        <v>0</v>
      </c>
      <c r="FB12" s="55">
        <v>0</v>
      </c>
      <c r="FC12" s="55">
        <v>0</v>
      </c>
      <c r="FD12" s="79">
        <f t="shared" si="9"/>
        <v>0.5</v>
      </c>
      <c r="FE12" s="80">
        <v>1</v>
      </c>
      <c r="FF12" s="55">
        <v>1</v>
      </c>
      <c r="FG12" s="55">
        <v>1</v>
      </c>
      <c r="FH12" s="55">
        <v>1</v>
      </c>
      <c r="FI12" s="55">
        <v>1</v>
      </c>
      <c r="FJ12" s="55">
        <v>1</v>
      </c>
      <c r="FK12" s="55">
        <v>1</v>
      </c>
      <c r="FL12" s="55">
        <v>1</v>
      </c>
      <c r="FM12" s="55">
        <v>1</v>
      </c>
      <c r="FN12" s="81">
        <f t="shared" si="10"/>
        <v>8</v>
      </c>
      <c r="FO12" s="82">
        <v>1</v>
      </c>
      <c r="FP12" s="55">
        <v>10</v>
      </c>
      <c r="FQ12" s="55">
        <v>5</v>
      </c>
      <c r="FR12" s="55">
        <v>10</v>
      </c>
      <c r="FS12" s="55">
        <v>5</v>
      </c>
      <c r="FT12" s="55">
        <v>10</v>
      </c>
      <c r="FU12" s="55">
        <v>10</v>
      </c>
      <c r="FV12" s="55">
        <v>10</v>
      </c>
      <c r="FW12" s="55">
        <v>15</v>
      </c>
      <c r="FX12" s="55">
        <v>15</v>
      </c>
      <c r="FY12" s="55">
        <v>10</v>
      </c>
      <c r="FZ12" s="83">
        <f t="shared" si="11"/>
        <v>100</v>
      </c>
      <c r="GA12" s="84">
        <v>1</v>
      </c>
      <c r="GB12" s="55">
        <v>1</v>
      </c>
      <c r="GC12" s="85">
        <v>1</v>
      </c>
      <c r="GD12" s="85">
        <v>0</v>
      </c>
      <c r="GE12" s="85">
        <v>1</v>
      </c>
      <c r="GF12" s="85">
        <v>0</v>
      </c>
      <c r="GG12" s="85">
        <v>0</v>
      </c>
      <c r="GH12" s="85">
        <v>0</v>
      </c>
      <c r="GI12" s="55">
        <v>0</v>
      </c>
      <c r="GJ12" s="55">
        <v>0</v>
      </c>
      <c r="GK12" s="55">
        <v>0</v>
      </c>
      <c r="GL12" s="55">
        <v>0</v>
      </c>
      <c r="GM12" s="55">
        <v>0</v>
      </c>
      <c r="GN12" s="55">
        <v>0</v>
      </c>
      <c r="GO12" s="55">
        <v>0</v>
      </c>
      <c r="GP12" s="55">
        <v>0</v>
      </c>
      <c r="GQ12" s="55">
        <v>0</v>
      </c>
      <c r="GR12" s="55">
        <v>0</v>
      </c>
      <c r="GS12" s="55">
        <v>0</v>
      </c>
      <c r="GT12" s="55">
        <v>0</v>
      </c>
      <c r="GU12" s="86">
        <f t="shared" si="12"/>
        <v>0</v>
      </c>
      <c r="GV12" s="87" t="s">
        <v>301</v>
      </c>
      <c r="GW12" s="87">
        <v>0</v>
      </c>
      <c r="GX12" s="88" t="s">
        <v>267</v>
      </c>
      <c r="GY12" s="55">
        <v>5</v>
      </c>
      <c r="GZ12" s="55">
        <v>5</v>
      </c>
      <c r="HA12" s="55">
        <v>3</v>
      </c>
      <c r="HB12" s="55">
        <v>1</v>
      </c>
      <c r="HC12" s="55">
        <v>1</v>
      </c>
      <c r="HD12" s="55">
        <v>4</v>
      </c>
      <c r="HE12" s="55"/>
      <c r="HF12" s="55"/>
      <c r="HG12" s="55">
        <v>2</v>
      </c>
      <c r="HH12" s="55">
        <v>7</v>
      </c>
      <c r="HI12" s="55">
        <v>7</v>
      </c>
      <c r="HJ12" s="55"/>
      <c r="HK12" s="55">
        <v>3</v>
      </c>
      <c r="HL12" s="55">
        <v>2</v>
      </c>
      <c r="HM12" s="55">
        <v>4</v>
      </c>
      <c r="HN12" s="55">
        <v>1</v>
      </c>
      <c r="HO12" s="55">
        <v>3</v>
      </c>
      <c r="HP12" s="55">
        <v>1</v>
      </c>
      <c r="HQ12" s="55">
        <v>0</v>
      </c>
      <c r="HR12" s="55">
        <v>1</v>
      </c>
      <c r="HS12" s="55">
        <v>1</v>
      </c>
      <c r="HT12" s="55">
        <v>2</v>
      </c>
      <c r="HU12" s="55">
        <v>3</v>
      </c>
      <c r="HV12" s="55">
        <v>1</v>
      </c>
      <c r="HW12" s="55">
        <v>1</v>
      </c>
      <c r="HX12" s="55">
        <v>1</v>
      </c>
      <c r="HY12" s="55">
        <v>4</v>
      </c>
      <c r="HZ12" s="55">
        <v>4</v>
      </c>
      <c r="IA12" s="55">
        <v>0</v>
      </c>
      <c r="IB12" s="55">
        <v>7</v>
      </c>
      <c r="IC12" s="55"/>
      <c r="ID12" s="55">
        <f t="shared" ref="ID12:IG12" si="56">SUM(GY12)</f>
        <v>5</v>
      </c>
      <c r="IE12" s="55">
        <f t="shared" si="56"/>
        <v>5</v>
      </c>
      <c r="IF12" s="55">
        <f t="shared" si="56"/>
        <v>3</v>
      </c>
      <c r="IG12" s="55">
        <f t="shared" si="56"/>
        <v>1</v>
      </c>
      <c r="IH12" s="55">
        <f t="shared" si="14"/>
        <v>5</v>
      </c>
      <c r="II12" s="55">
        <f t="shared" si="15"/>
        <v>2</v>
      </c>
      <c r="IJ12" s="55">
        <f t="shared" si="16"/>
        <v>14</v>
      </c>
      <c r="IK12" s="55">
        <f t="shared" ref="IK12:IQ12" si="57">SUM(HK12)</f>
        <v>3</v>
      </c>
      <c r="IL12" s="55">
        <f t="shared" si="57"/>
        <v>2</v>
      </c>
      <c r="IM12" s="55">
        <f t="shared" si="57"/>
        <v>4</v>
      </c>
      <c r="IN12" s="55">
        <f t="shared" si="57"/>
        <v>1</v>
      </c>
      <c r="IO12" s="55">
        <f t="shared" si="57"/>
        <v>3</v>
      </c>
      <c r="IP12" s="55">
        <f t="shared" si="57"/>
        <v>1</v>
      </c>
      <c r="IQ12" s="55">
        <f t="shared" si="57"/>
        <v>0</v>
      </c>
      <c r="IR12" s="55">
        <f t="shared" si="18"/>
        <v>2</v>
      </c>
      <c r="IS12" s="55">
        <f t="shared" ref="IS12:JB12" si="58">SUM(HT12)</f>
        <v>2</v>
      </c>
      <c r="IT12" s="55">
        <f t="shared" si="58"/>
        <v>3</v>
      </c>
      <c r="IU12" s="55">
        <f t="shared" si="58"/>
        <v>1</v>
      </c>
      <c r="IV12" s="55">
        <f t="shared" si="58"/>
        <v>1</v>
      </c>
      <c r="IW12" s="55">
        <f t="shared" si="58"/>
        <v>1</v>
      </c>
      <c r="IX12" s="55">
        <f t="shared" si="58"/>
        <v>4</v>
      </c>
      <c r="IY12" s="55">
        <f t="shared" si="58"/>
        <v>4</v>
      </c>
      <c r="IZ12" s="55">
        <f t="shared" si="58"/>
        <v>0</v>
      </c>
      <c r="JA12" s="55">
        <f t="shared" si="58"/>
        <v>7</v>
      </c>
      <c r="JB12" s="55">
        <f t="shared" si="58"/>
        <v>0</v>
      </c>
      <c r="JC12" s="89">
        <f t="shared" si="20"/>
        <v>73</v>
      </c>
      <c r="JD12" s="90">
        <v>1</v>
      </c>
      <c r="JE12" s="90">
        <v>1</v>
      </c>
      <c r="JF12" s="91">
        <v>14</v>
      </c>
      <c r="JG12" s="91">
        <v>2</v>
      </c>
      <c r="JH12" s="55">
        <v>2</v>
      </c>
      <c r="JI12" s="55">
        <v>2</v>
      </c>
      <c r="JJ12" s="55">
        <v>2</v>
      </c>
      <c r="JK12" s="55">
        <v>1</v>
      </c>
      <c r="JL12" s="55">
        <v>0</v>
      </c>
      <c r="JM12" s="55">
        <v>0</v>
      </c>
      <c r="JN12" s="55">
        <v>0</v>
      </c>
      <c r="JO12" s="55">
        <v>0</v>
      </c>
      <c r="JP12" s="89">
        <f t="shared" si="21"/>
        <v>7</v>
      </c>
      <c r="JQ12" s="55">
        <v>2</v>
      </c>
      <c r="JR12" s="55">
        <v>2</v>
      </c>
      <c r="JS12" s="55">
        <v>1</v>
      </c>
      <c r="JT12" s="55">
        <v>0</v>
      </c>
      <c r="JU12" s="55">
        <v>0</v>
      </c>
      <c r="JV12" s="55">
        <v>0</v>
      </c>
      <c r="JW12" s="55">
        <v>0</v>
      </c>
      <c r="JX12" s="92">
        <f t="shared" si="22"/>
        <v>5</v>
      </c>
      <c r="JY12" s="93">
        <f t="shared" si="23"/>
        <v>12</v>
      </c>
      <c r="JZ12" s="55">
        <v>3</v>
      </c>
      <c r="KA12" s="55">
        <v>2</v>
      </c>
      <c r="KB12" s="55">
        <v>0</v>
      </c>
      <c r="KC12" s="55">
        <v>0</v>
      </c>
      <c r="KD12" s="55">
        <v>0</v>
      </c>
      <c r="KE12" s="55">
        <v>0</v>
      </c>
      <c r="KF12" s="55">
        <v>0</v>
      </c>
      <c r="KG12" s="94">
        <f t="shared" si="24"/>
        <v>5</v>
      </c>
      <c r="KH12" s="95" t="s">
        <v>291</v>
      </c>
      <c r="KI12" s="55">
        <v>0</v>
      </c>
      <c r="KJ12" s="55">
        <v>2</v>
      </c>
      <c r="KK12" s="55">
        <v>0</v>
      </c>
      <c r="KL12" s="95" t="s">
        <v>322</v>
      </c>
      <c r="KM12" s="55">
        <v>0</v>
      </c>
      <c r="KN12" s="55">
        <v>2</v>
      </c>
      <c r="KO12" s="55">
        <v>0</v>
      </c>
      <c r="KP12" s="95" t="s">
        <v>320</v>
      </c>
      <c r="KQ12" s="55">
        <v>0</v>
      </c>
      <c r="KR12" s="55">
        <v>2</v>
      </c>
      <c r="KS12" s="55">
        <v>0</v>
      </c>
      <c r="KT12" s="95" t="s">
        <v>327</v>
      </c>
      <c r="KU12" s="55">
        <v>0</v>
      </c>
      <c r="KV12" s="55">
        <v>2</v>
      </c>
      <c r="KW12" s="55">
        <v>0</v>
      </c>
      <c r="KX12" s="95" t="s">
        <v>326</v>
      </c>
      <c r="KY12" s="55">
        <v>0</v>
      </c>
      <c r="KZ12" s="55">
        <v>2</v>
      </c>
      <c r="LA12" s="55">
        <v>0</v>
      </c>
      <c r="LB12" s="95" t="s">
        <v>315</v>
      </c>
      <c r="LC12" s="55">
        <v>0</v>
      </c>
      <c r="LD12" s="55">
        <v>2</v>
      </c>
      <c r="LE12" s="55">
        <v>1</v>
      </c>
      <c r="LF12" s="95" t="s">
        <v>381</v>
      </c>
      <c r="LG12" s="55">
        <v>1</v>
      </c>
      <c r="LH12" s="55">
        <v>1</v>
      </c>
      <c r="LI12" s="55">
        <v>1</v>
      </c>
      <c r="LJ12" s="95" t="s">
        <v>322</v>
      </c>
      <c r="LK12" s="55">
        <v>0</v>
      </c>
      <c r="LL12" s="55">
        <v>2</v>
      </c>
      <c r="LM12" s="55">
        <v>3</v>
      </c>
      <c r="LN12" s="96">
        <f t="shared" si="25"/>
        <v>20</v>
      </c>
      <c r="LO12" s="97">
        <f t="shared" si="26"/>
        <v>5</v>
      </c>
      <c r="LP12" s="97">
        <f t="shared" si="27"/>
        <v>37</v>
      </c>
    </row>
    <row r="13" spans="1:328" s="98" customFormat="1" ht="13.8">
      <c r="A13" s="55" t="s">
        <v>604</v>
      </c>
      <c r="B13" s="110">
        <v>45952</v>
      </c>
      <c r="C13" s="61">
        <v>7</v>
      </c>
      <c r="D13" s="62" t="s">
        <v>763</v>
      </c>
      <c r="E13" s="62"/>
      <c r="F13" s="61">
        <v>1</v>
      </c>
      <c r="G13" s="61">
        <v>1</v>
      </c>
      <c r="H13" s="61">
        <v>1</v>
      </c>
      <c r="I13" s="164">
        <v>8</v>
      </c>
      <c r="J13" s="164">
        <v>8</v>
      </c>
      <c r="K13" s="63">
        <v>6.5972222222222224E-2</v>
      </c>
      <c r="L13" s="63">
        <v>0.11805555555555555</v>
      </c>
      <c r="M13" s="63">
        <v>0.12847222222222221</v>
      </c>
      <c r="N13" s="64" t="s">
        <v>1040</v>
      </c>
      <c r="O13" s="101" t="s">
        <v>987</v>
      </c>
      <c r="P13" s="111" t="s">
        <v>607</v>
      </c>
      <c r="Q13" s="111">
        <v>1</v>
      </c>
      <c r="R13" s="112">
        <v>18629</v>
      </c>
      <c r="S13" s="111">
        <v>74</v>
      </c>
      <c r="T13" s="111" t="s">
        <v>259</v>
      </c>
      <c r="U13" s="111" t="s">
        <v>287</v>
      </c>
      <c r="V13" s="113" t="s">
        <v>608</v>
      </c>
      <c r="W13" s="111" t="s">
        <v>595</v>
      </c>
      <c r="X13" s="111" t="s">
        <v>596</v>
      </c>
      <c r="Y13" s="111" t="s">
        <v>277</v>
      </c>
      <c r="Z13" s="111" t="s">
        <v>262</v>
      </c>
      <c r="AA13" s="111" t="s">
        <v>323</v>
      </c>
      <c r="AB13" s="111" t="s">
        <v>279</v>
      </c>
      <c r="AC13" s="111" t="s">
        <v>597</v>
      </c>
      <c r="AD13" s="111" t="s">
        <v>597</v>
      </c>
      <c r="AE13" s="111" t="s">
        <v>602</v>
      </c>
      <c r="AF13" s="111" t="s">
        <v>597</v>
      </c>
      <c r="AG13" s="111" t="s">
        <v>609</v>
      </c>
      <c r="AH13" s="111" t="s">
        <v>597</v>
      </c>
      <c r="AI13" s="111" t="s">
        <v>597</v>
      </c>
      <c r="AJ13" s="112">
        <v>45945</v>
      </c>
      <c r="AK13" s="114" t="s">
        <v>610</v>
      </c>
      <c r="AL13" s="115">
        <v>1</v>
      </c>
      <c r="AM13" s="115">
        <v>1</v>
      </c>
      <c r="AN13" s="115">
        <v>1</v>
      </c>
      <c r="AO13" s="115">
        <v>1</v>
      </c>
      <c r="AP13" s="115">
        <v>1</v>
      </c>
      <c r="AQ13" s="115">
        <v>1</v>
      </c>
      <c r="AR13" s="115">
        <v>1</v>
      </c>
      <c r="AS13" s="115">
        <v>1</v>
      </c>
      <c r="AT13" s="70">
        <f t="shared" si="0"/>
        <v>8</v>
      </c>
      <c r="AU13" s="71">
        <v>1</v>
      </c>
      <c r="AV13" s="71">
        <v>1</v>
      </c>
      <c r="AW13" s="71">
        <v>1</v>
      </c>
      <c r="AX13" s="71">
        <v>1</v>
      </c>
      <c r="AY13" s="70">
        <f t="shared" si="1"/>
        <v>4</v>
      </c>
      <c r="AZ13" s="69">
        <v>1</v>
      </c>
      <c r="BA13" s="69">
        <v>1</v>
      </c>
      <c r="BB13" s="69">
        <v>1</v>
      </c>
      <c r="BC13" s="69">
        <v>1</v>
      </c>
      <c r="BD13" s="69">
        <v>1</v>
      </c>
      <c r="BE13" s="69">
        <v>1</v>
      </c>
      <c r="BF13" s="69">
        <v>1</v>
      </c>
      <c r="BG13" s="69">
        <v>1</v>
      </c>
      <c r="BH13" s="70">
        <f t="shared" si="2"/>
        <v>8</v>
      </c>
      <c r="BI13" s="69">
        <v>1</v>
      </c>
      <c r="BJ13" s="69">
        <v>1</v>
      </c>
      <c r="BK13" s="70">
        <f t="shared" si="3"/>
        <v>2</v>
      </c>
      <c r="BL13" s="72">
        <v>1</v>
      </c>
      <c r="BM13" s="72">
        <v>1</v>
      </c>
      <c r="BN13" s="72">
        <v>1</v>
      </c>
      <c r="BO13" s="72">
        <v>1</v>
      </c>
      <c r="BP13" s="72">
        <v>1</v>
      </c>
      <c r="BQ13" s="72">
        <v>1</v>
      </c>
      <c r="BR13" s="72">
        <v>1</v>
      </c>
      <c r="BS13" s="72">
        <v>1</v>
      </c>
      <c r="BT13" s="70">
        <f t="shared" si="4"/>
        <v>7</v>
      </c>
      <c r="BU13" s="70">
        <f t="shared" si="5"/>
        <v>29</v>
      </c>
      <c r="BV13" s="73">
        <v>5</v>
      </c>
      <c r="BW13" s="73">
        <v>5</v>
      </c>
      <c r="BX13" s="73">
        <v>5</v>
      </c>
      <c r="BY13" s="73">
        <v>1</v>
      </c>
      <c r="BZ13" s="105">
        <v>5</v>
      </c>
      <c r="CA13" s="73">
        <v>3</v>
      </c>
      <c r="CB13" s="105">
        <v>5</v>
      </c>
      <c r="CC13" s="73">
        <v>5</v>
      </c>
      <c r="CD13" s="73">
        <v>2</v>
      </c>
      <c r="CE13" s="73">
        <v>3</v>
      </c>
      <c r="CF13" s="73">
        <v>3</v>
      </c>
      <c r="CG13" s="73">
        <v>5</v>
      </c>
      <c r="CH13" s="74">
        <v>5</v>
      </c>
      <c r="CI13" s="73">
        <v>5</v>
      </c>
      <c r="CJ13" s="73">
        <v>3</v>
      </c>
      <c r="CK13" s="75">
        <f t="shared" si="6"/>
        <v>60</v>
      </c>
      <c r="CL13" s="76">
        <v>5</v>
      </c>
      <c r="CM13" s="76">
        <v>1</v>
      </c>
      <c r="CN13" s="76">
        <v>5</v>
      </c>
      <c r="CO13" s="76">
        <v>5</v>
      </c>
      <c r="CP13" s="76">
        <v>5</v>
      </c>
      <c r="CQ13" s="106">
        <v>5</v>
      </c>
      <c r="CR13" s="76">
        <v>1</v>
      </c>
      <c r="CS13" s="76">
        <v>5</v>
      </c>
      <c r="CT13" s="76">
        <v>5</v>
      </c>
      <c r="CU13" s="76">
        <v>5</v>
      </c>
      <c r="CV13" s="76">
        <v>5</v>
      </c>
      <c r="CW13" s="76">
        <v>1</v>
      </c>
      <c r="CX13" s="76">
        <v>1</v>
      </c>
      <c r="CY13" s="76">
        <v>5</v>
      </c>
      <c r="CZ13" s="76">
        <v>5</v>
      </c>
      <c r="DA13" s="76">
        <v>5</v>
      </c>
      <c r="DB13" s="76">
        <v>5</v>
      </c>
      <c r="DC13" s="76">
        <v>4</v>
      </c>
      <c r="DD13" s="76">
        <v>5</v>
      </c>
      <c r="DE13" s="76">
        <v>5</v>
      </c>
      <c r="DF13" s="76">
        <v>5</v>
      </c>
      <c r="DG13" s="76">
        <v>5</v>
      </c>
      <c r="DH13" s="76">
        <v>5</v>
      </c>
      <c r="DI13" s="76">
        <v>5</v>
      </c>
      <c r="DJ13" s="76">
        <v>1</v>
      </c>
      <c r="DK13" s="76">
        <v>5</v>
      </c>
      <c r="DL13" s="76">
        <v>3</v>
      </c>
      <c r="DM13" s="76">
        <v>1</v>
      </c>
      <c r="DN13" s="76">
        <f t="shared" si="7"/>
        <v>113</v>
      </c>
      <c r="DO13" s="76">
        <v>26</v>
      </c>
      <c r="DP13" s="55">
        <v>0</v>
      </c>
      <c r="DQ13" s="55">
        <v>0</v>
      </c>
      <c r="DR13" s="55">
        <v>0</v>
      </c>
      <c r="DS13" s="55">
        <v>0</v>
      </c>
      <c r="DT13" s="55">
        <v>0</v>
      </c>
      <c r="DU13" s="55">
        <v>0</v>
      </c>
      <c r="DV13" s="55">
        <v>0</v>
      </c>
      <c r="DW13" s="55">
        <v>0</v>
      </c>
      <c r="DX13" s="55">
        <v>0</v>
      </c>
      <c r="DY13" s="55">
        <v>0</v>
      </c>
      <c r="DZ13" s="55">
        <v>0</v>
      </c>
      <c r="EA13" s="55">
        <v>0</v>
      </c>
      <c r="EB13" s="55">
        <v>0</v>
      </c>
      <c r="EC13" s="55">
        <v>0</v>
      </c>
      <c r="ED13" s="55">
        <v>0</v>
      </c>
      <c r="EE13" s="77">
        <f t="shared" si="31"/>
        <v>0</v>
      </c>
      <c r="EF13" s="77" t="s">
        <v>265</v>
      </c>
      <c r="EG13" s="78">
        <f t="shared" si="8"/>
        <v>0</v>
      </c>
      <c r="EH13" s="55">
        <v>0</v>
      </c>
      <c r="EI13" s="55">
        <v>0</v>
      </c>
      <c r="EJ13" s="55">
        <v>0</v>
      </c>
      <c r="EK13" s="55">
        <v>0</v>
      </c>
      <c r="EL13" s="55">
        <v>0</v>
      </c>
      <c r="EM13" s="55">
        <v>0</v>
      </c>
      <c r="EN13" s="55">
        <v>0</v>
      </c>
      <c r="EO13" s="55">
        <v>0</v>
      </c>
      <c r="EP13" s="55">
        <v>0</v>
      </c>
      <c r="EQ13" s="55">
        <v>0</v>
      </c>
      <c r="ER13" s="55">
        <v>0</v>
      </c>
      <c r="ES13" s="55">
        <v>0</v>
      </c>
      <c r="ET13" s="55">
        <v>0</v>
      </c>
      <c r="EU13" s="55">
        <v>0</v>
      </c>
      <c r="EV13" s="55">
        <v>0</v>
      </c>
      <c r="EW13" s="55">
        <v>0</v>
      </c>
      <c r="EX13" s="55">
        <v>0</v>
      </c>
      <c r="EY13" s="55">
        <v>0</v>
      </c>
      <c r="EZ13" s="55">
        <v>0</v>
      </c>
      <c r="FA13" s="55">
        <v>0</v>
      </c>
      <c r="FB13" s="55">
        <v>0</v>
      </c>
      <c r="FC13" s="55">
        <v>0</v>
      </c>
      <c r="FD13" s="79">
        <f t="shared" si="9"/>
        <v>0</v>
      </c>
      <c r="FE13" s="80">
        <v>1</v>
      </c>
      <c r="FF13" s="55">
        <v>1</v>
      </c>
      <c r="FG13" s="55">
        <v>1</v>
      </c>
      <c r="FH13" s="55">
        <v>1</v>
      </c>
      <c r="FI13" s="55">
        <v>1</v>
      </c>
      <c r="FJ13" s="55">
        <v>1</v>
      </c>
      <c r="FK13" s="55">
        <v>1</v>
      </c>
      <c r="FL13" s="55">
        <v>1</v>
      </c>
      <c r="FM13" s="55">
        <v>1</v>
      </c>
      <c r="FN13" s="81">
        <f t="shared" si="10"/>
        <v>8</v>
      </c>
      <c r="FO13" s="82">
        <v>1</v>
      </c>
      <c r="FP13" s="55">
        <v>10</v>
      </c>
      <c r="FQ13" s="55">
        <v>5</v>
      </c>
      <c r="FR13" s="55">
        <v>10</v>
      </c>
      <c r="FS13" s="55">
        <v>5</v>
      </c>
      <c r="FT13" s="55">
        <v>10</v>
      </c>
      <c r="FU13" s="55">
        <v>10</v>
      </c>
      <c r="FV13" s="55">
        <v>10</v>
      </c>
      <c r="FW13" s="55">
        <v>15</v>
      </c>
      <c r="FX13" s="55">
        <v>15</v>
      </c>
      <c r="FY13" s="55">
        <v>10</v>
      </c>
      <c r="FZ13" s="83">
        <f t="shared" si="11"/>
        <v>100</v>
      </c>
      <c r="GA13" s="84">
        <v>1</v>
      </c>
      <c r="GB13" s="55">
        <v>0</v>
      </c>
      <c r="GC13" s="85">
        <v>0.5</v>
      </c>
      <c r="GD13" s="85">
        <v>0</v>
      </c>
      <c r="GE13" s="85">
        <v>0</v>
      </c>
      <c r="GF13" s="85">
        <v>0</v>
      </c>
      <c r="GG13" s="85">
        <v>0</v>
      </c>
      <c r="GH13" s="85">
        <v>0</v>
      </c>
      <c r="GI13" s="55">
        <v>0</v>
      </c>
      <c r="GJ13" s="55">
        <v>0</v>
      </c>
      <c r="GK13" s="55">
        <v>0</v>
      </c>
      <c r="GL13" s="55">
        <v>0</v>
      </c>
      <c r="GM13" s="55">
        <v>0</v>
      </c>
      <c r="GN13" s="55">
        <v>0</v>
      </c>
      <c r="GO13" s="55">
        <v>0</v>
      </c>
      <c r="GP13" s="55">
        <v>0</v>
      </c>
      <c r="GQ13" s="55">
        <v>0</v>
      </c>
      <c r="GR13" s="55">
        <v>0</v>
      </c>
      <c r="GS13" s="55">
        <v>2</v>
      </c>
      <c r="GT13" s="55">
        <v>0</v>
      </c>
      <c r="GU13" s="86">
        <f t="shared" si="12"/>
        <v>2</v>
      </c>
      <c r="GV13" s="87" t="s">
        <v>266</v>
      </c>
      <c r="GW13" s="87">
        <v>0</v>
      </c>
      <c r="GX13" s="88" t="s">
        <v>267</v>
      </c>
      <c r="GY13" s="55">
        <v>5</v>
      </c>
      <c r="GZ13" s="55">
        <v>3</v>
      </c>
      <c r="HA13" s="55">
        <v>3</v>
      </c>
      <c r="HB13" s="55">
        <v>1</v>
      </c>
      <c r="HC13" s="55">
        <v>5</v>
      </c>
      <c r="HD13" s="55">
        <v>5</v>
      </c>
      <c r="HE13" s="55"/>
      <c r="HF13" s="55"/>
      <c r="HG13" s="55">
        <v>3</v>
      </c>
      <c r="HH13" s="55">
        <v>7</v>
      </c>
      <c r="HI13" s="55">
        <v>7</v>
      </c>
      <c r="HJ13" s="55"/>
      <c r="HK13" s="55">
        <v>3</v>
      </c>
      <c r="HL13" s="55">
        <v>6</v>
      </c>
      <c r="HM13" s="55">
        <v>5</v>
      </c>
      <c r="HN13" s="55">
        <v>1</v>
      </c>
      <c r="HO13" s="55">
        <v>3</v>
      </c>
      <c r="HP13" s="55">
        <v>1</v>
      </c>
      <c r="HQ13" s="55">
        <v>2</v>
      </c>
      <c r="HR13" s="55">
        <v>1</v>
      </c>
      <c r="HS13" s="55">
        <v>1</v>
      </c>
      <c r="HT13" s="55">
        <v>2</v>
      </c>
      <c r="HU13" s="55">
        <v>4</v>
      </c>
      <c r="HV13" s="55">
        <v>1</v>
      </c>
      <c r="HW13" s="55">
        <v>1</v>
      </c>
      <c r="HX13" s="55">
        <v>1</v>
      </c>
      <c r="HY13" s="55">
        <v>4</v>
      </c>
      <c r="HZ13" s="55">
        <v>3</v>
      </c>
      <c r="IA13" s="55">
        <v>4</v>
      </c>
      <c r="IB13" s="55">
        <v>7</v>
      </c>
      <c r="IC13" s="55"/>
      <c r="ID13" s="55">
        <f t="shared" ref="ID13:IG13" si="59">SUM(GY13)</f>
        <v>5</v>
      </c>
      <c r="IE13" s="55">
        <f t="shared" si="59"/>
        <v>3</v>
      </c>
      <c r="IF13" s="55">
        <f t="shared" si="59"/>
        <v>3</v>
      </c>
      <c r="IG13" s="55">
        <f t="shared" si="59"/>
        <v>1</v>
      </c>
      <c r="IH13" s="55">
        <f t="shared" si="14"/>
        <v>10</v>
      </c>
      <c r="II13" s="55">
        <f t="shared" si="15"/>
        <v>3</v>
      </c>
      <c r="IJ13" s="55">
        <f t="shared" si="16"/>
        <v>14</v>
      </c>
      <c r="IK13" s="55">
        <f t="shared" ref="IK13:IQ13" si="60">SUM(HK13)</f>
        <v>3</v>
      </c>
      <c r="IL13" s="55">
        <f t="shared" si="60"/>
        <v>6</v>
      </c>
      <c r="IM13" s="55">
        <f t="shared" si="60"/>
        <v>5</v>
      </c>
      <c r="IN13" s="55">
        <f t="shared" si="60"/>
        <v>1</v>
      </c>
      <c r="IO13" s="55">
        <f t="shared" si="60"/>
        <v>3</v>
      </c>
      <c r="IP13" s="55">
        <f t="shared" si="60"/>
        <v>1</v>
      </c>
      <c r="IQ13" s="55">
        <f t="shared" si="60"/>
        <v>2</v>
      </c>
      <c r="IR13" s="55">
        <f t="shared" si="18"/>
        <v>2</v>
      </c>
      <c r="IS13" s="55">
        <f t="shared" ref="IS13:JB13" si="61">SUM(HT13)</f>
        <v>2</v>
      </c>
      <c r="IT13" s="55">
        <f t="shared" si="61"/>
        <v>4</v>
      </c>
      <c r="IU13" s="55">
        <f t="shared" si="61"/>
        <v>1</v>
      </c>
      <c r="IV13" s="55">
        <f t="shared" si="61"/>
        <v>1</v>
      </c>
      <c r="IW13" s="55">
        <f t="shared" si="61"/>
        <v>1</v>
      </c>
      <c r="IX13" s="55">
        <f t="shared" si="61"/>
        <v>4</v>
      </c>
      <c r="IY13" s="55">
        <f t="shared" si="61"/>
        <v>3</v>
      </c>
      <c r="IZ13" s="55">
        <f t="shared" si="61"/>
        <v>4</v>
      </c>
      <c r="JA13" s="55">
        <f t="shared" si="61"/>
        <v>7</v>
      </c>
      <c r="JB13" s="55">
        <f t="shared" si="61"/>
        <v>0</v>
      </c>
      <c r="JC13" s="89">
        <f t="shared" si="20"/>
        <v>88</v>
      </c>
      <c r="JD13" s="90">
        <v>1</v>
      </c>
      <c r="JE13" s="90"/>
      <c r="JF13" s="91">
        <v>37</v>
      </c>
      <c r="JG13" s="91">
        <v>2</v>
      </c>
      <c r="JH13" s="55">
        <v>2</v>
      </c>
      <c r="JI13" s="55">
        <v>2</v>
      </c>
      <c r="JJ13" s="55">
        <v>2</v>
      </c>
      <c r="JK13" s="55">
        <v>2</v>
      </c>
      <c r="JL13" s="55">
        <v>2</v>
      </c>
      <c r="JM13" s="55">
        <v>0</v>
      </c>
      <c r="JN13" s="55">
        <v>0</v>
      </c>
      <c r="JO13" s="55">
        <v>0</v>
      </c>
      <c r="JP13" s="89">
        <f t="shared" si="21"/>
        <v>10</v>
      </c>
      <c r="JQ13" s="55">
        <v>2</v>
      </c>
      <c r="JR13" s="55">
        <v>1</v>
      </c>
      <c r="JS13" s="55">
        <v>0</v>
      </c>
      <c r="JT13" s="55">
        <v>0</v>
      </c>
      <c r="JU13" s="55">
        <v>0</v>
      </c>
      <c r="JV13" s="55">
        <v>0</v>
      </c>
      <c r="JW13" s="55">
        <v>0</v>
      </c>
      <c r="JX13" s="92">
        <f t="shared" si="22"/>
        <v>3</v>
      </c>
      <c r="JY13" s="93">
        <f t="shared" si="23"/>
        <v>13</v>
      </c>
      <c r="JZ13" s="55">
        <v>3</v>
      </c>
      <c r="KA13" s="55">
        <v>3</v>
      </c>
      <c r="KB13" s="55">
        <v>0</v>
      </c>
      <c r="KC13" s="55">
        <v>0</v>
      </c>
      <c r="KD13" s="55">
        <v>0</v>
      </c>
      <c r="KE13" s="55">
        <v>0</v>
      </c>
      <c r="KF13" s="55">
        <v>0</v>
      </c>
      <c r="KG13" s="94">
        <f t="shared" si="24"/>
        <v>6</v>
      </c>
      <c r="KH13" s="95" t="s">
        <v>330</v>
      </c>
      <c r="KI13" s="55">
        <v>0</v>
      </c>
      <c r="KJ13" s="55">
        <v>2</v>
      </c>
      <c r="KK13" s="55">
        <v>0</v>
      </c>
      <c r="KL13" s="95" t="s">
        <v>331</v>
      </c>
      <c r="KM13" s="55">
        <v>0</v>
      </c>
      <c r="KN13" s="55">
        <v>2</v>
      </c>
      <c r="KO13" s="55">
        <v>0</v>
      </c>
      <c r="KP13" s="95" t="s">
        <v>332</v>
      </c>
      <c r="KQ13" s="55">
        <v>0</v>
      </c>
      <c r="KR13" s="55">
        <v>2</v>
      </c>
      <c r="KS13" s="55">
        <v>1</v>
      </c>
      <c r="KT13" s="95" t="s">
        <v>320</v>
      </c>
      <c r="KU13" s="55">
        <v>0</v>
      </c>
      <c r="KV13" s="55">
        <v>2</v>
      </c>
      <c r="KW13" s="55">
        <v>1</v>
      </c>
      <c r="KX13" s="95" t="s">
        <v>331</v>
      </c>
      <c r="KY13" s="55">
        <v>0</v>
      </c>
      <c r="KZ13" s="55">
        <v>2</v>
      </c>
      <c r="LA13" s="55">
        <v>1</v>
      </c>
      <c r="LB13" s="95" t="s">
        <v>320</v>
      </c>
      <c r="LC13" s="55">
        <v>0</v>
      </c>
      <c r="LD13" s="55">
        <v>2</v>
      </c>
      <c r="LE13" s="55">
        <v>2</v>
      </c>
      <c r="LF13" s="95" t="s">
        <v>327</v>
      </c>
      <c r="LG13" s="55">
        <v>0</v>
      </c>
      <c r="LH13" s="55">
        <v>2</v>
      </c>
      <c r="LI13" s="55">
        <v>2</v>
      </c>
      <c r="LJ13" s="95" t="s">
        <v>330</v>
      </c>
      <c r="LK13" s="55">
        <v>0</v>
      </c>
      <c r="LL13" s="55">
        <v>2</v>
      </c>
      <c r="LM13" s="55">
        <v>3</v>
      </c>
      <c r="LN13" s="96">
        <f t="shared" si="25"/>
        <v>26</v>
      </c>
      <c r="LO13" s="97">
        <f t="shared" si="26"/>
        <v>10</v>
      </c>
      <c r="LP13" s="97">
        <f t="shared" si="27"/>
        <v>45</v>
      </c>
    </row>
    <row r="14" spans="1:328" s="98" customFormat="1" ht="18" customHeight="1">
      <c r="A14" s="55" t="s">
        <v>634</v>
      </c>
      <c r="B14" s="110">
        <v>45953</v>
      </c>
      <c r="C14" s="61">
        <v>19</v>
      </c>
      <c r="D14" s="62"/>
      <c r="E14" s="62"/>
      <c r="F14" s="61">
        <v>1</v>
      </c>
      <c r="G14" s="61">
        <v>1</v>
      </c>
      <c r="H14" s="61">
        <v>1</v>
      </c>
      <c r="I14" s="164">
        <v>8</v>
      </c>
      <c r="J14" s="164">
        <v>6</v>
      </c>
      <c r="K14" s="63">
        <v>0.11944444444444445</v>
      </c>
      <c r="L14" s="63">
        <v>0.11805555555555555</v>
      </c>
      <c r="M14" s="63">
        <v>9.3055555555555558E-2</v>
      </c>
      <c r="N14" s="64" t="s">
        <v>1041</v>
      </c>
      <c r="O14" s="101" t="s">
        <v>988</v>
      </c>
      <c r="P14" s="111" t="s">
        <v>638</v>
      </c>
      <c r="Q14" s="95">
        <v>1</v>
      </c>
      <c r="R14" s="112" t="s">
        <v>639</v>
      </c>
      <c r="S14" s="111">
        <v>62</v>
      </c>
      <c r="T14" s="111" t="s">
        <v>310</v>
      </c>
      <c r="U14" s="111" t="s">
        <v>276</v>
      </c>
      <c r="V14" s="111">
        <v>980385979</v>
      </c>
      <c r="W14" s="111" t="s">
        <v>595</v>
      </c>
      <c r="X14" s="111" t="s">
        <v>596</v>
      </c>
      <c r="Y14" s="111" t="s">
        <v>277</v>
      </c>
      <c r="Z14" s="111" t="s">
        <v>262</v>
      </c>
      <c r="AA14" s="111" t="s">
        <v>312</v>
      </c>
      <c r="AB14" s="111" t="s">
        <v>279</v>
      </c>
      <c r="AC14" s="111" t="s">
        <v>640</v>
      </c>
      <c r="AD14" s="111" t="s">
        <v>597</v>
      </c>
      <c r="AE14" s="111" t="s">
        <v>602</v>
      </c>
      <c r="AF14" s="111" t="s">
        <v>597</v>
      </c>
      <c r="AG14" s="111" t="s">
        <v>602</v>
      </c>
      <c r="AH14" s="111" t="s">
        <v>597</v>
      </c>
      <c r="AI14" s="111" t="s">
        <v>597</v>
      </c>
      <c r="AJ14" s="112">
        <v>45970</v>
      </c>
      <c r="AK14" s="124"/>
      <c r="AL14" s="115">
        <v>1</v>
      </c>
      <c r="AM14" s="115">
        <v>1</v>
      </c>
      <c r="AN14" s="115">
        <v>1</v>
      </c>
      <c r="AO14" s="115">
        <v>1</v>
      </c>
      <c r="AP14" s="115">
        <v>1</v>
      </c>
      <c r="AQ14" s="115">
        <v>1</v>
      </c>
      <c r="AR14" s="115">
        <v>1</v>
      </c>
      <c r="AS14" s="115">
        <v>1</v>
      </c>
      <c r="AT14" s="70">
        <f t="shared" si="0"/>
        <v>8</v>
      </c>
      <c r="AU14" s="71">
        <v>1</v>
      </c>
      <c r="AV14" s="71">
        <v>1</v>
      </c>
      <c r="AW14" s="71">
        <v>1</v>
      </c>
      <c r="AX14" s="71">
        <v>1</v>
      </c>
      <c r="AY14" s="70">
        <f t="shared" si="1"/>
        <v>4</v>
      </c>
      <c r="AZ14" s="69">
        <v>1</v>
      </c>
      <c r="BA14" s="69">
        <v>1</v>
      </c>
      <c r="BB14" s="69">
        <v>1</v>
      </c>
      <c r="BC14" s="69">
        <v>1</v>
      </c>
      <c r="BD14" s="69">
        <v>1</v>
      </c>
      <c r="BE14" s="69">
        <v>1</v>
      </c>
      <c r="BF14" s="69">
        <v>1</v>
      </c>
      <c r="BG14" s="69">
        <v>1</v>
      </c>
      <c r="BH14" s="70">
        <f t="shared" si="2"/>
        <v>8</v>
      </c>
      <c r="BI14" s="69">
        <v>1</v>
      </c>
      <c r="BJ14" s="69">
        <v>1</v>
      </c>
      <c r="BK14" s="70">
        <f t="shared" si="3"/>
        <v>2</v>
      </c>
      <c r="BL14" s="72">
        <v>1</v>
      </c>
      <c r="BM14" s="72">
        <v>1</v>
      </c>
      <c r="BN14" s="72">
        <v>1</v>
      </c>
      <c r="BO14" s="72">
        <v>1</v>
      </c>
      <c r="BP14" s="72">
        <v>1</v>
      </c>
      <c r="BQ14" s="72">
        <v>1</v>
      </c>
      <c r="BR14" s="72">
        <v>1</v>
      </c>
      <c r="BS14" s="72">
        <v>1</v>
      </c>
      <c r="BT14" s="70">
        <f t="shared" si="4"/>
        <v>7</v>
      </c>
      <c r="BU14" s="70">
        <f t="shared" si="5"/>
        <v>29</v>
      </c>
      <c r="BV14" s="105">
        <v>5</v>
      </c>
      <c r="BW14" s="105">
        <v>5</v>
      </c>
      <c r="BX14" s="105">
        <v>5</v>
      </c>
      <c r="BY14" s="73">
        <v>1</v>
      </c>
      <c r="BZ14" s="105">
        <v>5</v>
      </c>
      <c r="CA14" s="73">
        <v>3</v>
      </c>
      <c r="CB14" s="105">
        <v>5</v>
      </c>
      <c r="CC14" s="73">
        <v>5</v>
      </c>
      <c r="CD14" s="73">
        <v>2</v>
      </c>
      <c r="CE14" s="73">
        <v>3</v>
      </c>
      <c r="CF14" s="73">
        <v>3</v>
      </c>
      <c r="CG14" s="73">
        <v>5</v>
      </c>
      <c r="CH14" s="74">
        <v>5</v>
      </c>
      <c r="CI14" s="105">
        <v>5</v>
      </c>
      <c r="CJ14" s="73">
        <v>3</v>
      </c>
      <c r="CK14" s="75">
        <f t="shared" si="6"/>
        <v>60</v>
      </c>
      <c r="CL14" s="106">
        <v>5</v>
      </c>
      <c r="CM14" s="76">
        <v>1</v>
      </c>
      <c r="CN14" s="76">
        <v>5</v>
      </c>
      <c r="CO14" s="76">
        <v>5</v>
      </c>
      <c r="CP14" s="76">
        <v>5</v>
      </c>
      <c r="CQ14" s="106">
        <v>5</v>
      </c>
      <c r="CR14" s="76">
        <v>1</v>
      </c>
      <c r="CS14" s="76">
        <v>5</v>
      </c>
      <c r="CT14" s="76">
        <v>5</v>
      </c>
      <c r="CU14" s="76">
        <v>5</v>
      </c>
      <c r="CV14" s="76">
        <v>5</v>
      </c>
      <c r="CW14" s="76">
        <v>1</v>
      </c>
      <c r="CX14" s="76">
        <v>1</v>
      </c>
      <c r="CY14" s="76">
        <v>5</v>
      </c>
      <c r="CZ14" s="76">
        <v>5</v>
      </c>
      <c r="DA14" s="76">
        <v>5</v>
      </c>
      <c r="DB14" s="76">
        <v>5</v>
      </c>
      <c r="DC14" s="76">
        <v>4</v>
      </c>
      <c r="DD14" s="76">
        <v>5</v>
      </c>
      <c r="DE14" s="76">
        <v>5</v>
      </c>
      <c r="DF14" s="76">
        <v>5</v>
      </c>
      <c r="DG14" s="76">
        <v>5</v>
      </c>
      <c r="DH14" s="76">
        <v>5</v>
      </c>
      <c r="DI14" s="76">
        <v>5</v>
      </c>
      <c r="DJ14" s="76">
        <v>1</v>
      </c>
      <c r="DK14" s="76">
        <v>5</v>
      </c>
      <c r="DL14" s="76">
        <v>3</v>
      </c>
      <c r="DM14" s="76">
        <v>1</v>
      </c>
      <c r="DN14" s="76">
        <f t="shared" si="7"/>
        <v>113</v>
      </c>
      <c r="DO14" s="118">
        <v>30</v>
      </c>
      <c r="DP14" s="97">
        <v>0</v>
      </c>
      <c r="DQ14" s="97">
        <v>0</v>
      </c>
      <c r="DR14" s="97">
        <v>0</v>
      </c>
      <c r="DS14" s="97">
        <v>0</v>
      </c>
      <c r="DT14" s="97">
        <v>0</v>
      </c>
      <c r="DU14" s="97">
        <v>1</v>
      </c>
      <c r="DV14" s="97">
        <v>0</v>
      </c>
      <c r="DW14" s="97">
        <v>0</v>
      </c>
      <c r="DX14" s="97">
        <v>0</v>
      </c>
      <c r="DY14" s="97">
        <v>0</v>
      </c>
      <c r="DZ14" s="97">
        <v>0</v>
      </c>
      <c r="EA14" s="97">
        <v>0</v>
      </c>
      <c r="EB14" s="97">
        <v>0</v>
      </c>
      <c r="EC14" s="97">
        <v>0</v>
      </c>
      <c r="ED14" s="97">
        <v>0</v>
      </c>
      <c r="EE14" s="77">
        <f t="shared" si="31"/>
        <v>1</v>
      </c>
      <c r="EF14" s="77" t="s">
        <v>265</v>
      </c>
      <c r="EG14" s="78">
        <f t="shared" si="8"/>
        <v>1</v>
      </c>
      <c r="EH14" s="97">
        <v>0</v>
      </c>
      <c r="EI14" s="97">
        <v>0</v>
      </c>
      <c r="EJ14" s="97">
        <v>0</v>
      </c>
      <c r="EK14" s="97">
        <v>0</v>
      </c>
      <c r="EL14" s="97">
        <v>0</v>
      </c>
      <c r="EM14" s="97">
        <v>0</v>
      </c>
      <c r="EN14" s="97">
        <v>0.5</v>
      </c>
      <c r="EO14" s="97">
        <v>0</v>
      </c>
      <c r="EP14" s="97">
        <v>0</v>
      </c>
      <c r="EQ14" s="97">
        <v>0</v>
      </c>
      <c r="ER14" s="97">
        <v>0</v>
      </c>
      <c r="ES14" s="97">
        <v>0</v>
      </c>
      <c r="ET14" s="97">
        <v>0</v>
      </c>
      <c r="EU14" s="97">
        <v>0</v>
      </c>
      <c r="EV14" s="97">
        <v>0</v>
      </c>
      <c r="EW14" s="97">
        <v>0</v>
      </c>
      <c r="EX14" s="97">
        <v>0</v>
      </c>
      <c r="EY14" s="97">
        <v>0</v>
      </c>
      <c r="EZ14" s="97">
        <v>0</v>
      </c>
      <c r="FA14" s="97">
        <v>0</v>
      </c>
      <c r="FB14" s="97">
        <v>0</v>
      </c>
      <c r="FC14" s="97">
        <v>0</v>
      </c>
      <c r="FD14" s="79">
        <f t="shared" si="9"/>
        <v>0.5</v>
      </c>
      <c r="FE14" s="80">
        <v>1</v>
      </c>
      <c r="FF14" s="97">
        <v>1</v>
      </c>
      <c r="FG14" s="97">
        <v>1</v>
      </c>
      <c r="FH14" s="97">
        <v>1</v>
      </c>
      <c r="FI14" s="97">
        <v>1</v>
      </c>
      <c r="FJ14" s="97">
        <v>1</v>
      </c>
      <c r="FK14" s="97">
        <v>1</v>
      </c>
      <c r="FL14" s="97">
        <v>1</v>
      </c>
      <c r="FM14" s="97">
        <v>1</v>
      </c>
      <c r="FN14" s="81">
        <f t="shared" si="10"/>
        <v>8</v>
      </c>
      <c r="FO14" s="82">
        <v>1</v>
      </c>
      <c r="FP14" s="97">
        <v>10</v>
      </c>
      <c r="FQ14" s="97">
        <v>5</v>
      </c>
      <c r="FR14" s="97">
        <v>10</v>
      </c>
      <c r="FS14" s="97">
        <v>5</v>
      </c>
      <c r="FT14" s="97">
        <v>10</v>
      </c>
      <c r="FU14" s="97">
        <v>10</v>
      </c>
      <c r="FV14" s="97">
        <v>10</v>
      </c>
      <c r="FW14" s="97">
        <v>15</v>
      </c>
      <c r="FX14" s="97">
        <v>15</v>
      </c>
      <c r="FY14" s="97">
        <v>10</v>
      </c>
      <c r="FZ14" s="83">
        <f t="shared" si="11"/>
        <v>100</v>
      </c>
      <c r="GA14" s="84">
        <v>1</v>
      </c>
      <c r="GB14" s="55">
        <v>0</v>
      </c>
      <c r="GC14" s="85">
        <v>0</v>
      </c>
      <c r="GD14" s="85">
        <v>0</v>
      </c>
      <c r="GE14" s="85">
        <v>0</v>
      </c>
      <c r="GF14" s="85">
        <v>0</v>
      </c>
      <c r="GG14" s="85">
        <v>0</v>
      </c>
      <c r="GH14" s="85">
        <v>0</v>
      </c>
      <c r="GI14" s="97">
        <v>0</v>
      </c>
      <c r="GJ14" s="97">
        <v>0</v>
      </c>
      <c r="GK14" s="97">
        <v>0</v>
      </c>
      <c r="GL14" s="97">
        <v>0</v>
      </c>
      <c r="GM14" s="97">
        <v>0</v>
      </c>
      <c r="GN14" s="97">
        <v>0</v>
      </c>
      <c r="GO14" s="97">
        <v>0</v>
      </c>
      <c r="GP14" s="97">
        <v>0</v>
      </c>
      <c r="GQ14" s="97">
        <v>0</v>
      </c>
      <c r="GR14" s="97">
        <v>0</v>
      </c>
      <c r="GS14" s="97">
        <v>0</v>
      </c>
      <c r="GT14" s="97">
        <v>0</v>
      </c>
      <c r="GU14" s="86">
        <f t="shared" si="12"/>
        <v>0</v>
      </c>
      <c r="GV14" s="87" t="s">
        <v>301</v>
      </c>
      <c r="GW14" s="87">
        <v>0</v>
      </c>
      <c r="GX14" s="88" t="s">
        <v>267</v>
      </c>
      <c r="GY14" s="55">
        <v>5</v>
      </c>
      <c r="GZ14" s="55">
        <v>5</v>
      </c>
      <c r="HA14" s="55">
        <v>3</v>
      </c>
      <c r="HB14" s="55">
        <v>1</v>
      </c>
      <c r="HC14" s="55">
        <v>5</v>
      </c>
      <c r="HD14" s="55">
        <v>5</v>
      </c>
      <c r="HE14" s="55"/>
      <c r="HF14" s="55"/>
      <c r="HG14" s="55">
        <v>3</v>
      </c>
      <c r="HH14" s="55">
        <v>7</v>
      </c>
      <c r="HI14" s="55">
        <v>7</v>
      </c>
      <c r="HJ14" s="55"/>
      <c r="HK14" s="55">
        <v>3</v>
      </c>
      <c r="HL14" s="55">
        <v>7</v>
      </c>
      <c r="HM14" s="55">
        <v>7</v>
      </c>
      <c r="HN14" s="55">
        <v>1</v>
      </c>
      <c r="HO14" s="55">
        <v>3</v>
      </c>
      <c r="HP14" s="55">
        <v>1</v>
      </c>
      <c r="HQ14" s="55">
        <v>2</v>
      </c>
      <c r="HR14" s="55">
        <v>1</v>
      </c>
      <c r="HS14" s="55">
        <v>1</v>
      </c>
      <c r="HT14" s="55">
        <v>2</v>
      </c>
      <c r="HU14" s="55">
        <v>4</v>
      </c>
      <c r="HV14" s="55">
        <v>1</v>
      </c>
      <c r="HW14" s="55">
        <v>1</v>
      </c>
      <c r="HX14" s="55">
        <v>2</v>
      </c>
      <c r="HY14" s="55">
        <v>5</v>
      </c>
      <c r="HZ14" s="55">
        <v>4</v>
      </c>
      <c r="IA14" s="55">
        <v>4</v>
      </c>
      <c r="IB14" s="55">
        <v>7</v>
      </c>
      <c r="IC14" s="55"/>
      <c r="ID14" s="55">
        <f t="shared" ref="ID14:IG14" si="62">SUM(GY14)</f>
        <v>5</v>
      </c>
      <c r="IE14" s="55">
        <f t="shared" si="62"/>
        <v>5</v>
      </c>
      <c r="IF14" s="55">
        <f t="shared" si="62"/>
        <v>3</v>
      </c>
      <c r="IG14" s="55">
        <f t="shared" si="62"/>
        <v>1</v>
      </c>
      <c r="IH14" s="55">
        <f t="shared" si="14"/>
        <v>10</v>
      </c>
      <c r="II14" s="55">
        <f t="shared" si="15"/>
        <v>3</v>
      </c>
      <c r="IJ14" s="55">
        <f t="shared" si="16"/>
        <v>14</v>
      </c>
      <c r="IK14" s="55">
        <f t="shared" ref="IK14:IQ14" si="63">SUM(HK14)</f>
        <v>3</v>
      </c>
      <c r="IL14" s="55">
        <f t="shared" si="63"/>
        <v>7</v>
      </c>
      <c r="IM14" s="55">
        <f t="shared" si="63"/>
        <v>7</v>
      </c>
      <c r="IN14" s="55">
        <f t="shared" si="63"/>
        <v>1</v>
      </c>
      <c r="IO14" s="55">
        <f t="shared" si="63"/>
        <v>3</v>
      </c>
      <c r="IP14" s="55">
        <f t="shared" si="63"/>
        <v>1</v>
      </c>
      <c r="IQ14" s="55">
        <f t="shared" si="63"/>
        <v>2</v>
      </c>
      <c r="IR14" s="55">
        <f t="shared" si="18"/>
        <v>2</v>
      </c>
      <c r="IS14" s="55">
        <f t="shared" ref="IS14:JB14" si="64">SUM(HT14)</f>
        <v>2</v>
      </c>
      <c r="IT14" s="55">
        <f t="shared" si="64"/>
        <v>4</v>
      </c>
      <c r="IU14" s="55">
        <f t="shared" si="64"/>
        <v>1</v>
      </c>
      <c r="IV14" s="55">
        <f t="shared" si="64"/>
        <v>1</v>
      </c>
      <c r="IW14" s="55">
        <f t="shared" si="64"/>
        <v>2</v>
      </c>
      <c r="IX14" s="55">
        <f t="shared" si="64"/>
        <v>5</v>
      </c>
      <c r="IY14" s="55">
        <f t="shared" si="64"/>
        <v>4</v>
      </c>
      <c r="IZ14" s="55">
        <f t="shared" si="64"/>
        <v>4</v>
      </c>
      <c r="JA14" s="55">
        <f t="shared" si="64"/>
        <v>7</v>
      </c>
      <c r="JB14" s="55">
        <f t="shared" si="64"/>
        <v>0</v>
      </c>
      <c r="JC14" s="89">
        <f t="shared" si="20"/>
        <v>96</v>
      </c>
      <c r="JD14" s="89">
        <v>1</v>
      </c>
      <c r="JE14" s="89"/>
      <c r="JF14" s="121">
        <v>69</v>
      </c>
      <c r="JG14" s="121">
        <v>2</v>
      </c>
      <c r="JH14" s="97">
        <v>2</v>
      </c>
      <c r="JI14" s="97">
        <v>2</v>
      </c>
      <c r="JJ14" s="97">
        <v>2</v>
      </c>
      <c r="JK14" s="97">
        <v>2</v>
      </c>
      <c r="JL14" s="97">
        <v>0</v>
      </c>
      <c r="JM14" s="97">
        <v>0</v>
      </c>
      <c r="JN14" s="97">
        <v>0</v>
      </c>
      <c r="JO14" s="97">
        <v>0</v>
      </c>
      <c r="JP14" s="89">
        <f t="shared" si="21"/>
        <v>8</v>
      </c>
      <c r="JQ14" s="97">
        <v>2</v>
      </c>
      <c r="JR14" s="97">
        <v>2</v>
      </c>
      <c r="JS14" s="97">
        <v>2</v>
      </c>
      <c r="JT14" s="97">
        <v>0</v>
      </c>
      <c r="JU14" s="97">
        <v>0</v>
      </c>
      <c r="JV14" s="97">
        <v>0</v>
      </c>
      <c r="JW14" s="97">
        <v>0</v>
      </c>
      <c r="JX14" s="92">
        <f t="shared" si="22"/>
        <v>6</v>
      </c>
      <c r="JY14" s="93">
        <f t="shared" si="23"/>
        <v>14</v>
      </c>
      <c r="JZ14" s="97">
        <v>3</v>
      </c>
      <c r="KA14" s="97">
        <v>2</v>
      </c>
      <c r="KB14" s="97">
        <v>0</v>
      </c>
      <c r="KC14" s="97">
        <v>0</v>
      </c>
      <c r="KD14" s="97">
        <v>0</v>
      </c>
      <c r="KE14" s="97">
        <v>0</v>
      </c>
      <c r="KF14" s="97">
        <v>0</v>
      </c>
      <c r="KG14" s="94">
        <f t="shared" si="24"/>
        <v>5</v>
      </c>
      <c r="KH14" s="95" t="s">
        <v>319</v>
      </c>
      <c r="KI14" s="97">
        <v>0</v>
      </c>
      <c r="KJ14" s="97">
        <v>2</v>
      </c>
      <c r="KK14" s="97">
        <v>0</v>
      </c>
      <c r="KL14" s="95" t="s">
        <v>319</v>
      </c>
      <c r="KM14" s="97">
        <v>0</v>
      </c>
      <c r="KN14" s="97">
        <v>2</v>
      </c>
      <c r="KO14" s="97">
        <v>0</v>
      </c>
      <c r="KP14" s="95" t="s">
        <v>320</v>
      </c>
      <c r="KQ14" s="97">
        <v>0</v>
      </c>
      <c r="KR14" s="97">
        <v>2</v>
      </c>
      <c r="KS14" s="97">
        <v>0</v>
      </c>
      <c r="KT14" s="95" t="s">
        <v>315</v>
      </c>
      <c r="KU14" s="97">
        <v>0</v>
      </c>
      <c r="KV14" s="97">
        <v>2</v>
      </c>
      <c r="KW14" s="97">
        <v>0</v>
      </c>
      <c r="KX14" s="95" t="s">
        <v>321</v>
      </c>
      <c r="KY14" s="97">
        <v>0</v>
      </c>
      <c r="KZ14" s="97">
        <v>2</v>
      </c>
      <c r="LA14" s="97">
        <v>0</v>
      </c>
      <c r="LB14" s="95" t="s">
        <v>333</v>
      </c>
      <c r="LC14" s="97">
        <v>0</v>
      </c>
      <c r="LD14" s="97">
        <v>2</v>
      </c>
      <c r="LE14" s="97">
        <v>0</v>
      </c>
      <c r="LF14" s="95" t="s">
        <v>334</v>
      </c>
      <c r="LG14" s="97">
        <v>2</v>
      </c>
      <c r="LH14" s="97">
        <v>0</v>
      </c>
      <c r="LI14" s="97">
        <v>0</v>
      </c>
      <c r="LJ14" s="95" t="s">
        <v>335</v>
      </c>
      <c r="LK14" s="97">
        <v>1</v>
      </c>
      <c r="LL14" s="97">
        <v>1</v>
      </c>
      <c r="LM14" s="97">
        <v>0</v>
      </c>
      <c r="LN14" s="96">
        <f t="shared" si="25"/>
        <v>13</v>
      </c>
      <c r="LO14" s="97">
        <f t="shared" si="26"/>
        <v>0</v>
      </c>
      <c r="LP14" s="97">
        <f t="shared" si="27"/>
        <v>32</v>
      </c>
    </row>
    <row r="15" spans="1:328" s="98" customFormat="1" ht="18" customHeight="1">
      <c r="A15" s="55" t="s">
        <v>629</v>
      </c>
      <c r="B15" s="110">
        <v>45967</v>
      </c>
      <c r="C15" s="61">
        <v>35</v>
      </c>
      <c r="D15" s="62"/>
      <c r="E15" s="62" t="s">
        <v>764</v>
      </c>
      <c r="F15" s="61">
        <v>1</v>
      </c>
      <c r="G15" s="61">
        <v>1</v>
      </c>
      <c r="H15" s="61">
        <v>1</v>
      </c>
      <c r="I15" s="164">
        <v>10</v>
      </c>
      <c r="J15" s="164">
        <v>4</v>
      </c>
      <c r="K15" s="63">
        <v>7.2222222222222215E-2</v>
      </c>
      <c r="L15" s="63">
        <v>0.16388888888888889</v>
      </c>
      <c r="M15" s="63">
        <v>6.3888888888888884E-2</v>
      </c>
      <c r="N15" s="64" t="s">
        <v>1040</v>
      </c>
      <c r="O15" s="101" t="s">
        <v>989</v>
      </c>
      <c r="P15" s="95" t="s">
        <v>677</v>
      </c>
      <c r="Q15" s="95">
        <v>1</v>
      </c>
      <c r="R15" s="125">
        <v>19293</v>
      </c>
      <c r="S15" s="95">
        <v>72</v>
      </c>
      <c r="T15" s="95" t="s">
        <v>310</v>
      </c>
      <c r="U15" s="95" t="s">
        <v>276</v>
      </c>
      <c r="V15" s="130" t="s">
        <v>678</v>
      </c>
      <c r="W15" s="95" t="s">
        <v>624</v>
      </c>
      <c r="X15" s="95" t="s">
        <v>596</v>
      </c>
      <c r="Y15" s="95" t="s">
        <v>288</v>
      </c>
      <c r="Z15" s="95" t="s">
        <v>262</v>
      </c>
      <c r="AA15" s="95" t="s">
        <v>336</v>
      </c>
      <c r="AB15" s="95" t="s">
        <v>264</v>
      </c>
      <c r="AC15" s="95" t="s">
        <v>597</v>
      </c>
      <c r="AD15" s="95" t="s">
        <v>599</v>
      </c>
      <c r="AE15" s="95" t="s">
        <v>679</v>
      </c>
      <c r="AF15" s="95" t="s">
        <v>599</v>
      </c>
      <c r="AG15" s="95" t="s">
        <v>612</v>
      </c>
      <c r="AH15" s="95" t="s">
        <v>599</v>
      </c>
      <c r="AI15" s="95" t="s">
        <v>599</v>
      </c>
      <c r="AJ15" s="125">
        <v>45152</v>
      </c>
      <c r="AK15" s="97"/>
      <c r="AL15" s="115">
        <v>1</v>
      </c>
      <c r="AM15" s="115">
        <v>1</v>
      </c>
      <c r="AN15" s="115">
        <v>1</v>
      </c>
      <c r="AO15" s="115">
        <v>1</v>
      </c>
      <c r="AP15" s="115">
        <v>1</v>
      </c>
      <c r="AQ15" s="115">
        <v>1</v>
      </c>
      <c r="AR15" s="115">
        <v>1</v>
      </c>
      <c r="AS15" s="115">
        <v>1</v>
      </c>
      <c r="AT15" s="70">
        <f t="shared" si="0"/>
        <v>8</v>
      </c>
      <c r="AU15" s="71">
        <v>1</v>
      </c>
      <c r="AV15" s="71">
        <v>1</v>
      </c>
      <c r="AW15" s="71">
        <v>1</v>
      </c>
      <c r="AX15" s="71">
        <v>1</v>
      </c>
      <c r="AY15" s="70">
        <f t="shared" si="1"/>
        <v>4</v>
      </c>
      <c r="AZ15" s="69">
        <v>1</v>
      </c>
      <c r="BA15" s="69">
        <v>1</v>
      </c>
      <c r="BB15" s="69">
        <v>1</v>
      </c>
      <c r="BC15" s="69">
        <v>1</v>
      </c>
      <c r="BD15" s="69">
        <v>1</v>
      </c>
      <c r="BE15" s="69">
        <v>1</v>
      </c>
      <c r="BF15" s="69">
        <v>1</v>
      </c>
      <c r="BG15" s="69">
        <v>1</v>
      </c>
      <c r="BH15" s="70">
        <f t="shared" si="2"/>
        <v>8</v>
      </c>
      <c r="BI15" s="69">
        <v>1</v>
      </c>
      <c r="BJ15" s="69">
        <v>1</v>
      </c>
      <c r="BK15" s="70">
        <f t="shared" si="3"/>
        <v>2</v>
      </c>
      <c r="BL15" s="72">
        <v>1</v>
      </c>
      <c r="BM15" s="72">
        <v>1</v>
      </c>
      <c r="BN15" s="72">
        <v>1</v>
      </c>
      <c r="BO15" s="72">
        <v>1</v>
      </c>
      <c r="BP15" s="72">
        <v>1</v>
      </c>
      <c r="BQ15" s="72">
        <v>1</v>
      </c>
      <c r="BR15" s="72">
        <v>1</v>
      </c>
      <c r="BS15" s="72">
        <v>1</v>
      </c>
      <c r="BT15" s="70">
        <f t="shared" si="4"/>
        <v>7</v>
      </c>
      <c r="BU15" s="70">
        <f t="shared" si="5"/>
        <v>29</v>
      </c>
      <c r="BV15" s="73">
        <v>5</v>
      </c>
      <c r="BW15" s="73">
        <v>5</v>
      </c>
      <c r="BX15" s="73">
        <v>5</v>
      </c>
      <c r="BY15" s="73">
        <v>1</v>
      </c>
      <c r="BZ15" s="105">
        <v>5</v>
      </c>
      <c r="CA15" s="73">
        <v>3</v>
      </c>
      <c r="CB15" s="105">
        <v>5</v>
      </c>
      <c r="CC15" s="73">
        <v>5</v>
      </c>
      <c r="CD15" s="73">
        <v>2</v>
      </c>
      <c r="CE15" s="73">
        <v>3</v>
      </c>
      <c r="CF15" s="73">
        <v>3</v>
      </c>
      <c r="CG15" s="73">
        <v>5</v>
      </c>
      <c r="CH15" s="74">
        <v>5</v>
      </c>
      <c r="CI15" s="73">
        <v>5</v>
      </c>
      <c r="CJ15" s="73">
        <v>3</v>
      </c>
      <c r="CK15" s="75">
        <f t="shared" si="6"/>
        <v>60</v>
      </c>
      <c r="CL15" s="76">
        <v>5</v>
      </c>
      <c r="CM15" s="76">
        <v>1</v>
      </c>
      <c r="CN15" s="76">
        <v>5</v>
      </c>
      <c r="CO15" s="76">
        <v>5</v>
      </c>
      <c r="CP15" s="76">
        <v>5</v>
      </c>
      <c r="CQ15" s="106">
        <v>5</v>
      </c>
      <c r="CR15" s="76">
        <v>1</v>
      </c>
      <c r="CS15" s="76">
        <v>5</v>
      </c>
      <c r="CT15" s="76">
        <v>5</v>
      </c>
      <c r="CU15" s="76">
        <v>5</v>
      </c>
      <c r="CV15" s="76">
        <v>5</v>
      </c>
      <c r="CW15" s="76">
        <v>1</v>
      </c>
      <c r="CX15" s="76">
        <v>1</v>
      </c>
      <c r="CY15" s="76">
        <v>5</v>
      </c>
      <c r="CZ15" s="76">
        <v>5</v>
      </c>
      <c r="DA15" s="76">
        <v>5</v>
      </c>
      <c r="DB15" s="76">
        <v>5</v>
      </c>
      <c r="DC15" s="76">
        <v>4</v>
      </c>
      <c r="DD15" s="76">
        <v>5</v>
      </c>
      <c r="DE15" s="76">
        <v>5</v>
      </c>
      <c r="DF15" s="76">
        <v>5</v>
      </c>
      <c r="DG15" s="76">
        <v>5</v>
      </c>
      <c r="DH15" s="76">
        <v>5</v>
      </c>
      <c r="DI15" s="76">
        <v>5</v>
      </c>
      <c r="DJ15" s="76">
        <v>1</v>
      </c>
      <c r="DK15" s="76">
        <v>5</v>
      </c>
      <c r="DL15" s="76">
        <v>3</v>
      </c>
      <c r="DM15" s="76">
        <v>1</v>
      </c>
      <c r="DN15" s="76">
        <f t="shared" si="7"/>
        <v>113</v>
      </c>
      <c r="DO15" s="118">
        <v>30</v>
      </c>
      <c r="DP15" s="97">
        <v>0</v>
      </c>
      <c r="DQ15" s="97">
        <v>1</v>
      </c>
      <c r="DR15" s="97">
        <v>0</v>
      </c>
      <c r="DS15" s="97">
        <v>0</v>
      </c>
      <c r="DT15" s="97">
        <v>0</v>
      </c>
      <c r="DU15" s="97">
        <v>0</v>
      </c>
      <c r="DV15" s="97">
        <v>0</v>
      </c>
      <c r="DW15" s="97">
        <v>0</v>
      </c>
      <c r="DX15" s="97">
        <v>1</v>
      </c>
      <c r="DY15" s="97">
        <v>0</v>
      </c>
      <c r="DZ15" s="97">
        <v>0</v>
      </c>
      <c r="EA15" s="97">
        <v>0</v>
      </c>
      <c r="EB15" s="97">
        <v>0</v>
      </c>
      <c r="EC15" s="97">
        <v>0</v>
      </c>
      <c r="ED15" s="97">
        <v>0</v>
      </c>
      <c r="EE15" s="77">
        <f t="shared" si="31"/>
        <v>2</v>
      </c>
      <c r="EF15" s="77" t="s">
        <v>265</v>
      </c>
      <c r="EG15" s="78">
        <f t="shared" si="8"/>
        <v>2</v>
      </c>
      <c r="EH15" s="97">
        <v>0</v>
      </c>
      <c r="EI15" s="97">
        <v>0</v>
      </c>
      <c r="EJ15" s="97">
        <v>0</v>
      </c>
      <c r="EK15" s="97">
        <v>0</v>
      </c>
      <c r="EL15" s="97">
        <v>0</v>
      </c>
      <c r="EM15" s="97">
        <v>0</v>
      </c>
      <c r="EN15" s="97">
        <v>0</v>
      </c>
      <c r="EO15" s="97">
        <v>0</v>
      </c>
      <c r="EP15" s="97">
        <v>0</v>
      </c>
      <c r="EQ15" s="97">
        <v>0</v>
      </c>
      <c r="ER15" s="97">
        <v>1</v>
      </c>
      <c r="ES15" s="97">
        <v>0</v>
      </c>
      <c r="ET15" s="97">
        <v>0</v>
      </c>
      <c r="EU15" s="97">
        <v>0</v>
      </c>
      <c r="EV15" s="97">
        <v>0</v>
      </c>
      <c r="EW15" s="97">
        <v>1</v>
      </c>
      <c r="EX15" s="97">
        <v>1</v>
      </c>
      <c r="EY15" s="97">
        <v>0</v>
      </c>
      <c r="EZ15" s="97">
        <v>0</v>
      </c>
      <c r="FA15" s="97">
        <v>0</v>
      </c>
      <c r="FB15" s="97">
        <v>0</v>
      </c>
      <c r="FC15" s="97">
        <v>0</v>
      </c>
      <c r="FD15" s="79">
        <f t="shared" si="9"/>
        <v>3</v>
      </c>
      <c r="FE15" s="80">
        <v>1</v>
      </c>
      <c r="FF15" s="97">
        <v>1</v>
      </c>
      <c r="FG15" s="97">
        <v>1</v>
      </c>
      <c r="FH15" s="97">
        <v>1</v>
      </c>
      <c r="FI15" s="97">
        <v>1</v>
      </c>
      <c r="FJ15" s="97">
        <v>1</v>
      </c>
      <c r="FK15" s="97">
        <v>1</v>
      </c>
      <c r="FL15" s="97">
        <v>0</v>
      </c>
      <c r="FM15" s="97">
        <v>1</v>
      </c>
      <c r="FN15" s="81">
        <f t="shared" si="10"/>
        <v>7</v>
      </c>
      <c r="FO15" s="82">
        <v>2</v>
      </c>
      <c r="FP15" s="97">
        <v>10</v>
      </c>
      <c r="FQ15" s="97">
        <v>5</v>
      </c>
      <c r="FR15" s="97">
        <v>10</v>
      </c>
      <c r="FS15" s="97">
        <v>5</v>
      </c>
      <c r="FT15" s="97">
        <v>10</v>
      </c>
      <c r="FU15" s="97">
        <v>10</v>
      </c>
      <c r="FV15" s="97">
        <v>10</v>
      </c>
      <c r="FW15" s="97">
        <v>15</v>
      </c>
      <c r="FX15" s="97">
        <v>15</v>
      </c>
      <c r="FY15" s="97">
        <v>10</v>
      </c>
      <c r="FZ15" s="83">
        <f t="shared" si="11"/>
        <v>100</v>
      </c>
      <c r="GA15" s="84">
        <v>1</v>
      </c>
      <c r="GB15" s="55">
        <v>0</v>
      </c>
      <c r="GC15" s="85">
        <v>0</v>
      </c>
      <c r="GD15" s="85">
        <v>0</v>
      </c>
      <c r="GE15" s="85">
        <v>0</v>
      </c>
      <c r="GF15" s="85">
        <v>0</v>
      </c>
      <c r="GG15" s="85">
        <v>0</v>
      </c>
      <c r="GH15" s="85">
        <v>1</v>
      </c>
      <c r="GI15" s="97">
        <v>0</v>
      </c>
      <c r="GJ15" s="97">
        <v>0</v>
      </c>
      <c r="GK15" s="97">
        <v>0</v>
      </c>
      <c r="GL15" s="97">
        <v>0</v>
      </c>
      <c r="GM15" s="97">
        <v>0</v>
      </c>
      <c r="GN15" s="97">
        <v>0</v>
      </c>
      <c r="GO15" s="97">
        <v>0</v>
      </c>
      <c r="GP15" s="97">
        <v>0</v>
      </c>
      <c r="GQ15" s="97">
        <v>0</v>
      </c>
      <c r="GR15" s="97">
        <v>0</v>
      </c>
      <c r="GS15" s="97">
        <v>1</v>
      </c>
      <c r="GT15" s="97">
        <v>0</v>
      </c>
      <c r="GU15" s="86">
        <f t="shared" si="12"/>
        <v>1</v>
      </c>
      <c r="GV15" s="128" t="s">
        <v>266</v>
      </c>
      <c r="GW15" s="87">
        <v>0</v>
      </c>
      <c r="GX15" s="88" t="s">
        <v>267</v>
      </c>
      <c r="GY15" s="97">
        <v>5</v>
      </c>
      <c r="GZ15" s="97">
        <v>5</v>
      </c>
      <c r="HA15" s="97">
        <v>3</v>
      </c>
      <c r="HB15" s="97">
        <v>1</v>
      </c>
      <c r="HC15" s="97">
        <v>5</v>
      </c>
      <c r="HD15" s="97">
        <v>5</v>
      </c>
      <c r="HE15" s="97"/>
      <c r="HF15" s="97"/>
      <c r="HG15" s="97">
        <v>2</v>
      </c>
      <c r="HH15" s="97">
        <v>7</v>
      </c>
      <c r="HI15" s="97">
        <v>7</v>
      </c>
      <c r="HJ15" s="97"/>
      <c r="HK15" s="97">
        <v>4</v>
      </c>
      <c r="HL15" s="97">
        <v>5</v>
      </c>
      <c r="HM15" s="97">
        <v>3</v>
      </c>
      <c r="HN15" s="97">
        <v>1</v>
      </c>
      <c r="HO15" s="97">
        <v>3</v>
      </c>
      <c r="HP15" s="97">
        <v>1</v>
      </c>
      <c r="HQ15" s="97">
        <v>2</v>
      </c>
      <c r="HR15" s="97">
        <v>1</v>
      </c>
      <c r="HS15" s="97">
        <v>1</v>
      </c>
      <c r="HT15" s="97">
        <v>2</v>
      </c>
      <c r="HU15" s="97">
        <v>4</v>
      </c>
      <c r="HV15" s="97">
        <v>1</v>
      </c>
      <c r="HW15" s="97">
        <v>1</v>
      </c>
      <c r="HX15" s="97">
        <v>2</v>
      </c>
      <c r="HY15" s="97">
        <v>5</v>
      </c>
      <c r="HZ15" s="97">
        <v>4</v>
      </c>
      <c r="IA15" s="97">
        <v>4</v>
      </c>
      <c r="IB15" s="97">
        <v>7</v>
      </c>
      <c r="IC15" s="55"/>
      <c r="ID15" s="55">
        <f t="shared" ref="ID15:IG15" si="65">SUM(GY15)</f>
        <v>5</v>
      </c>
      <c r="IE15" s="55">
        <f t="shared" si="65"/>
        <v>5</v>
      </c>
      <c r="IF15" s="55">
        <f t="shared" si="65"/>
        <v>3</v>
      </c>
      <c r="IG15" s="55">
        <f t="shared" si="65"/>
        <v>1</v>
      </c>
      <c r="IH15" s="55">
        <f t="shared" si="14"/>
        <v>10</v>
      </c>
      <c r="II15" s="55">
        <f t="shared" si="15"/>
        <v>2</v>
      </c>
      <c r="IJ15" s="55">
        <f t="shared" si="16"/>
        <v>14</v>
      </c>
      <c r="IK15" s="55">
        <f t="shared" ref="IK15:IQ15" si="66">SUM(HK15)</f>
        <v>4</v>
      </c>
      <c r="IL15" s="55">
        <f t="shared" si="66"/>
        <v>5</v>
      </c>
      <c r="IM15" s="55">
        <f t="shared" si="66"/>
        <v>3</v>
      </c>
      <c r="IN15" s="55">
        <f t="shared" si="66"/>
        <v>1</v>
      </c>
      <c r="IO15" s="55">
        <f t="shared" si="66"/>
        <v>3</v>
      </c>
      <c r="IP15" s="55">
        <f t="shared" si="66"/>
        <v>1</v>
      </c>
      <c r="IQ15" s="55">
        <f t="shared" si="66"/>
        <v>2</v>
      </c>
      <c r="IR15" s="55">
        <f t="shared" si="18"/>
        <v>2</v>
      </c>
      <c r="IS15" s="55">
        <f t="shared" ref="IS15:JB15" si="67">SUM(HT15)</f>
        <v>2</v>
      </c>
      <c r="IT15" s="55">
        <f t="shared" si="67"/>
        <v>4</v>
      </c>
      <c r="IU15" s="55">
        <f t="shared" si="67"/>
        <v>1</v>
      </c>
      <c r="IV15" s="55">
        <f t="shared" si="67"/>
        <v>1</v>
      </c>
      <c r="IW15" s="55">
        <f t="shared" si="67"/>
        <v>2</v>
      </c>
      <c r="IX15" s="55">
        <f t="shared" si="67"/>
        <v>5</v>
      </c>
      <c r="IY15" s="55">
        <f t="shared" si="67"/>
        <v>4</v>
      </c>
      <c r="IZ15" s="55">
        <f t="shared" si="67"/>
        <v>4</v>
      </c>
      <c r="JA15" s="55">
        <f t="shared" si="67"/>
        <v>7</v>
      </c>
      <c r="JB15" s="55">
        <f t="shared" si="67"/>
        <v>0</v>
      </c>
      <c r="JC15" s="89">
        <f t="shared" si="20"/>
        <v>90</v>
      </c>
      <c r="JD15" s="90">
        <v>1</v>
      </c>
      <c r="JE15" s="90">
        <v>1</v>
      </c>
      <c r="JF15" s="91">
        <v>32</v>
      </c>
      <c r="JG15" s="121">
        <v>2</v>
      </c>
      <c r="JH15" s="97">
        <v>2</v>
      </c>
      <c r="JI15" s="97">
        <v>2</v>
      </c>
      <c r="JJ15" s="97">
        <v>2</v>
      </c>
      <c r="JK15" s="97">
        <v>2</v>
      </c>
      <c r="JL15" s="97">
        <v>0</v>
      </c>
      <c r="JM15" s="97">
        <v>0</v>
      </c>
      <c r="JN15" s="97">
        <v>0</v>
      </c>
      <c r="JO15" s="97">
        <v>0</v>
      </c>
      <c r="JP15" s="89">
        <f t="shared" si="21"/>
        <v>8</v>
      </c>
      <c r="JQ15" s="97">
        <v>2</v>
      </c>
      <c r="JR15" s="97">
        <v>2</v>
      </c>
      <c r="JS15" s="97">
        <v>2</v>
      </c>
      <c r="JT15" s="97">
        <v>2</v>
      </c>
      <c r="JU15" s="97">
        <v>1</v>
      </c>
      <c r="JV15" s="97">
        <v>0</v>
      </c>
      <c r="JW15" s="97">
        <v>0</v>
      </c>
      <c r="JX15" s="92">
        <f t="shared" si="22"/>
        <v>9</v>
      </c>
      <c r="JY15" s="93">
        <f t="shared" si="23"/>
        <v>17</v>
      </c>
      <c r="JZ15" s="97">
        <v>3</v>
      </c>
      <c r="KA15" s="97">
        <v>3</v>
      </c>
      <c r="KB15" s="97">
        <v>1</v>
      </c>
      <c r="KC15" s="97">
        <v>2</v>
      </c>
      <c r="KD15" s="97">
        <v>0</v>
      </c>
      <c r="KE15" s="97">
        <v>0</v>
      </c>
      <c r="KF15" s="97">
        <v>0</v>
      </c>
      <c r="KG15" s="94">
        <f t="shared" si="24"/>
        <v>9</v>
      </c>
      <c r="KH15" s="95" t="s">
        <v>337</v>
      </c>
      <c r="KI15" s="97">
        <v>0</v>
      </c>
      <c r="KJ15" s="97">
        <v>2</v>
      </c>
      <c r="KK15" s="97">
        <v>1</v>
      </c>
      <c r="KL15" s="95" t="s">
        <v>338</v>
      </c>
      <c r="KM15" s="97">
        <v>0</v>
      </c>
      <c r="KN15" s="97">
        <v>2</v>
      </c>
      <c r="KO15" s="97">
        <v>0</v>
      </c>
      <c r="KP15" s="95" t="s">
        <v>339</v>
      </c>
      <c r="KQ15" s="97">
        <v>0</v>
      </c>
      <c r="KR15" s="97">
        <v>2</v>
      </c>
      <c r="KS15" s="97">
        <v>1</v>
      </c>
      <c r="KT15" s="95" t="s">
        <v>340</v>
      </c>
      <c r="KU15" s="97">
        <v>0</v>
      </c>
      <c r="KV15" s="97">
        <v>2</v>
      </c>
      <c r="KW15" s="97">
        <v>1</v>
      </c>
      <c r="KX15" s="95" t="s">
        <v>341</v>
      </c>
      <c r="KY15" s="97">
        <v>0</v>
      </c>
      <c r="KZ15" s="97">
        <v>2</v>
      </c>
      <c r="LA15" s="97">
        <v>2</v>
      </c>
      <c r="LB15" s="95" t="s">
        <v>342</v>
      </c>
      <c r="LC15" s="97">
        <v>0</v>
      </c>
      <c r="LD15" s="97">
        <v>2</v>
      </c>
      <c r="LE15" s="97">
        <v>0</v>
      </c>
      <c r="LF15" s="95" t="s">
        <v>343</v>
      </c>
      <c r="LG15" s="97">
        <v>1</v>
      </c>
      <c r="LH15" s="97">
        <v>1</v>
      </c>
      <c r="LI15" s="97">
        <v>1</v>
      </c>
      <c r="LJ15" s="95" t="s">
        <v>344</v>
      </c>
      <c r="LK15" s="97">
        <v>0</v>
      </c>
      <c r="LL15" s="97">
        <v>2</v>
      </c>
      <c r="LM15" s="97">
        <v>3</v>
      </c>
      <c r="LN15" s="96">
        <f t="shared" si="25"/>
        <v>24</v>
      </c>
      <c r="LO15" s="97">
        <f t="shared" si="26"/>
        <v>9</v>
      </c>
      <c r="LP15" s="97">
        <f t="shared" si="27"/>
        <v>50</v>
      </c>
    </row>
    <row r="16" spans="1:328" s="98" customFormat="1" ht="13.8">
      <c r="A16" s="55" t="s">
        <v>613</v>
      </c>
      <c r="B16" s="131">
        <v>45946</v>
      </c>
      <c r="C16" s="117">
        <v>23</v>
      </c>
      <c r="D16" s="62" t="s">
        <v>763</v>
      </c>
      <c r="E16" s="62" t="s">
        <v>764</v>
      </c>
      <c r="F16" s="61">
        <v>1</v>
      </c>
      <c r="G16" s="61">
        <v>1</v>
      </c>
      <c r="H16" s="61">
        <v>1</v>
      </c>
      <c r="I16" s="164">
        <v>6</v>
      </c>
      <c r="J16" s="164">
        <v>2</v>
      </c>
      <c r="K16" s="63">
        <v>8.1944444444444445E-2</v>
      </c>
      <c r="L16" s="63">
        <v>9.3055555555555558E-2</v>
      </c>
      <c r="M16" s="63">
        <v>2.6388888888888889E-2</v>
      </c>
      <c r="N16" s="64" t="s">
        <v>1041</v>
      </c>
      <c r="O16" s="101" t="s">
        <v>990</v>
      </c>
      <c r="P16" s="95" t="s">
        <v>646</v>
      </c>
      <c r="Q16" s="95">
        <v>1</v>
      </c>
      <c r="R16" s="133">
        <v>17469</v>
      </c>
      <c r="S16" s="134">
        <v>78</v>
      </c>
      <c r="T16" s="134" t="s">
        <v>259</v>
      </c>
      <c r="U16" s="134" t="s">
        <v>298</v>
      </c>
      <c r="V16" s="132" t="s">
        <v>647</v>
      </c>
      <c r="W16" s="134" t="s">
        <v>595</v>
      </c>
      <c r="X16" s="134" t="s">
        <v>648</v>
      </c>
      <c r="Y16" s="134" t="s">
        <v>311</v>
      </c>
      <c r="Z16" s="134" t="s">
        <v>262</v>
      </c>
      <c r="AA16" s="134" t="s">
        <v>345</v>
      </c>
      <c r="AB16" s="134" t="s">
        <v>279</v>
      </c>
      <c r="AC16" s="134" t="s">
        <v>597</v>
      </c>
      <c r="AD16" s="134" t="s">
        <v>597</v>
      </c>
      <c r="AE16" s="134" t="s">
        <v>649</v>
      </c>
      <c r="AF16" s="134" t="s">
        <v>597</v>
      </c>
      <c r="AG16" s="134" t="s">
        <v>649</v>
      </c>
      <c r="AH16" s="134" t="s">
        <v>599</v>
      </c>
      <c r="AI16" s="134" t="s">
        <v>599</v>
      </c>
      <c r="AJ16" s="133">
        <v>45946</v>
      </c>
      <c r="AK16" s="39" t="s">
        <v>649</v>
      </c>
      <c r="AL16" s="115">
        <v>1</v>
      </c>
      <c r="AM16" s="115">
        <v>1</v>
      </c>
      <c r="AN16" s="115">
        <v>1</v>
      </c>
      <c r="AO16" s="115">
        <v>1</v>
      </c>
      <c r="AP16" s="115">
        <v>1</v>
      </c>
      <c r="AQ16" s="115">
        <v>1</v>
      </c>
      <c r="AR16" s="115">
        <v>1</v>
      </c>
      <c r="AS16" s="115">
        <v>1</v>
      </c>
      <c r="AT16" s="70">
        <f t="shared" si="0"/>
        <v>8</v>
      </c>
      <c r="AU16" s="71">
        <v>1</v>
      </c>
      <c r="AV16" s="71">
        <v>1</v>
      </c>
      <c r="AW16" s="71">
        <v>1</v>
      </c>
      <c r="AX16" s="71">
        <v>1</v>
      </c>
      <c r="AY16" s="70">
        <f t="shared" si="1"/>
        <v>4</v>
      </c>
      <c r="AZ16" s="69">
        <v>1</v>
      </c>
      <c r="BA16" s="69">
        <v>1</v>
      </c>
      <c r="BB16" s="69">
        <v>1</v>
      </c>
      <c r="BC16" s="69">
        <v>1</v>
      </c>
      <c r="BD16" s="69">
        <v>1</v>
      </c>
      <c r="BE16" s="69">
        <v>1</v>
      </c>
      <c r="BF16" s="69">
        <v>1</v>
      </c>
      <c r="BG16" s="69">
        <v>1</v>
      </c>
      <c r="BH16" s="70">
        <f t="shared" si="2"/>
        <v>8</v>
      </c>
      <c r="BI16" s="69">
        <v>1</v>
      </c>
      <c r="BJ16" s="69">
        <v>1</v>
      </c>
      <c r="BK16" s="70">
        <f t="shared" si="3"/>
        <v>2</v>
      </c>
      <c r="BL16" s="72">
        <v>1</v>
      </c>
      <c r="BM16" s="72">
        <v>1</v>
      </c>
      <c r="BN16" s="72">
        <v>1</v>
      </c>
      <c r="BO16" s="72">
        <v>1</v>
      </c>
      <c r="BP16" s="72">
        <v>1</v>
      </c>
      <c r="BQ16" s="72">
        <v>1</v>
      </c>
      <c r="BR16" s="72">
        <v>1</v>
      </c>
      <c r="BS16" s="72">
        <v>1</v>
      </c>
      <c r="BT16" s="70">
        <f t="shared" si="4"/>
        <v>7</v>
      </c>
      <c r="BU16" s="70">
        <f t="shared" si="5"/>
        <v>29</v>
      </c>
      <c r="BV16" s="105">
        <v>5</v>
      </c>
      <c r="BW16" s="105">
        <v>5</v>
      </c>
      <c r="BX16" s="105">
        <v>5</v>
      </c>
      <c r="BY16" s="73">
        <v>1</v>
      </c>
      <c r="BZ16" s="105">
        <v>5</v>
      </c>
      <c r="CA16" s="73">
        <v>3</v>
      </c>
      <c r="CB16" s="105">
        <v>5</v>
      </c>
      <c r="CC16" s="73">
        <v>5</v>
      </c>
      <c r="CD16" s="73">
        <v>2</v>
      </c>
      <c r="CE16" s="73">
        <v>3</v>
      </c>
      <c r="CF16" s="73">
        <v>3</v>
      </c>
      <c r="CG16" s="73">
        <v>5</v>
      </c>
      <c r="CH16" s="74">
        <v>5</v>
      </c>
      <c r="CI16" s="105">
        <v>5</v>
      </c>
      <c r="CJ16" s="73">
        <v>3</v>
      </c>
      <c r="CK16" s="75">
        <f t="shared" si="6"/>
        <v>60</v>
      </c>
      <c r="CL16" s="106">
        <v>5</v>
      </c>
      <c r="CM16" s="76">
        <v>1</v>
      </c>
      <c r="CN16" s="76">
        <v>5</v>
      </c>
      <c r="CO16" s="76">
        <v>5</v>
      </c>
      <c r="CP16" s="76">
        <v>5</v>
      </c>
      <c r="CQ16" s="106">
        <v>5</v>
      </c>
      <c r="CR16" s="76">
        <v>1</v>
      </c>
      <c r="CS16" s="76">
        <v>5</v>
      </c>
      <c r="CT16" s="76">
        <v>5</v>
      </c>
      <c r="CU16" s="76">
        <v>5</v>
      </c>
      <c r="CV16" s="76">
        <v>5</v>
      </c>
      <c r="CW16" s="76">
        <v>1</v>
      </c>
      <c r="CX16" s="76">
        <v>1</v>
      </c>
      <c r="CY16" s="76">
        <v>5</v>
      </c>
      <c r="CZ16" s="76">
        <v>5</v>
      </c>
      <c r="DA16" s="76">
        <v>5</v>
      </c>
      <c r="DB16" s="76">
        <v>5</v>
      </c>
      <c r="DC16" s="76">
        <v>4</v>
      </c>
      <c r="DD16" s="76">
        <v>5</v>
      </c>
      <c r="DE16" s="76">
        <v>5</v>
      </c>
      <c r="DF16" s="76">
        <v>5</v>
      </c>
      <c r="DG16" s="76">
        <v>5</v>
      </c>
      <c r="DH16" s="76">
        <v>5</v>
      </c>
      <c r="DI16" s="76">
        <v>5</v>
      </c>
      <c r="DJ16" s="76">
        <v>1</v>
      </c>
      <c r="DK16" s="76">
        <v>5</v>
      </c>
      <c r="DL16" s="76">
        <v>3</v>
      </c>
      <c r="DM16" s="76">
        <v>1</v>
      </c>
      <c r="DN16" s="76">
        <f t="shared" si="7"/>
        <v>113</v>
      </c>
      <c r="DO16" s="135">
        <v>25</v>
      </c>
      <c r="DP16" s="39">
        <v>0</v>
      </c>
      <c r="DQ16" s="39">
        <v>0</v>
      </c>
      <c r="DR16" s="39">
        <v>0</v>
      </c>
      <c r="DS16" s="39">
        <v>0</v>
      </c>
      <c r="DT16" s="39">
        <v>0</v>
      </c>
      <c r="DU16" s="39">
        <v>0</v>
      </c>
      <c r="DV16" s="39">
        <v>0</v>
      </c>
      <c r="DW16" s="39">
        <v>0</v>
      </c>
      <c r="DX16" s="39">
        <v>0</v>
      </c>
      <c r="DY16" s="39">
        <v>0</v>
      </c>
      <c r="DZ16" s="39">
        <v>0</v>
      </c>
      <c r="EA16" s="39">
        <v>0</v>
      </c>
      <c r="EB16" s="39">
        <v>0</v>
      </c>
      <c r="EC16" s="39">
        <v>0</v>
      </c>
      <c r="ED16" s="39">
        <v>0</v>
      </c>
      <c r="EE16" s="77">
        <f t="shared" si="31"/>
        <v>0</v>
      </c>
      <c r="EF16" s="77" t="s">
        <v>265</v>
      </c>
      <c r="EG16" s="78">
        <f t="shared" si="8"/>
        <v>0</v>
      </c>
      <c r="EH16" s="39">
        <v>0</v>
      </c>
      <c r="EI16" s="39">
        <v>0</v>
      </c>
      <c r="EJ16" s="39">
        <v>0</v>
      </c>
      <c r="EK16" s="39">
        <v>0</v>
      </c>
      <c r="EL16" s="39">
        <v>0</v>
      </c>
      <c r="EM16" s="39">
        <v>0</v>
      </c>
      <c r="EN16" s="39">
        <v>0</v>
      </c>
      <c r="EO16" s="39">
        <v>0</v>
      </c>
      <c r="EP16" s="39">
        <v>0</v>
      </c>
      <c r="EQ16" s="39">
        <v>0</v>
      </c>
      <c r="ER16" s="39">
        <v>0</v>
      </c>
      <c r="ES16" s="39">
        <v>0</v>
      </c>
      <c r="ET16" s="39">
        <v>0</v>
      </c>
      <c r="EU16" s="39">
        <v>0</v>
      </c>
      <c r="EV16" s="39">
        <v>0</v>
      </c>
      <c r="EW16" s="39">
        <v>0</v>
      </c>
      <c r="EX16" s="39">
        <v>0</v>
      </c>
      <c r="EY16" s="39">
        <v>0</v>
      </c>
      <c r="EZ16" s="39">
        <v>0</v>
      </c>
      <c r="FA16" s="39">
        <v>0</v>
      </c>
      <c r="FB16" s="39">
        <v>0</v>
      </c>
      <c r="FC16" s="39">
        <v>0</v>
      </c>
      <c r="FD16" s="79">
        <f t="shared" si="9"/>
        <v>0</v>
      </c>
      <c r="FE16" s="80">
        <v>1</v>
      </c>
      <c r="FF16" s="39">
        <v>1</v>
      </c>
      <c r="FG16" s="39">
        <v>1</v>
      </c>
      <c r="FH16" s="39">
        <v>1</v>
      </c>
      <c r="FI16" s="39">
        <v>1</v>
      </c>
      <c r="FJ16" s="39">
        <v>1</v>
      </c>
      <c r="FK16" s="39">
        <v>1</v>
      </c>
      <c r="FL16" s="39">
        <v>1</v>
      </c>
      <c r="FM16" s="39">
        <v>1</v>
      </c>
      <c r="FN16" s="81">
        <f t="shared" si="10"/>
        <v>8</v>
      </c>
      <c r="FO16" s="82">
        <v>1</v>
      </c>
      <c r="FP16" s="39">
        <v>10</v>
      </c>
      <c r="FQ16" s="39">
        <v>5</v>
      </c>
      <c r="FR16" s="39">
        <v>10</v>
      </c>
      <c r="FS16" s="39">
        <v>5</v>
      </c>
      <c r="FT16" s="39">
        <v>10</v>
      </c>
      <c r="FU16" s="39">
        <v>10</v>
      </c>
      <c r="FV16" s="39">
        <v>10</v>
      </c>
      <c r="FW16" s="39">
        <v>15</v>
      </c>
      <c r="FX16" s="39">
        <v>15</v>
      </c>
      <c r="FY16" s="39">
        <v>5</v>
      </c>
      <c r="FZ16" s="83">
        <f t="shared" si="11"/>
        <v>95</v>
      </c>
      <c r="GA16" s="84">
        <v>2</v>
      </c>
      <c r="GB16" s="39">
        <v>0.5</v>
      </c>
      <c r="GC16" s="85">
        <v>0.5</v>
      </c>
      <c r="GD16" s="85">
        <v>0.5</v>
      </c>
      <c r="GE16" s="85">
        <v>1</v>
      </c>
      <c r="GF16" s="85">
        <v>0</v>
      </c>
      <c r="GG16" s="85">
        <v>0</v>
      </c>
      <c r="GH16" s="85">
        <v>0</v>
      </c>
      <c r="GI16" s="39">
        <v>0</v>
      </c>
      <c r="GJ16" s="39">
        <v>0</v>
      </c>
      <c r="GK16" s="39">
        <v>0</v>
      </c>
      <c r="GL16" s="39">
        <v>0</v>
      </c>
      <c r="GM16" s="39">
        <v>1</v>
      </c>
      <c r="GN16" s="39">
        <v>0</v>
      </c>
      <c r="GO16" s="39">
        <v>0</v>
      </c>
      <c r="GP16" s="39">
        <v>0</v>
      </c>
      <c r="GQ16" s="39">
        <v>0</v>
      </c>
      <c r="GR16" s="39">
        <v>0</v>
      </c>
      <c r="GS16" s="39">
        <v>1</v>
      </c>
      <c r="GT16" s="39">
        <v>0</v>
      </c>
      <c r="GU16" s="86">
        <f t="shared" si="12"/>
        <v>2</v>
      </c>
      <c r="GV16" s="136" t="s">
        <v>266</v>
      </c>
      <c r="GW16" s="87">
        <v>0</v>
      </c>
      <c r="GX16" s="88" t="s">
        <v>267</v>
      </c>
      <c r="GY16" s="39">
        <v>5</v>
      </c>
      <c r="GZ16" s="39">
        <v>5</v>
      </c>
      <c r="HA16" s="39">
        <v>3</v>
      </c>
      <c r="HB16" s="39">
        <v>1</v>
      </c>
      <c r="HC16" s="39">
        <v>5</v>
      </c>
      <c r="HD16" s="39">
        <v>4</v>
      </c>
      <c r="HE16" s="39"/>
      <c r="HF16" s="39"/>
      <c r="HG16" s="39">
        <v>3</v>
      </c>
      <c r="HH16" s="39">
        <v>7</v>
      </c>
      <c r="HI16" s="39">
        <v>7</v>
      </c>
      <c r="HJ16" s="39"/>
      <c r="HK16" s="39">
        <v>4</v>
      </c>
      <c r="HL16" s="39">
        <v>6</v>
      </c>
      <c r="HM16" s="39">
        <v>6</v>
      </c>
      <c r="HN16" s="39">
        <v>1</v>
      </c>
      <c r="HO16" s="39">
        <v>3</v>
      </c>
      <c r="HP16" s="39">
        <v>1</v>
      </c>
      <c r="HQ16" s="39">
        <v>2</v>
      </c>
      <c r="HR16" s="39">
        <v>1</v>
      </c>
      <c r="HS16" s="39">
        <v>1</v>
      </c>
      <c r="HT16" s="39">
        <v>2</v>
      </c>
      <c r="HU16" s="39">
        <v>4</v>
      </c>
      <c r="HV16" s="39">
        <v>1</v>
      </c>
      <c r="HW16" s="39">
        <v>1</v>
      </c>
      <c r="HX16" s="39">
        <v>2</v>
      </c>
      <c r="HY16" s="39">
        <v>4</v>
      </c>
      <c r="HZ16" s="39">
        <v>4</v>
      </c>
      <c r="IA16" s="39">
        <v>2</v>
      </c>
      <c r="IB16" s="39">
        <v>7</v>
      </c>
      <c r="IC16" s="39"/>
      <c r="ID16" s="55">
        <f t="shared" ref="ID16:IG16" si="68">SUM(GY16)</f>
        <v>5</v>
      </c>
      <c r="IE16" s="55">
        <f t="shared" si="68"/>
        <v>5</v>
      </c>
      <c r="IF16" s="55">
        <f t="shared" si="68"/>
        <v>3</v>
      </c>
      <c r="IG16" s="55">
        <f t="shared" si="68"/>
        <v>1</v>
      </c>
      <c r="IH16" s="55">
        <f t="shared" si="14"/>
        <v>9</v>
      </c>
      <c r="II16" s="55">
        <f t="shared" si="15"/>
        <v>3</v>
      </c>
      <c r="IJ16" s="55">
        <f t="shared" si="16"/>
        <v>14</v>
      </c>
      <c r="IK16" s="55">
        <f t="shared" ref="IK16:IQ16" si="69">SUM(HK16)</f>
        <v>4</v>
      </c>
      <c r="IL16" s="55">
        <f t="shared" si="69"/>
        <v>6</v>
      </c>
      <c r="IM16" s="55">
        <f t="shared" si="69"/>
        <v>6</v>
      </c>
      <c r="IN16" s="55">
        <f t="shared" si="69"/>
        <v>1</v>
      </c>
      <c r="IO16" s="55">
        <f t="shared" si="69"/>
        <v>3</v>
      </c>
      <c r="IP16" s="55">
        <f t="shared" si="69"/>
        <v>1</v>
      </c>
      <c r="IQ16" s="55">
        <f t="shared" si="69"/>
        <v>2</v>
      </c>
      <c r="IR16" s="55">
        <f t="shared" si="18"/>
        <v>2</v>
      </c>
      <c r="IS16" s="55">
        <f t="shared" ref="IS16:JB16" si="70">SUM(HT16)</f>
        <v>2</v>
      </c>
      <c r="IT16" s="55">
        <f t="shared" si="70"/>
        <v>4</v>
      </c>
      <c r="IU16" s="55">
        <f t="shared" si="70"/>
        <v>1</v>
      </c>
      <c r="IV16" s="55">
        <f t="shared" si="70"/>
        <v>1</v>
      </c>
      <c r="IW16" s="55">
        <f t="shared" si="70"/>
        <v>2</v>
      </c>
      <c r="IX16" s="55">
        <f t="shared" si="70"/>
        <v>4</v>
      </c>
      <c r="IY16" s="55">
        <f t="shared" si="70"/>
        <v>4</v>
      </c>
      <c r="IZ16" s="55">
        <f t="shared" si="70"/>
        <v>2</v>
      </c>
      <c r="JA16" s="55">
        <f t="shared" si="70"/>
        <v>7</v>
      </c>
      <c r="JB16" s="55">
        <f t="shared" si="70"/>
        <v>0</v>
      </c>
      <c r="JC16" s="89">
        <f t="shared" si="20"/>
        <v>91</v>
      </c>
      <c r="JD16" s="90">
        <v>1</v>
      </c>
      <c r="JE16" s="137">
        <v>1</v>
      </c>
      <c r="JF16" s="138">
        <v>12</v>
      </c>
      <c r="JG16" s="138">
        <v>2</v>
      </c>
      <c r="JH16" s="39">
        <v>2</v>
      </c>
      <c r="JI16" s="39">
        <v>2</v>
      </c>
      <c r="JJ16" s="39">
        <v>2</v>
      </c>
      <c r="JK16" s="39">
        <v>2</v>
      </c>
      <c r="JL16" s="39">
        <v>1</v>
      </c>
      <c r="JM16" s="39">
        <v>0</v>
      </c>
      <c r="JN16" s="39">
        <v>0</v>
      </c>
      <c r="JO16" s="39">
        <v>0</v>
      </c>
      <c r="JP16" s="89">
        <f t="shared" si="21"/>
        <v>9</v>
      </c>
      <c r="JQ16" s="39">
        <v>2</v>
      </c>
      <c r="JR16" s="39">
        <v>2</v>
      </c>
      <c r="JS16" s="39">
        <v>1</v>
      </c>
      <c r="JT16" s="39">
        <v>0</v>
      </c>
      <c r="JU16" s="39">
        <v>0</v>
      </c>
      <c r="JV16" s="39">
        <v>0</v>
      </c>
      <c r="JW16" s="39">
        <v>0</v>
      </c>
      <c r="JX16" s="92">
        <f t="shared" si="22"/>
        <v>5</v>
      </c>
      <c r="JY16" s="93">
        <f t="shared" si="23"/>
        <v>14</v>
      </c>
      <c r="JZ16" s="39">
        <v>3</v>
      </c>
      <c r="KA16" s="39">
        <v>3</v>
      </c>
      <c r="KB16" s="39">
        <v>0</v>
      </c>
      <c r="KC16" s="39">
        <v>0</v>
      </c>
      <c r="KD16" s="39">
        <v>0</v>
      </c>
      <c r="KE16" s="39">
        <v>0</v>
      </c>
      <c r="KF16" s="39">
        <v>0</v>
      </c>
      <c r="KG16" s="94">
        <f t="shared" si="24"/>
        <v>6</v>
      </c>
      <c r="KH16" s="134" t="s">
        <v>346</v>
      </c>
      <c r="KI16" s="39">
        <v>0</v>
      </c>
      <c r="KJ16" s="39">
        <v>2</v>
      </c>
      <c r="KK16" s="39">
        <v>0</v>
      </c>
      <c r="KL16" s="134" t="s">
        <v>347</v>
      </c>
      <c r="KM16" s="39">
        <v>2</v>
      </c>
      <c r="KN16" s="39">
        <v>0</v>
      </c>
      <c r="KO16" s="39">
        <v>0</v>
      </c>
      <c r="KP16" s="134" t="s">
        <v>348</v>
      </c>
      <c r="KQ16" s="39">
        <v>0</v>
      </c>
      <c r="KR16" s="39">
        <v>2</v>
      </c>
      <c r="KS16" s="39">
        <v>0</v>
      </c>
      <c r="KT16" s="134" t="s">
        <v>349</v>
      </c>
      <c r="KU16" s="39">
        <v>0</v>
      </c>
      <c r="KV16" s="39">
        <v>2</v>
      </c>
      <c r="KW16" s="39">
        <v>0</v>
      </c>
      <c r="KX16" s="134" t="s">
        <v>350</v>
      </c>
      <c r="KY16" s="39">
        <v>0</v>
      </c>
      <c r="KZ16" s="39">
        <v>2</v>
      </c>
      <c r="LA16" s="39">
        <v>0</v>
      </c>
      <c r="LB16" s="134" t="s">
        <v>351</v>
      </c>
      <c r="LC16" s="39">
        <v>0</v>
      </c>
      <c r="LD16" s="39">
        <v>2</v>
      </c>
      <c r="LE16" s="39">
        <v>0</v>
      </c>
      <c r="LF16" s="134" t="s">
        <v>352</v>
      </c>
      <c r="LG16" s="39">
        <v>0</v>
      </c>
      <c r="LH16" s="39">
        <v>2</v>
      </c>
      <c r="LI16" s="39">
        <v>0</v>
      </c>
      <c r="LJ16" s="134" t="s">
        <v>353</v>
      </c>
      <c r="LK16" s="39">
        <v>0</v>
      </c>
      <c r="LL16" s="39">
        <v>2</v>
      </c>
      <c r="LM16" s="39">
        <v>0</v>
      </c>
      <c r="LN16" s="96">
        <f t="shared" si="25"/>
        <v>14</v>
      </c>
      <c r="LO16" s="97">
        <f t="shared" si="26"/>
        <v>0</v>
      </c>
      <c r="LP16" s="97">
        <f t="shared" si="27"/>
        <v>34</v>
      </c>
    </row>
    <row r="17" spans="1:328" s="98" customFormat="1" ht="13.8">
      <c r="A17" s="55" t="s">
        <v>604</v>
      </c>
      <c r="B17" s="110">
        <v>45952</v>
      </c>
      <c r="C17" s="61">
        <v>9</v>
      </c>
      <c r="D17" s="62" t="s">
        <v>763</v>
      </c>
      <c r="E17" s="62"/>
      <c r="F17" s="61">
        <v>1</v>
      </c>
      <c r="G17" s="61">
        <v>1</v>
      </c>
      <c r="H17" s="61">
        <v>1</v>
      </c>
      <c r="I17" s="164">
        <v>6</v>
      </c>
      <c r="J17" s="164">
        <v>4</v>
      </c>
      <c r="K17" s="63">
        <v>0.15625</v>
      </c>
      <c r="L17" s="63">
        <v>8.2638888888888887E-2</v>
      </c>
      <c r="M17" s="63">
        <v>6.3194444444444442E-2</v>
      </c>
      <c r="N17" s="64" t="s">
        <v>1040</v>
      </c>
      <c r="O17" s="101" t="s">
        <v>991</v>
      </c>
      <c r="P17" s="111" t="s">
        <v>611</v>
      </c>
      <c r="Q17" s="95">
        <v>1</v>
      </c>
      <c r="R17" s="112">
        <v>21734</v>
      </c>
      <c r="S17" s="111">
        <v>66</v>
      </c>
      <c r="T17" s="111" t="s">
        <v>259</v>
      </c>
      <c r="U17" s="111" t="s">
        <v>287</v>
      </c>
      <c r="V17" s="111">
        <v>987810861</v>
      </c>
      <c r="W17" s="111" t="s">
        <v>595</v>
      </c>
      <c r="X17" s="111" t="s">
        <v>596</v>
      </c>
      <c r="Y17" s="111" t="s">
        <v>277</v>
      </c>
      <c r="Z17" s="111" t="s">
        <v>262</v>
      </c>
      <c r="AA17" s="111" t="s">
        <v>354</v>
      </c>
      <c r="AB17" s="111" t="s">
        <v>264</v>
      </c>
      <c r="AC17" s="111" t="s">
        <v>597</v>
      </c>
      <c r="AD17" s="111" t="s">
        <v>597</v>
      </c>
      <c r="AE17" s="111" t="s">
        <v>602</v>
      </c>
      <c r="AF17" s="111" t="s">
        <v>599</v>
      </c>
      <c r="AG17" s="111" t="s">
        <v>612</v>
      </c>
      <c r="AH17" s="111" t="s">
        <v>599</v>
      </c>
      <c r="AI17" s="111" t="s">
        <v>599</v>
      </c>
      <c r="AJ17" s="112">
        <v>43837</v>
      </c>
      <c r="AK17" s="97"/>
      <c r="AL17" s="115">
        <v>1</v>
      </c>
      <c r="AM17" s="115">
        <v>1</v>
      </c>
      <c r="AN17" s="115">
        <v>1</v>
      </c>
      <c r="AO17" s="115">
        <v>1</v>
      </c>
      <c r="AP17" s="115">
        <v>1</v>
      </c>
      <c r="AQ17" s="115">
        <v>1</v>
      </c>
      <c r="AR17" s="115">
        <v>1</v>
      </c>
      <c r="AS17" s="115">
        <v>1</v>
      </c>
      <c r="AT17" s="70">
        <f t="shared" si="0"/>
        <v>8</v>
      </c>
      <c r="AU17" s="71">
        <v>1</v>
      </c>
      <c r="AV17" s="71">
        <v>1</v>
      </c>
      <c r="AW17" s="71">
        <v>1</v>
      </c>
      <c r="AX17" s="71">
        <v>1</v>
      </c>
      <c r="AY17" s="70">
        <f t="shared" si="1"/>
        <v>4</v>
      </c>
      <c r="AZ17" s="69">
        <v>1</v>
      </c>
      <c r="BA17" s="69">
        <v>1</v>
      </c>
      <c r="BB17" s="69">
        <v>1</v>
      </c>
      <c r="BC17" s="69">
        <v>1</v>
      </c>
      <c r="BD17" s="69">
        <v>1</v>
      </c>
      <c r="BE17" s="69">
        <v>1</v>
      </c>
      <c r="BF17" s="69">
        <v>1</v>
      </c>
      <c r="BG17" s="69">
        <v>1</v>
      </c>
      <c r="BH17" s="70">
        <f t="shared" si="2"/>
        <v>8</v>
      </c>
      <c r="BI17" s="69">
        <v>1</v>
      </c>
      <c r="BJ17" s="69">
        <v>1</v>
      </c>
      <c r="BK17" s="70">
        <f t="shared" si="3"/>
        <v>2</v>
      </c>
      <c r="BL17" s="72">
        <v>1</v>
      </c>
      <c r="BM17" s="72">
        <v>1</v>
      </c>
      <c r="BN17" s="72">
        <v>1</v>
      </c>
      <c r="BO17" s="72">
        <v>1</v>
      </c>
      <c r="BP17" s="72">
        <v>1</v>
      </c>
      <c r="BQ17" s="72">
        <v>1</v>
      </c>
      <c r="BR17" s="72">
        <v>1</v>
      </c>
      <c r="BS17" s="72">
        <v>1</v>
      </c>
      <c r="BT17" s="70">
        <f t="shared" si="4"/>
        <v>7</v>
      </c>
      <c r="BU17" s="70">
        <f t="shared" si="5"/>
        <v>29</v>
      </c>
      <c r="BV17" s="73">
        <v>5</v>
      </c>
      <c r="BW17" s="73">
        <v>5</v>
      </c>
      <c r="BX17" s="73">
        <v>5</v>
      </c>
      <c r="BY17" s="73">
        <v>1</v>
      </c>
      <c r="BZ17" s="105">
        <v>5</v>
      </c>
      <c r="CA17" s="73">
        <v>3</v>
      </c>
      <c r="CB17" s="105">
        <v>5</v>
      </c>
      <c r="CC17" s="73">
        <v>5</v>
      </c>
      <c r="CD17" s="73">
        <v>2</v>
      </c>
      <c r="CE17" s="73">
        <v>3</v>
      </c>
      <c r="CF17" s="73">
        <v>3</v>
      </c>
      <c r="CG17" s="73">
        <v>5</v>
      </c>
      <c r="CH17" s="74">
        <v>5</v>
      </c>
      <c r="CI17" s="73">
        <v>5</v>
      </c>
      <c r="CJ17" s="73">
        <v>3</v>
      </c>
      <c r="CK17" s="75">
        <f t="shared" si="6"/>
        <v>60</v>
      </c>
      <c r="CL17" s="76">
        <v>5</v>
      </c>
      <c r="CM17" s="76">
        <v>1</v>
      </c>
      <c r="CN17" s="76">
        <v>5</v>
      </c>
      <c r="CO17" s="76">
        <v>5</v>
      </c>
      <c r="CP17" s="76">
        <v>5</v>
      </c>
      <c r="CQ17" s="106">
        <v>5</v>
      </c>
      <c r="CR17" s="76">
        <v>1</v>
      </c>
      <c r="CS17" s="76">
        <v>5</v>
      </c>
      <c r="CT17" s="76">
        <v>5</v>
      </c>
      <c r="CU17" s="76">
        <v>5</v>
      </c>
      <c r="CV17" s="76">
        <v>5</v>
      </c>
      <c r="CW17" s="76">
        <v>1</v>
      </c>
      <c r="CX17" s="76">
        <v>1</v>
      </c>
      <c r="CY17" s="76">
        <v>5</v>
      </c>
      <c r="CZ17" s="76">
        <v>5</v>
      </c>
      <c r="DA17" s="76">
        <v>5</v>
      </c>
      <c r="DB17" s="76">
        <v>5</v>
      </c>
      <c r="DC17" s="76">
        <v>4</v>
      </c>
      <c r="DD17" s="76">
        <v>5</v>
      </c>
      <c r="DE17" s="76">
        <v>5</v>
      </c>
      <c r="DF17" s="76">
        <v>5</v>
      </c>
      <c r="DG17" s="76">
        <v>5</v>
      </c>
      <c r="DH17" s="76">
        <v>5</v>
      </c>
      <c r="DI17" s="76">
        <v>5</v>
      </c>
      <c r="DJ17" s="76">
        <v>1</v>
      </c>
      <c r="DK17" s="76">
        <v>5</v>
      </c>
      <c r="DL17" s="76">
        <v>3</v>
      </c>
      <c r="DM17" s="76">
        <v>1</v>
      </c>
      <c r="DN17" s="76">
        <f t="shared" si="7"/>
        <v>113</v>
      </c>
      <c r="DO17" s="118">
        <v>29</v>
      </c>
      <c r="DP17" s="97">
        <v>0</v>
      </c>
      <c r="DQ17" s="97">
        <v>0</v>
      </c>
      <c r="DR17" s="97">
        <v>0</v>
      </c>
      <c r="DS17" s="97">
        <v>0</v>
      </c>
      <c r="DT17" s="97">
        <v>0</v>
      </c>
      <c r="DU17" s="97">
        <v>0</v>
      </c>
      <c r="DV17" s="97">
        <v>0</v>
      </c>
      <c r="DW17" s="97">
        <v>0</v>
      </c>
      <c r="DX17" s="97">
        <v>0</v>
      </c>
      <c r="DY17" s="97">
        <v>0</v>
      </c>
      <c r="DZ17" s="97">
        <v>0</v>
      </c>
      <c r="EA17" s="97">
        <v>0</v>
      </c>
      <c r="EB17" s="97">
        <v>0</v>
      </c>
      <c r="EC17" s="97">
        <v>0</v>
      </c>
      <c r="ED17" s="97">
        <v>0</v>
      </c>
      <c r="EE17" s="77">
        <f t="shared" si="31"/>
        <v>0</v>
      </c>
      <c r="EF17" s="77" t="s">
        <v>265</v>
      </c>
      <c r="EG17" s="78">
        <f t="shared" si="8"/>
        <v>0</v>
      </c>
      <c r="EH17" s="97">
        <v>0</v>
      </c>
      <c r="EI17" s="97">
        <v>0</v>
      </c>
      <c r="EJ17" s="97">
        <v>0</v>
      </c>
      <c r="EK17" s="97">
        <v>0</v>
      </c>
      <c r="EL17" s="97">
        <v>0</v>
      </c>
      <c r="EM17" s="97">
        <v>0</v>
      </c>
      <c r="EN17" s="97">
        <v>0</v>
      </c>
      <c r="EO17" s="97">
        <v>0.5</v>
      </c>
      <c r="EP17" s="97">
        <v>1</v>
      </c>
      <c r="EQ17" s="97">
        <v>0</v>
      </c>
      <c r="ER17" s="97">
        <v>0</v>
      </c>
      <c r="ES17" s="97">
        <v>0</v>
      </c>
      <c r="ET17" s="97">
        <v>0</v>
      </c>
      <c r="EU17" s="97">
        <v>0</v>
      </c>
      <c r="EV17" s="97">
        <v>0</v>
      </c>
      <c r="EW17" s="97">
        <v>0</v>
      </c>
      <c r="EX17" s="97">
        <v>0</v>
      </c>
      <c r="EY17" s="97">
        <v>0</v>
      </c>
      <c r="EZ17" s="97">
        <v>0</v>
      </c>
      <c r="FA17" s="97">
        <v>0</v>
      </c>
      <c r="FB17" s="97">
        <v>0</v>
      </c>
      <c r="FC17" s="97">
        <v>0</v>
      </c>
      <c r="FD17" s="79">
        <f t="shared" si="9"/>
        <v>1.5</v>
      </c>
      <c r="FE17" s="80">
        <v>1</v>
      </c>
      <c r="FF17" s="97">
        <v>1</v>
      </c>
      <c r="FG17" s="97">
        <v>1</v>
      </c>
      <c r="FH17" s="97">
        <v>1</v>
      </c>
      <c r="FI17" s="97">
        <v>1</v>
      </c>
      <c r="FJ17" s="97">
        <v>1</v>
      </c>
      <c r="FK17" s="97">
        <v>1</v>
      </c>
      <c r="FL17" s="97">
        <v>1</v>
      </c>
      <c r="FM17" s="97">
        <v>1</v>
      </c>
      <c r="FN17" s="81">
        <f t="shared" si="10"/>
        <v>8</v>
      </c>
      <c r="FO17" s="82">
        <v>1</v>
      </c>
      <c r="FP17" s="97">
        <v>10</v>
      </c>
      <c r="FQ17" s="97">
        <v>5</v>
      </c>
      <c r="FR17" s="97">
        <v>10</v>
      </c>
      <c r="FS17" s="97">
        <v>5</v>
      </c>
      <c r="FT17" s="97">
        <v>10</v>
      </c>
      <c r="FU17" s="97">
        <v>10</v>
      </c>
      <c r="FV17" s="97">
        <v>10</v>
      </c>
      <c r="FW17" s="97">
        <v>15</v>
      </c>
      <c r="FX17" s="97">
        <v>15</v>
      </c>
      <c r="FY17" s="97">
        <v>10</v>
      </c>
      <c r="FZ17" s="83">
        <f t="shared" si="11"/>
        <v>100</v>
      </c>
      <c r="GA17" s="84">
        <v>1</v>
      </c>
      <c r="GB17" s="55">
        <v>0</v>
      </c>
      <c r="GC17" s="85">
        <v>0</v>
      </c>
      <c r="GD17" s="85">
        <v>0</v>
      </c>
      <c r="GE17" s="85">
        <v>0</v>
      </c>
      <c r="GF17" s="85">
        <v>0</v>
      </c>
      <c r="GG17" s="85">
        <v>0</v>
      </c>
      <c r="GH17" s="85">
        <v>0</v>
      </c>
      <c r="GI17" s="97">
        <v>0</v>
      </c>
      <c r="GJ17" s="97">
        <v>0</v>
      </c>
      <c r="GK17" s="97">
        <v>0</v>
      </c>
      <c r="GL17" s="97">
        <v>0</v>
      </c>
      <c r="GM17" s="97">
        <v>0</v>
      </c>
      <c r="GN17" s="97">
        <v>0</v>
      </c>
      <c r="GO17" s="97">
        <v>0</v>
      </c>
      <c r="GP17" s="97">
        <v>0</v>
      </c>
      <c r="GQ17" s="97">
        <v>0</v>
      </c>
      <c r="GR17" s="97">
        <v>0</v>
      </c>
      <c r="GS17" s="97">
        <v>3</v>
      </c>
      <c r="GT17" s="97">
        <v>0</v>
      </c>
      <c r="GU17" s="86">
        <f t="shared" si="12"/>
        <v>3</v>
      </c>
      <c r="GV17" s="87" t="s">
        <v>266</v>
      </c>
      <c r="GW17" s="87">
        <v>0</v>
      </c>
      <c r="GX17" s="88" t="s">
        <v>267</v>
      </c>
      <c r="GY17" s="55">
        <v>5</v>
      </c>
      <c r="GZ17" s="55">
        <v>5</v>
      </c>
      <c r="HA17" s="55">
        <v>3</v>
      </c>
      <c r="HB17" s="55">
        <v>1</v>
      </c>
      <c r="HC17" s="55">
        <v>4</v>
      </c>
      <c r="HD17" s="55">
        <v>5</v>
      </c>
      <c r="HE17" s="55"/>
      <c r="HF17" s="55"/>
      <c r="HG17" s="55">
        <v>3</v>
      </c>
      <c r="HH17" s="55">
        <v>7</v>
      </c>
      <c r="HI17" s="55">
        <v>7</v>
      </c>
      <c r="HJ17" s="55"/>
      <c r="HK17" s="55">
        <v>2</v>
      </c>
      <c r="HL17" s="55">
        <v>7</v>
      </c>
      <c r="HM17" s="55">
        <v>7</v>
      </c>
      <c r="HN17" s="55">
        <v>1</v>
      </c>
      <c r="HO17" s="55">
        <v>3</v>
      </c>
      <c r="HP17" s="55">
        <v>1</v>
      </c>
      <c r="HQ17" s="55">
        <v>2</v>
      </c>
      <c r="HR17" s="55">
        <v>1</v>
      </c>
      <c r="HS17" s="55">
        <v>1</v>
      </c>
      <c r="HT17" s="55">
        <v>2</v>
      </c>
      <c r="HU17" s="55">
        <v>4</v>
      </c>
      <c r="HV17" s="55">
        <v>1</v>
      </c>
      <c r="HW17" s="55">
        <v>1</v>
      </c>
      <c r="HX17" s="55">
        <v>2</v>
      </c>
      <c r="HY17" s="55">
        <v>5</v>
      </c>
      <c r="HZ17" s="55">
        <v>4</v>
      </c>
      <c r="IA17" s="55">
        <v>4</v>
      </c>
      <c r="IB17" s="55">
        <v>7</v>
      </c>
      <c r="IC17" s="55"/>
      <c r="ID17" s="55">
        <f t="shared" ref="ID17:IG17" si="71">SUM(GY17)</f>
        <v>5</v>
      </c>
      <c r="IE17" s="55">
        <f t="shared" si="71"/>
        <v>5</v>
      </c>
      <c r="IF17" s="55">
        <f t="shared" si="71"/>
        <v>3</v>
      </c>
      <c r="IG17" s="55">
        <f t="shared" si="71"/>
        <v>1</v>
      </c>
      <c r="IH17" s="55">
        <f t="shared" si="14"/>
        <v>9</v>
      </c>
      <c r="II17" s="55">
        <f t="shared" si="15"/>
        <v>3</v>
      </c>
      <c r="IJ17" s="55">
        <f t="shared" si="16"/>
        <v>14</v>
      </c>
      <c r="IK17" s="55">
        <f t="shared" ref="IK17:IQ17" si="72">SUM(HK17)</f>
        <v>2</v>
      </c>
      <c r="IL17" s="55">
        <f t="shared" si="72"/>
        <v>7</v>
      </c>
      <c r="IM17" s="55">
        <f t="shared" si="72"/>
        <v>7</v>
      </c>
      <c r="IN17" s="55">
        <f t="shared" si="72"/>
        <v>1</v>
      </c>
      <c r="IO17" s="55">
        <f t="shared" si="72"/>
        <v>3</v>
      </c>
      <c r="IP17" s="55">
        <f t="shared" si="72"/>
        <v>1</v>
      </c>
      <c r="IQ17" s="55">
        <f t="shared" si="72"/>
        <v>2</v>
      </c>
      <c r="IR17" s="55">
        <f t="shared" si="18"/>
        <v>2</v>
      </c>
      <c r="IS17" s="55">
        <f t="shared" ref="IS17:JB17" si="73">SUM(HT17)</f>
        <v>2</v>
      </c>
      <c r="IT17" s="55">
        <f t="shared" si="73"/>
        <v>4</v>
      </c>
      <c r="IU17" s="55">
        <f t="shared" si="73"/>
        <v>1</v>
      </c>
      <c r="IV17" s="55">
        <f t="shared" si="73"/>
        <v>1</v>
      </c>
      <c r="IW17" s="55">
        <f t="shared" si="73"/>
        <v>2</v>
      </c>
      <c r="IX17" s="55">
        <f t="shared" si="73"/>
        <v>5</v>
      </c>
      <c r="IY17" s="55">
        <f t="shared" si="73"/>
        <v>4</v>
      </c>
      <c r="IZ17" s="55">
        <f t="shared" si="73"/>
        <v>4</v>
      </c>
      <c r="JA17" s="55">
        <f t="shared" si="73"/>
        <v>7</v>
      </c>
      <c r="JB17" s="55">
        <f t="shared" si="73"/>
        <v>0</v>
      </c>
      <c r="JC17" s="89">
        <f t="shared" si="20"/>
        <v>94</v>
      </c>
      <c r="JD17" s="90">
        <v>1</v>
      </c>
      <c r="JE17" s="90"/>
      <c r="JF17" s="91">
        <v>54</v>
      </c>
      <c r="JG17" s="91">
        <v>2</v>
      </c>
      <c r="JH17" s="97">
        <v>2</v>
      </c>
      <c r="JI17" s="97">
        <v>2</v>
      </c>
      <c r="JJ17" s="97">
        <v>2</v>
      </c>
      <c r="JK17" s="97">
        <v>2</v>
      </c>
      <c r="JL17" s="97">
        <v>2</v>
      </c>
      <c r="JM17" s="97">
        <v>1</v>
      </c>
      <c r="JN17" s="97">
        <v>0</v>
      </c>
      <c r="JO17" s="97">
        <v>0</v>
      </c>
      <c r="JP17" s="89">
        <f t="shared" si="21"/>
        <v>11</v>
      </c>
      <c r="JQ17" s="97">
        <v>2</v>
      </c>
      <c r="JR17" s="97">
        <v>2</v>
      </c>
      <c r="JS17" s="97">
        <v>0</v>
      </c>
      <c r="JT17" s="97">
        <v>0</v>
      </c>
      <c r="JU17" s="97">
        <v>0</v>
      </c>
      <c r="JV17" s="97">
        <v>0</v>
      </c>
      <c r="JW17" s="97">
        <v>0</v>
      </c>
      <c r="JX17" s="92">
        <f t="shared" si="22"/>
        <v>4</v>
      </c>
      <c r="JY17" s="93">
        <f t="shared" si="23"/>
        <v>15</v>
      </c>
      <c r="JZ17" s="97">
        <v>3</v>
      </c>
      <c r="KA17" s="97">
        <v>3</v>
      </c>
      <c r="KB17" s="97">
        <v>1</v>
      </c>
      <c r="KC17" s="97">
        <v>0</v>
      </c>
      <c r="KD17" s="97">
        <v>0</v>
      </c>
      <c r="KE17" s="97">
        <v>0</v>
      </c>
      <c r="KF17" s="97">
        <v>0</v>
      </c>
      <c r="KG17" s="94">
        <f t="shared" si="24"/>
        <v>7</v>
      </c>
      <c r="KH17" s="95" t="s">
        <v>355</v>
      </c>
      <c r="KI17" s="97">
        <v>0</v>
      </c>
      <c r="KJ17" s="97">
        <v>2</v>
      </c>
      <c r="KK17" s="55">
        <v>0</v>
      </c>
      <c r="KL17" s="139">
        <v>45879</v>
      </c>
      <c r="KM17" s="97">
        <v>0</v>
      </c>
      <c r="KN17" s="97">
        <v>2</v>
      </c>
      <c r="KO17" s="55">
        <v>0</v>
      </c>
      <c r="KP17" s="95" t="s">
        <v>356</v>
      </c>
      <c r="KQ17" s="97">
        <v>0</v>
      </c>
      <c r="KR17" s="97">
        <v>2</v>
      </c>
      <c r="KS17" s="97">
        <v>1</v>
      </c>
      <c r="KT17" s="95" t="s">
        <v>357</v>
      </c>
      <c r="KU17" s="97">
        <v>0</v>
      </c>
      <c r="KV17" s="97">
        <v>2</v>
      </c>
      <c r="KW17" s="55">
        <v>0</v>
      </c>
      <c r="KX17" s="95" t="s">
        <v>358</v>
      </c>
      <c r="KY17" s="97">
        <v>0</v>
      </c>
      <c r="KZ17" s="97">
        <v>2</v>
      </c>
      <c r="LA17" s="55">
        <v>0</v>
      </c>
      <c r="LB17" s="95" t="s">
        <v>359</v>
      </c>
      <c r="LC17" s="97">
        <v>0</v>
      </c>
      <c r="LD17" s="97">
        <v>2</v>
      </c>
      <c r="LE17" s="97">
        <v>2</v>
      </c>
      <c r="LF17" s="95" t="s">
        <v>360</v>
      </c>
      <c r="LG17" s="97">
        <v>2</v>
      </c>
      <c r="LH17" s="97">
        <v>0</v>
      </c>
      <c r="LI17" s="97">
        <v>1</v>
      </c>
      <c r="LJ17" s="95" t="s">
        <v>361</v>
      </c>
      <c r="LK17" s="97">
        <v>2</v>
      </c>
      <c r="LL17" s="97">
        <v>0</v>
      </c>
      <c r="LM17" s="97">
        <v>1</v>
      </c>
      <c r="LN17" s="96">
        <f t="shared" si="25"/>
        <v>17</v>
      </c>
      <c r="LO17" s="97">
        <f t="shared" si="26"/>
        <v>5</v>
      </c>
      <c r="LP17" s="97">
        <f t="shared" si="27"/>
        <v>39</v>
      </c>
    </row>
    <row r="18" spans="1:328" s="98" customFormat="1" ht="13.8">
      <c r="A18" s="99" t="s">
        <v>613</v>
      </c>
      <c r="B18" s="117"/>
      <c r="C18" s="117">
        <v>67</v>
      </c>
      <c r="D18" s="49" t="s">
        <v>763</v>
      </c>
      <c r="E18" s="49"/>
      <c r="F18" s="40">
        <v>1</v>
      </c>
      <c r="G18" s="40">
        <v>1</v>
      </c>
      <c r="H18" s="40">
        <v>1</v>
      </c>
      <c r="I18" s="164">
        <v>4</v>
      </c>
      <c r="J18" s="164">
        <v>2</v>
      </c>
      <c r="K18" s="63">
        <v>0.11458333333333333</v>
      </c>
      <c r="L18" s="63">
        <v>6.25E-2</v>
      </c>
      <c r="M18" s="63">
        <v>2.5694444444444443E-2</v>
      </c>
      <c r="N18" s="64" t="s">
        <v>1041</v>
      </c>
      <c r="O18" s="101" t="s">
        <v>992</v>
      </c>
      <c r="P18" s="95" t="s">
        <v>739</v>
      </c>
      <c r="Q18" s="95">
        <v>1</v>
      </c>
      <c r="R18" s="125">
        <v>16810</v>
      </c>
      <c r="S18" s="95">
        <v>79</v>
      </c>
      <c r="T18" s="95" t="s">
        <v>259</v>
      </c>
      <c r="U18" s="95" t="s">
        <v>287</v>
      </c>
      <c r="V18" s="95">
        <v>2807078</v>
      </c>
      <c r="W18" s="95" t="s">
        <v>624</v>
      </c>
      <c r="X18" s="95" t="s">
        <v>596</v>
      </c>
      <c r="Y18" s="95" t="s">
        <v>288</v>
      </c>
      <c r="Z18" s="95" t="s">
        <v>262</v>
      </c>
      <c r="AA18" s="95" t="s">
        <v>362</v>
      </c>
      <c r="AB18" s="95" t="s">
        <v>264</v>
      </c>
      <c r="AC18" s="95" t="s">
        <v>597</v>
      </c>
      <c r="AD18" s="95" t="s">
        <v>597</v>
      </c>
      <c r="AE18" s="95" t="s">
        <v>740</v>
      </c>
      <c r="AF18" s="95" t="s">
        <v>597</v>
      </c>
      <c r="AG18" s="95" t="s">
        <v>602</v>
      </c>
      <c r="AH18" s="95" t="s">
        <v>599</v>
      </c>
      <c r="AI18" s="95" t="s">
        <v>599</v>
      </c>
      <c r="AJ18" s="125">
        <v>42005</v>
      </c>
      <c r="AK18" s="97"/>
      <c r="AL18" s="115">
        <v>1</v>
      </c>
      <c r="AM18" s="115">
        <v>1</v>
      </c>
      <c r="AN18" s="115">
        <v>1</v>
      </c>
      <c r="AO18" s="115">
        <v>1</v>
      </c>
      <c r="AP18" s="115">
        <v>1</v>
      </c>
      <c r="AQ18" s="115">
        <v>1</v>
      </c>
      <c r="AR18" s="115">
        <v>1</v>
      </c>
      <c r="AS18" s="115">
        <v>1</v>
      </c>
      <c r="AT18" s="70">
        <f t="shared" si="0"/>
        <v>8</v>
      </c>
      <c r="AU18" s="71">
        <v>1</v>
      </c>
      <c r="AV18" s="71">
        <v>1</v>
      </c>
      <c r="AW18" s="71">
        <v>1</v>
      </c>
      <c r="AX18" s="71">
        <v>1</v>
      </c>
      <c r="AY18" s="70">
        <f t="shared" si="1"/>
        <v>4</v>
      </c>
      <c r="AZ18" s="115">
        <v>0</v>
      </c>
      <c r="BA18" s="115">
        <v>0</v>
      </c>
      <c r="BB18" s="115">
        <v>0</v>
      </c>
      <c r="BC18" s="115">
        <v>0</v>
      </c>
      <c r="BD18" s="115">
        <v>0</v>
      </c>
      <c r="BE18" s="115">
        <v>1</v>
      </c>
      <c r="BF18" s="115">
        <v>0</v>
      </c>
      <c r="BG18" s="115">
        <v>0</v>
      </c>
      <c r="BH18" s="70">
        <f t="shared" si="2"/>
        <v>1</v>
      </c>
      <c r="BI18" s="69">
        <v>0</v>
      </c>
      <c r="BJ18" s="69">
        <v>0</v>
      </c>
      <c r="BK18" s="70">
        <f t="shared" si="3"/>
        <v>0</v>
      </c>
      <c r="BL18" s="92">
        <v>1</v>
      </c>
      <c r="BM18" s="72">
        <v>0</v>
      </c>
      <c r="BN18" s="72">
        <v>0</v>
      </c>
      <c r="BO18" s="72">
        <v>0</v>
      </c>
      <c r="BP18" s="120">
        <v>1</v>
      </c>
      <c r="BQ18" s="72">
        <v>0</v>
      </c>
      <c r="BR18" s="72">
        <v>0</v>
      </c>
      <c r="BS18" s="72">
        <v>0</v>
      </c>
      <c r="BT18" s="70">
        <f t="shared" si="4"/>
        <v>1</v>
      </c>
      <c r="BU18" s="70">
        <f t="shared" si="5"/>
        <v>14</v>
      </c>
      <c r="BV18" s="105">
        <v>5</v>
      </c>
      <c r="BW18" s="105">
        <v>5</v>
      </c>
      <c r="BX18" s="73">
        <v>5</v>
      </c>
      <c r="BY18" s="126">
        <v>1</v>
      </c>
      <c r="BZ18" s="105">
        <v>5</v>
      </c>
      <c r="CA18" s="73">
        <v>3</v>
      </c>
      <c r="CB18" s="105">
        <v>5</v>
      </c>
      <c r="CC18" s="105">
        <v>5</v>
      </c>
      <c r="CD18" s="126">
        <v>2</v>
      </c>
      <c r="CE18" s="126">
        <v>3</v>
      </c>
      <c r="CF18" s="126">
        <v>3</v>
      </c>
      <c r="CG18" s="126">
        <v>5</v>
      </c>
      <c r="CH18" s="74">
        <v>5</v>
      </c>
      <c r="CI18" s="126">
        <v>5</v>
      </c>
      <c r="CJ18" s="73">
        <v>3</v>
      </c>
      <c r="CK18" s="75">
        <f>SUM(BV7:CJ7)</f>
        <v>60</v>
      </c>
      <c r="CL18" s="76">
        <v>5</v>
      </c>
      <c r="CM18" s="76">
        <v>1</v>
      </c>
      <c r="CN18" s="76">
        <v>5</v>
      </c>
      <c r="CO18" s="76">
        <v>5</v>
      </c>
      <c r="CP18" s="76">
        <v>5</v>
      </c>
      <c r="CQ18" s="106">
        <v>5</v>
      </c>
      <c r="CR18" s="76">
        <v>1</v>
      </c>
      <c r="CS18" s="76">
        <v>5</v>
      </c>
      <c r="CT18" s="76">
        <v>5</v>
      </c>
      <c r="CU18" s="76">
        <v>5</v>
      </c>
      <c r="CV18" s="76">
        <v>5</v>
      </c>
      <c r="CW18" s="76">
        <v>1</v>
      </c>
      <c r="CX18" s="76">
        <v>1</v>
      </c>
      <c r="CY18" s="76">
        <v>4</v>
      </c>
      <c r="CZ18" s="76">
        <v>5</v>
      </c>
      <c r="DA18" s="76">
        <v>5</v>
      </c>
      <c r="DB18" s="76">
        <v>5</v>
      </c>
      <c r="DC18" s="76">
        <v>4</v>
      </c>
      <c r="DD18" s="76">
        <v>5</v>
      </c>
      <c r="DE18" s="76">
        <v>5</v>
      </c>
      <c r="DF18" s="76">
        <v>5</v>
      </c>
      <c r="DG18" s="76">
        <v>5</v>
      </c>
      <c r="DH18" s="76">
        <v>5</v>
      </c>
      <c r="DI18" s="76">
        <v>5</v>
      </c>
      <c r="DJ18" s="76">
        <v>1</v>
      </c>
      <c r="DK18" s="76">
        <v>5</v>
      </c>
      <c r="DL18" s="76">
        <v>3</v>
      </c>
      <c r="DM18" s="76">
        <v>1</v>
      </c>
      <c r="DN18" s="76">
        <f t="shared" si="7"/>
        <v>112</v>
      </c>
      <c r="DO18" s="118">
        <v>23</v>
      </c>
      <c r="DP18" s="97">
        <v>0</v>
      </c>
      <c r="DQ18" s="97">
        <v>0</v>
      </c>
      <c r="DR18" s="97">
        <v>1</v>
      </c>
      <c r="DS18" s="97">
        <v>0</v>
      </c>
      <c r="DT18" s="97">
        <v>0</v>
      </c>
      <c r="DU18" s="97">
        <v>0</v>
      </c>
      <c r="DV18" s="97">
        <v>0</v>
      </c>
      <c r="DW18" s="97">
        <v>0</v>
      </c>
      <c r="DX18" s="97">
        <v>1</v>
      </c>
      <c r="DY18" s="97">
        <v>1</v>
      </c>
      <c r="DZ18" s="97">
        <v>0</v>
      </c>
      <c r="EA18" s="97">
        <v>1</v>
      </c>
      <c r="EB18" s="97">
        <v>0</v>
      </c>
      <c r="EC18" s="97">
        <v>0</v>
      </c>
      <c r="ED18" s="97">
        <v>0</v>
      </c>
      <c r="EE18" s="77">
        <f t="shared" si="31"/>
        <v>4</v>
      </c>
      <c r="EF18" s="77" t="s">
        <v>265</v>
      </c>
      <c r="EG18" s="78">
        <f t="shared" si="8"/>
        <v>4</v>
      </c>
      <c r="EH18" s="97">
        <v>0.5</v>
      </c>
      <c r="EI18" s="97">
        <v>0.5</v>
      </c>
      <c r="EJ18" s="97">
        <v>1</v>
      </c>
      <c r="EK18" s="97">
        <v>0</v>
      </c>
      <c r="EL18" s="97">
        <v>0.5</v>
      </c>
      <c r="EM18" s="97">
        <v>0</v>
      </c>
      <c r="EN18" s="97">
        <v>0.5</v>
      </c>
      <c r="EO18" s="97">
        <v>0.5</v>
      </c>
      <c r="EP18" s="97">
        <v>1</v>
      </c>
      <c r="EQ18" s="97">
        <v>0</v>
      </c>
      <c r="ER18" s="97">
        <v>0</v>
      </c>
      <c r="ES18" s="97">
        <v>0</v>
      </c>
      <c r="ET18" s="97">
        <v>0</v>
      </c>
      <c r="EU18" s="97">
        <v>0</v>
      </c>
      <c r="EV18" s="97">
        <v>0</v>
      </c>
      <c r="EW18" s="97">
        <v>1</v>
      </c>
      <c r="EX18" s="97">
        <v>0</v>
      </c>
      <c r="EY18" s="97">
        <v>0</v>
      </c>
      <c r="EZ18" s="97">
        <v>0</v>
      </c>
      <c r="FA18" s="97">
        <v>0</v>
      </c>
      <c r="FB18" s="97">
        <v>1</v>
      </c>
      <c r="FC18" s="97">
        <v>1</v>
      </c>
      <c r="FD18" s="79">
        <f t="shared" si="9"/>
        <v>7.5</v>
      </c>
      <c r="FE18" s="79">
        <v>2</v>
      </c>
      <c r="FF18" s="97">
        <v>1</v>
      </c>
      <c r="FG18" s="97">
        <v>1</v>
      </c>
      <c r="FH18" s="97">
        <v>1</v>
      </c>
      <c r="FI18" s="97">
        <v>1</v>
      </c>
      <c r="FJ18" s="97">
        <v>1</v>
      </c>
      <c r="FK18" s="97">
        <v>1</v>
      </c>
      <c r="FL18" s="97">
        <v>1</v>
      </c>
      <c r="FM18" s="97">
        <v>1</v>
      </c>
      <c r="FN18" s="81">
        <f t="shared" si="10"/>
        <v>8</v>
      </c>
      <c r="FO18" s="82">
        <v>1</v>
      </c>
      <c r="FP18" s="97">
        <v>10</v>
      </c>
      <c r="FQ18" s="97">
        <v>5</v>
      </c>
      <c r="FR18" s="97">
        <v>10</v>
      </c>
      <c r="FS18" s="97">
        <v>5</v>
      </c>
      <c r="FT18" s="97">
        <v>10</v>
      </c>
      <c r="FU18" s="97">
        <v>10</v>
      </c>
      <c r="FV18" s="97">
        <v>10</v>
      </c>
      <c r="FW18" s="97">
        <v>15</v>
      </c>
      <c r="FX18" s="97">
        <v>15</v>
      </c>
      <c r="FY18" s="97">
        <v>10</v>
      </c>
      <c r="FZ18" s="83">
        <f t="shared" si="11"/>
        <v>100</v>
      </c>
      <c r="GA18" s="84">
        <v>1</v>
      </c>
      <c r="GB18" s="55">
        <v>1</v>
      </c>
      <c r="GC18" s="85">
        <v>0</v>
      </c>
      <c r="GD18" s="85">
        <v>1</v>
      </c>
      <c r="GE18" s="85">
        <v>1</v>
      </c>
      <c r="GF18" s="85">
        <v>0</v>
      </c>
      <c r="GG18" s="85">
        <v>0</v>
      </c>
      <c r="GH18" s="85">
        <v>1</v>
      </c>
      <c r="GI18" s="97">
        <v>0</v>
      </c>
      <c r="GJ18" s="97">
        <v>0</v>
      </c>
      <c r="GK18" s="97">
        <v>0</v>
      </c>
      <c r="GL18" s="97">
        <v>1</v>
      </c>
      <c r="GM18" s="97">
        <v>1</v>
      </c>
      <c r="GN18" s="97">
        <v>0</v>
      </c>
      <c r="GO18" s="97">
        <v>0</v>
      </c>
      <c r="GP18" s="97">
        <v>0</v>
      </c>
      <c r="GQ18" s="97">
        <v>0</v>
      </c>
      <c r="GR18" s="97">
        <v>0</v>
      </c>
      <c r="GS18" s="97">
        <v>1</v>
      </c>
      <c r="GT18" s="97">
        <v>1</v>
      </c>
      <c r="GU18" s="86">
        <f t="shared" si="12"/>
        <v>4</v>
      </c>
      <c r="GV18" s="128" t="s">
        <v>266</v>
      </c>
      <c r="GW18" s="87">
        <v>0</v>
      </c>
      <c r="GX18" s="88" t="s">
        <v>267</v>
      </c>
      <c r="GY18" s="97">
        <v>5</v>
      </c>
      <c r="GZ18" s="97">
        <v>5</v>
      </c>
      <c r="HA18" s="97">
        <v>3</v>
      </c>
      <c r="HB18" s="97">
        <v>3</v>
      </c>
      <c r="HC18" s="97">
        <v>1</v>
      </c>
      <c r="HD18" s="97">
        <v>0</v>
      </c>
      <c r="HE18" s="97"/>
      <c r="HF18" s="97"/>
      <c r="HG18" s="97">
        <v>0</v>
      </c>
      <c r="HH18" s="97">
        <v>7</v>
      </c>
      <c r="HI18" s="97">
        <v>7</v>
      </c>
      <c r="HJ18" s="97"/>
      <c r="HK18" s="97">
        <v>2</v>
      </c>
      <c r="HL18" s="97">
        <v>3</v>
      </c>
      <c r="HM18" s="97">
        <v>0</v>
      </c>
      <c r="HN18" s="97">
        <v>1</v>
      </c>
      <c r="HO18" s="97">
        <v>3</v>
      </c>
      <c r="HP18" s="97">
        <v>0</v>
      </c>
      <c r="HQ18" s="97">
        <v>2</v>
      </c>
      <c r="HR18" s="97">
        <v>0</v>
      </c>
      <c r="HS18" s="97">
        <v>0</v>
      </c>
      <c r="HT18" s="97">
        <v>2</v>
      </c>
      <c r="HU18" s="97">
        <v>3</v>
      </c>
      <c r="HV18" s="97">
        <v>1</v>
      </c>
      <c r="HW18" s="97">
        <v>0</v>
      </c>
      <c r="HX18" s="97">
        <v>0</v>
      </c>
      <c r="HY18" s="97">
        <v>2</v>
      </c>
      <c r="HZ18" s="97">
        <v>4</v>
      </c>
      <c r="IA18" s="97">
        <v>4</v>
      </c>
      <c r="IB18" s="97">
        <v>7</v>
      </c>
      <c r="IC18" s="55"/>
      <c r="ID18" s="55">
        <f t="shared" ref="ID18:IG18" si="74">SUM(GY18)</f>
        <v>5</v>
      </c>
      <c r="IE18" s="55">
        <f t="shared" si="74"/>
        <v>5</v>
      </c>
      <c r="IF18" s="55">
        <f t="shared" si="74"/>
        <v>3</v>
      </c>
      <c r="IG18" s="55">
        <f t="shared" si="74"/>
        <v>3</v>
      </c>
      <c r="IH18" s="55">
        <f t="shared" si="14"/>
        <v>1</v>
      </c>
      <c r="II18" s="55">
        <f t="shared" si="15"/>
        <v>0</v>
      </c>
      <c r="IJ18" s="55">
        <f t="shared" si="16"/>
        <v>14</v>
      </c>
      <c r="IK18" s="55">
        <f t="shared" ref="IK18:IQ18" si="75">SUM(HK18)</f>
        <v>2</v>
      </c>
      <c r="IL18" s="55">
        <f t="shared" si="75"/>
        <v>3</v>
      </c>
      <c r="IM18" s="55">
        <f t="shared" si="75"/>
        <v>0</v>
      </c>
      <c r="IN18" s="55">
        <f t="shared" si="75"/>
        <v>1</v>
      </c>
      <c r="IO18" s="55">
        <f t="shared" si="75"/>
        <v>3</v>
      </c>
      <c r="IP18" s="55">
        <f t="shared" si="75"/>
        <v>0</v>
      </c>
      <c r="IQ18" s="55">
        <f t="shared" si="75"/>
        <v>2</v>
      </c>
      <c r="IR18" s="55">
        <f t="shared" si="18"/>
        <v>0</v>
      </c>
      <c r="IS18" s="55">
        <f t="shared" ref="IS18:JB18" si="76">SUM(HT18)</f>
        <v>2</v>
      </c>
      <c r="IT18" s="55">
        <f t="shared" si="76"/>
        <v>3</v>
      </c>
      <c r="IU18" s="55">
        <f t="shared" si="76"/>
        <v>1</v>
      </c>
      <c r="IV18" s="55">
        <f t="shared" si="76"/>
        <v>0</v>
      </c>
      <c r="IW18" s="55">
        <f t="shared" si="76"/>
        <v>0</v>
      </c>
      <c r="IX18" s="55">
        <f t="shared" si="76"/>
        <v>2</v>
      </c>
      <c r="IY18" s="55">
        <f t="shared" si="76"/>
        <v>4</v>
      </c>
      <c r="IZ18" s="55">
        <f t="shared" si="76"/>
        <v>4</v>
      </c>
      <c r="JA18" s="55">
        <f t="shared" si="76"/>
        <v>7</v>
      </c>
      <c r="JB18" s="55">
        <f t="shared" si="76"/>
        <v>0</v>
      </c>
      <c r="JC18" s="89">
        <f t="shared" si="20"/>
        <v>62</v>
      </c>
      <c r="JD18" s="90">
        <v>2</v>
      </c>
      <c r="JE18" s="90">
        <v>2</v>
      </c>
      <c r="JF18" s="91">
        <v>13</v>
      </c>
      <c r="JG18" s="121">
        <v>2</v>
      </c>
      <c r="JH18" s="97">
        <v>2</v>
      </c>
      <c r="JI18" s="97">
        <v>2</v>
      </c>
      <c r="JJ18" s="97">
        <v>2</v>
      </c>
      <c r="JK18" s="97">
        <v>0</v>
      </c>
      <c r="JL18" s="97">
        <v>0</v>
      </c>
      <c r="JM18" s="97">
        <v>0</v>
      </c>
      <c r="JN18" s="97">
        <v>0</v>
      </c>
      <c r="JO18" s="97">
        <v>0</v>
      </c>
      <c r="JP18" s="89">
        <f t="shared" si="21"/>
        <v>6</v>
      </c>
      <c r="JQ18" s="97">
        <v>2</v>
      </c>
      <c r="JR18" s="97">
        <v>2</v>
      </c>
      <c r="JS18" s="97">
        <v>1</v>
      </c>
      <c r="JT18" s="97">
        <v>1</v>
      </c>
      <c r="JU18" s="97">
        <v>1</v>
      </c>
      <c r="JV18" s="97">
        <v>0</v>
      </c>
      <c r="JW18" s="97">
        <v>0</v>
      </c>
      <c r="JX18" s="92">
        <f t="shared" si="22"/>
        <v>7</v>
      </c>
      <c r="JY18" s="93">
        <f t="shared" si="23"/>
        <v>13</v>
      </c>
      <c r="JZ18" s="97">
        <v>3</v>
      </c>
      <c r="KA18" s="97">
        <v>3</v>
      </c>
      <c r="KB18" s="97">
        <v>2</v>
      </c>
      <c r="KC18" s="97">
        <v>2</v>
      </c>
      <c r="KD18" s="97">
        <v>1</v>
      </c>
      <c r="KE18" s="97">
        <v>0</v>
      </c>
      <c r="KF18" s="97">
        <v>0</v>
      </c>
      <c r="KG18" s="94">
        <f t="shared" si="24"/>
        <v>11</v>
      </c>
      <c r="KH18" s="108">
        <v>45669</v>
      </c>
      <c r="KI18" s="97">
        <v>0</v>
      </c>
      <c r="KJ18" s="97">
        <v>2</v>
      </c>
      <c r="KK18" s="97">
        <v>0</v>
      </c>
      <c r="KL18" s="95" t="s">
        <v>363</v>
      </c>
      <c r="KM18" s="97">
        <v>2</v>
      </c>
      <c r="KN18" s="97">
        <v>0</v>
      </c>
      <c r="KO18" s="97">
        <v>0</v>
      </c>
      <c r="KP18" s="95" t="s">
        <v>364</v>
      </c>
      <c r="KQ18" s="97">
        <v>0</v>
      </c>
      <c r="KR18" s="97">
        <v>2</v>
      </c>
      <c r="KS18" s="97">
        <v>0</v>
      </c>
      <c r="KT18" s="108">
        <v>45909</v>
      </c>
      <c r="KU18" s="97">
        <v>0</v>
      </c>
      <c r="KV18" s="97">
        <v>2</v>
      </c>
      <c r="KW18" s="97">
        <v>0</v>
      </c>
      <c r="KX18" s="95" t="s">
        <v>365</v>
      </c>
      <c r="KY18" s="97">
        <v>0</v>
      </c>
      <c r="KZ18" s="97">
        <v>2</v>
      </c>
      <c r="LA18" s="97">
        <v>0</v>
      </c>
      <c r="LB18" s="95" t="s">
        <v>366</v>
      </c>
      <c r="LC18" s="97">
        <v>0</v>
      </c>
      <c r="LD18" s="97">
        <v>2</v>
      </c>
      <c r="LE18" s="97">
        <v>0</v>
      </c>
      <c r="LF18" s="95" t="s">
        <v>367</v>
      </c>
      <c r="LG18" s="97">
        <v>0</v>
      </c>
      <c r="LH18" s="97">
        <v>2</v>
      </c>
      <c r="LI18" s="97">
        <v>1</v>
      </c>
      <c r="LJ18" s="95" t="s">
        <v>368</v>
      </c>
      <c r="LK18" s="97">
        <v>0</v>
      </c>
      <c r="LL18" s="97">
        <v>2</v>
      </c>
      <c r="LM18" s="97">
        <v>1</v>
      </c>
      <c r="LN18" s="96">
        <f t="shared" si="25"/>
        <v>16</v>
      </c>
      <c r="LO18" s="97">
        <f t="shared" si="26"/>
        <v>2</v>
      </c>
      <c r="LP18" s="97">
        <f t="shared" si="27"/>
        <v>40</v>
      </c>
    </row>
    <row r="19" spans="1:328" s="98" customFormat="1" ht="13.8">
      <c r="A19" s="55" t="s">
        <v>634</v>
      </c>
      <c r="B19" s="110">
        <v>45953</v>
      </c>
      <c r="C19" s="61">
        <v>17</v>
      </c>
      <c r="D19" s="62"/>
      <c r="E19" s="62" t="s">
        <v>764</v>
      </c>
      <c r="F19" s="61">
        <v>1</v>
      </c>
      <c r="G19" s="61">
        <v>1</v>
      </c>
      <c r="H19" s="61">
        <v>1</v>
      </c>
      <c r="I19" s="164">
        <v>7</v>
      </c>
      <c r="J19" s="164">
        <v>6</v>
      </c>
      <c r="K19" s="63">
        <v>5.8333333333333334E-2</v>
      </c>
      <c r="L19" s="63">
        <v>9.8611111111111108E-2</v>
      </c>
      <c r="M19" s="63">
        <v>8.6805555555555552E-2</v>
      </c>
      <c r="N19" s="64" t="s">
        <v>1040</v>
      </c>
      <c r="O19" s="101" t="s">
        <v>993</v>
      </c>
      <c r="P19" s="95" t="s">
        <v>635</v>
      </c>
      <c r="Q19" s="95">
        <v>1</v>
      </c>
      <c r="R19" s="125">
        <v>20969</v>
      </c>
      <c r="S19" s="95">
        <v>68</v>
      </c>
      <c r="T19" s="95" t="s">
        <v>369</v>
      </c>
      <c r="U19" s="95" t="s">
        <v>260</v>
      </c>
      <c r="V19" s="130" t="s">
        <v>636</v>
      </c>
      <c r="W19" s="95" t="s">
        <v>624</v>
      </c>
      <c r="X19" s="95" t="s">
        <v>596</v>
      </c>
      <c r="Y19" s="95" t="s">
        <v>277</v>
      </c>
      <c r="Z19" s="95" t="s">
        <v>262</v>
      </c>
      <c r="AA19" s="95" t="s">
        <v>323</v>
      </c>
      <c r="AB19" s="95" t="s">
        <v>279</v>
      </c>
      <c r="AC19" s="95" t="s">
        <v>597</v>
      </c>
      <c r="AD19" s="95" t="s">
        <v>597</v>
      </c>
      <c r="AE19" s="95" t="s">
        <v>602</v>
      </c>
      <c r="AF19" s="95" t="s">
        <v>599</v>
      </c>
      <c r="AG19" s="95" t="s">
        <v>637</v>
      </c>
      <c r="AH19" s="95" t="s">
        <v>597</v>
      </c>
      <c r="AI19" s="95" t="s">
        <v>597</v>
      </c>
      <c r="AJ19" s="125"/>
      <c r="AK19" s="97"/>
      <c r="AL19" s="115">
        <v>1</v>
      </c>
      <c r="AM19" s="115">
        <v>1</v>
      </c>
      <c r="AN19" s="115">
        <v>1</v>
      </c>
      <c r="AO19" s="115">
        <v>1</v>
      </c>
      <c r="AP19" s="115">
        <v>1</v>
      </c>
      <c r="AQ19" s="115">
        <v>1</v>
      </c>
      <c r="AR19" s="115">
        <v>1</v>
      </c>
      <c r="AS19" s="115">
        <v>1</v>
      </c>
      <c r="AT19" s="70">
        <f t="shared" si="0"/>
        <v>8</v>
      </c>
      <c r="AU19" s="71">
        <v>1</v>
      </c>
      <c r="AV19" s="71">
        <v>1</v>
      </c>
      <c r="AW19" s="71">
        <v>1</v>
      </c>
      <c r="AX19" s="71">
        <v>1</v>
      </c>
      <c r="AY19" s="70">
        <f t="shared" si="1"/>
        <v>4</v>
      </c>
      <c r="AZ19" s="69">
        <v>1</v>
      </c>
      <c r="BA19" s="69">
        <v>1</v>
      </c>
      <c r="BB19" s="69">
        <v>1</v>
      </c>
      <c r="BC19" s="69">
        <v>1</v>
      </c>
      <c r="BD19" s="69">
        <v>1</v>
      </c>
      <c r="BE19" s="69">
        <v>1</v>
      </c>
      <c r="BF19" s="69">
        <v>1</v>
      </c>
      <c r="BG19" s="69">
        <v>1</v>
      </c>
      <c r="BH19" s="70">
        <f t="shared" si="2"/>
        <v>8</v>
      </c>
      <c r="BI19" s="69">
        <v>1</v>
      </c>
      <c r="BJ19" s="69">
        <v>1</v>
      </c>
      <c r="BK19" s="70">
        <f t="shared" si="3"/>
        <v>2</v>
      </c>
      <c r="BL19" s="72">
        <v>1</v>
      </c>
      <c r="BM19" s="72">
        <v>1</v>
      </c>
      <c r="BN19" s="72">
        <v>1</v>
      </c>
      <c r="BO19" s="72">
        <v>1</v>
      </c>
      <c r="BP19" s="72">
        <v>1</v>
      </c>
      <c r="BQ19" s="72">
        <v>1</v>
      </c>
      <c r="BR19" s="72">
        <v>1</v>
      </c>
      <c r="BS19" s="72">
        <v>1</v>
      </c>
      <c r="BT19" s="70">
        <f t="shared" si="4"/>
        <v>7</v>
      </c>
      <c r="BU19" s="70">
        <f t="shared" si="5"/>
        <v>29</v>
      </c>
      <c r="BV19" s="105">
        <v>5</v>
      </c>
      <c r="BW19" s="105">
        <v>5</v>
      </c>
      <c r="BX19" s="105">
        <v>5</v>
      </c>
      <c r="BY19" s="73">
        <v>1</v>
      </c>
      <c r="BZ19" s="105">
        <v>5</v>
      </c>
      <c r="CA19" s="73">
        <v>3</v>
      </c>
      <c r="CB19" s="105">
        <v>5</v>
      </c>
      <c r="CC19" s="73">
        <v>5</v>
      </c>
      <c r="CD19" s="73">
        <v>2</v>
      </c>
      <c r="CE19" s="73">
        <v>3</v>
      </c>
      <c r="CF19" s="73">
        <v>3</v>
      </c>
      <c r="CG19" s="73">
        <v>5</v>
      </c>
      <c r="CH19" s="74">
        <v>5</v>
      </c>
      <c r="CI19" s="105">
        <v>5</v>
      </c>
      <c r="CJ19" s="73">
        <v>3</v>
      </c>
      <c r="CK19" s="75">
        <f t="shared" ref="CK19:CK23" si="77">SUM(BV19:CJ19)</f>
        <v>60</v>
      </c>
      <c r="CL19" s="106">
        <v>5</v>
      </c>
      <c r="CM19" s="76">
        <v>1</v>
      </c>
      <c r="CN19" s="76">
        <v>5</v>
      </c>
      <c r="CO19" s="76">
        <v>5</v>
      </c>
      <c r="CP19" s="76">
        <v>5</v>
      </c>
      <c r="CQ19" s="106">
        <v>5</v>
      </c>
      <c r="CR19" s="76">
        <v>1</v>
      </c>
      <c r="CS19" s="76">
        <v>5</v>
      </c>
      <c r="CT19" s="76">
        <v>5</v>
      </c>
      <c r="CU19" s="76">
        <v>5</v>
      </c>
      <c r="CV19" s="76">
        <v>5</v>
      </c>
      <c r="CW19" s="76">
        <v>1</v>
      </c>
      <c r="CX19" s="76">
        <v>1</v>
      </c>
      <c r="CY19" s="76">
        <v>5</v>
      </c>
      <c r="CZ19" s="76">
        <v>5</v>
      </c>
      <c r="DA19" s="76">
        <v>5</v>
      </c>
      <c r="DB19" s="76">
        <v>5</v>
      </c>
      <c r="DC19" s="76">
        <v>4</v>
      </c>
      <c r="DD19" s="76">
        <v>5</v>
      </c>
      <c r="DE19" s="76">
        <v>5</v>
      </c>
      <c r="DF19" s="76">
        <v>5</v>
      </c>
      <c r="DG19" s="76">
        <v>5</v>
      </c>
      <c r="DH19" s="76">
        <v>5</v>
      </c>
      <c r="DI19" s="76">
        <v>5</v>
      </c>
      <c r="DJ19" s="76">
        <v>1</v>
      </c>
      <c r="DK19" s="76">
        <v>5</v>
      </c>
      <c r="DL19" s="76">
        <v>3</v>
      </c>
      <c r="DM19" s="76">
        <v>1</v>
      </c>
      <c r="DN19" s="76">
        <f t="shared" si="7"/>
        <v>113</v>
      </c>
      <c r="DO19" s="118">
        <v>30</v>
      </c>
      <c r="DP19" s="97">
        <v>0</v>
      </c>
      <c r="DQ19" s="97">
        <v>0</v>
      </c>
      <c r="DR19" s="97">
        <v>0</v>
      </c>
      <c r="DS19" s="97">
        <v>0</v>
      </c>
      <c r="DT19" s="97">
        <v>0</v>
      </c>
      <c r="DU19" s="97">
        <v>0</v>
      </c>
      <c r="DV19" s="97">
        <v>0</v>
      </c>
      <c r="DW19" s="97">
        <v>0</v>
      </c>
      <c r="DX19" s="97">
        <v>0</v>
      </c>
      <c r="DY19" s="97">
        <v>0</v>
      </c>
      <c r="DZ19" s="97">
        <v>0</v>
      </c>
      <c r="EA19" s="97">
        <v>0</v>
      </c>
      <c r="EB19" s="97">
        <v>0</v>
      </c>
      <c r="EC19" s="97">
        <v>0</v>
      </c>
      <c r="ED19" s="97">
        <v>0</v>
      </c>
      <c r="EE19" s="77">
        <f t="shared" si="31"/>
        <v>0</v>
      </c>
      <c r="EF19" s="77" t="s">
        <v>265</v>
      </c>
      <c r="EG19" s="78">
        <f t="shared" si="8"/>
        <v>0</v>
      </c>
      <c r="EH19" s="97">
        <v>0</v>
      </c>
      <c r="EI19" s="97">
        <v>0</v>
      </c>
      <c r="EJ19" s="97">
        <v>0</v>
      </c>
      <c r="EK19" s="97">
        <v>0</v>
      </c>
      <c r="EL19" s="97">
        <v>0</v>
      </c>
      <c r="EM19" s="97">
        <v>0</v>
      </c>
      <c r="EN19" s="97">
        <v>0</v>
      </c>
      <c r="EO19" s="97">
        <v>0</v>
      </c>
      <c r="EP19" s="97">
        <v>0</v>
      </c>
      <c r="EQ19" s="97">
        <v>0</v>
      </c>
      <c r="ER19" s="97">
        <v>0</v>
      </c>
      <c r="ES19" s="97">
        <v>0</v>
      </c>
      <c r="ET19" s="97">
        <v>0</v>
      </c>
      <c r="EU19" s="97">
        <v>0</v>
      </c>
      <c r="EV19" s="97">
        <v>0</v>
      </c>
      <c r="EW19" s="97">
        <v>0</v>
      </c>
      <c r="EX19" s="97">
        <v>0</v>
      </c>
      <c r="EY19" s="97">
        <v>0</v>
      </c>
      <c r="EZ19" s="97">
        <v>0</v>
      </c>
      <c r="FA19" s="97">
        <v>0</v>
      </c>
      <c r="FB19" s="97">
        <v>0</v>
      </c>
      <c r="FC19" s="97">
        <v>0</v>
      </c>
      <c r="FD19" s="79">
        <f t="shared" si="9"/>
        <v>0</v>
      </c>
      <c r="FE19" s="80">
        <v>1</v>
      </c>
      <c r="FF19" s="97">
        <v>1</v>
      </c>
      <c r="FG19" s="97">
        <v>1</v>
      </c>
      <c r="FH19" s="97">
        <v>1</v>
      </c>
      <c r="FI19" s="97">
        <v>1</v>
      </c>
      <c r="FJ19" s="97">
        <v>1</v>
      </c>
      <c r="FK19" s="97">
        <v>1</v>
      </c>
      <c r="FL19" s="97">
        <v>1</v>
      </c>
      <c r="FM19" s="97">
        <v>1</v>
      </c>
      <c r="FN19" s="81">
        <f t="shared" si="10"/>
        <v>8</v>
      </c>
      <c r="FO19" s="82">
        <v>1</v>
      </c>
      <c r="FP19" s="97">
        <v>10</v>
      </c>
      <c r="FQ19" s="97">
        <v>5</v>
      </c>
      <c r="FR19" s="97">
        <v>10</v>
      </c>
      <c r="FS19" s="97">
        <v>5</v>
      </c>
      <c r="FT19" s="97">
        <v>10</v>
      </c>
      <c r="FU19" s="97">
        <v>10</v>
      </c>
      <c r="FV19" s="97">
        <v>10</v>
      </c>
      <c r="FW19" s="97">
        <v>15</v>
      </c>
      <c r="FX19" s="97">
        <v>15</v>
      </c>
      <c r="FY19" s="97">
        <v>10</v>
      </c>
      <c r="FZ19" s="83">
        <f t="shared" si="11"/>
        <v>100</v>
      </c>
      <c r="GA19" s="84">
        <v>1</v>
      </c>
      <c r="GB19" s="55">
        <v>0</v>
      </c>
      <c r="GC19" s="85">
        <v>0</v>
      </c>
      <c r="GD19" s="85">
        <v>0</v>
      </c>
      <c r="GE19" s="85">
        <v>0</v>
      </c>
      <c r="GF19" s="85">
        <v>0</v>
      </c>
      <c r="GG19" s="85">
        <v>0</v>
      </c>
      <c r="GH19" s="85">
        <v>0</v>
      </c>
      <c r="GI19" s="97">
        <v>0</v>
      </c>
      <c r="GJ19" s="97">
        <v>0</v>
      </c>
      <c r="GK19" s="97">
        <v>0</v>
      </c>
      <c r="GL19" s="97">
        <v>0</v>
      </c>
      <c r="GM19" s="97">
        <v>0</v>
      </c>
      <c r="GN19" s="97">
        <v>0</v>
      </c>
      <c r="GO19" s="97">
        <v>0</v>
      </c>
      <c r="GP19" s="97">
        <v>0</v>
      </c>
      <c r="GQ19" s="97">
        <v>0</v>
      </c>
      <c r="GR19" s="97">
        <v>0</v>
      </c>
      <c r="GS19" s="97">
        <v>0</v>
      </c>
      <c r="GT19" s="97">
        <v>0</v>
      </c>
      <c r="GU19" s="86">
        <f t="shared" si="12"/>
        <v>0</v>
      </c>
      <c r="GV19" s="87" t="s">
        <v>301</v>
      </c>
      <c r="GW19" s="87">
        <v>0</v>
      </c>
      <c r="GX19" s="88" t="s">
        <v>267</v>
      </c>
      <c r="GY19" s="97">
        <v>5</v>
      </c>
      <c r="GZ19" s="97">
        <v>5</v>
      </c>
      <c r="HA19" s="97">
        <v>3</v>
      </c>
      <c r="HB19" s="97">
        <v>1</v>
      </c>
      <c r="HC19" s="97">
        <v>5</v>
      </c>
      <c r="HD19" s="97">
        <v>5</v>
      </c>
      <c r="HE19" s="97"/>
      <c r="HF19" s="97"/>
      <c r="HG19" s="97">
        <v>3</v>
      </c>
      <c r="HH19" s="97">
        <v>7</v>
      </c>
      <c r="HI19" s="97">
        <v>7</v>
      </c>
      <c r="HJ19" s="97"/>
      <c r="HK19" s="97">
        <v>3</v>
      </c>
      <c r="HL19" s="97">
        <v>7</v>
      </c>
      <c r="HM19" s="97">
        <v>7</v>
      </c>
      <c r="HN19" s="97">
        <v>1</v>
      </c>
      <c r="HO19" s="97">
        <v>3</v>
      </c>
      <c r="HP19" s="97">
        <v>1</v>
      </c>
      <c r="HQ19" s="97">
        <v>2</v>
      </c>
      <c r="HR19" s="97">
        <v>1</v>
      </c>
      <c r="HS19" s="97">
        <v>1</v>
      </c>
      <c r="HT19" s="97">
        <v>2</v>
      </c>
      <c r="HU19" s="97">
        <v>4</v>
      </c>
      <c r="HV19" s="97">
        <v>1</v>
      </c>
      <c r="HW19" s="97">
        <v>1</v>
      </c>
      <c r="HX19" s="97">
        <v>2</v>
      </c>
      <c r="HY19" s="97">
        <v>5</v>
      </c>
      <c r="HZ19" s="97">
        <v>4</v>
      </c>
      <c r="IA19" s="97">
        <v>4</v>
      </c>
      <c r="IB19" s="97">
        <v>7</v>
      </c>
      <c r="IC19" s="55"/>
      <c r="ID19" s="55">
        <f t="shared" ref="ID19:IG19" si="78">SUM(GY19)</f>
        <v>5</v>
      </c>
      <c r="IE19" s="55">
        <f t="shared" si="78"/>
        <v>5</v>
      </c>
      <c r="IF19" s="55">
        <f t="shared" si="78"/>
        <v>3</v>
      </c>
      <c r="IG19" s="55">
        <f t="shared" si="78"/>
        <v>1</v>
      </c>
      <c r="IH19" s="55">
        <f t="shared" si="14"/>
        <v>10</v>
      </c>
      <c r="II19" s="55">
        <f t="shared" si="15"/>
        <v>3</v>
      </c>
      <c r="IJ19" s="55">
        <f t="shared" si="16"/>
        <v>14</v>
      </c>
      <c r="IK19" s="55">
        <f t="shared" ref="IK19:IQ19" si="79">SUM(HK19)</f>
        <v>3</v>
      </c>
      <c r="IL19" s="55">
        <f t="shared" si="79"/>
        <v>7</v>
      </c>
      <c r="IM19" s="55">
        <f t="shared" si="79"/>
        <v>7</v>
      </c>
      <c r="IN19" s="55">
        <f t="shared" si="79"/>
        <v>1</v>
      </c>
      <c r="IO19" s="55">
        <f t="shared" si="79"/>
        <v>3</v>
      </c>
      <c r="IP19" s="55">
        <f t="shared" si="79"/>
        <v>1</v>
      </c>
      <c r="IQ19" s="55">
        <f t="shared" si="79"/>
        <v>2</v>
      </c>
      <c r="IR19" s="55">
        <f t="shared" si="18"/>
        <v>2</v>
      </c>
      <c r="IS19" s="55">
        <f t="shared" ref="IS19:JB19" si="80">SUM(HT19)</f>
        <v>2</v>
      </c>
      <c r="IT19" s="55">
        <f t="shared" si="80"/>
        <v>4</v>
      </c>
      <c r="IU19" s="55">
        <f t="shared" si="80"/>
        <v>1</v>
      </c>
      <c r="IV19" s="55">
        <f t="shared" si="80"/>
        <v>1</v>
      </c>
      <c r="IW19" s="55">
        <f t="shared" si="80"/>
        <v>2</v>
      </c>
      <c r="IX19" s="55">
        <f t="shared" si="80"/>
        <v>5</v>
      </c>
      <c r="IY19" s="55">
        <f t="shared" si="80"/>
        <v>4</v>
      </c>
      <c r="IZ19" s="55">
        <f t="shared" si="80"/>
        <v>4</v>
      </c>
      <c r="JA19" s="55">
        <f t="shared" si="80"/>
        <v>7</v>
      </c>
      <c r="JB19" s="55">
        <f t="shared" si="80"/>
        <v>0</v>
      </c>
      <c r="JC19" s="89">
        <f t="shared" si="20"/>
        <v>96</v>
      </c>
      <c r="JD19" s="90">
        <v>1</v>
      </c>
      <c r="JE19" s="90"/>
      <c r="JF19" s="91">
        <v>55</v>
      </c>
      <c r="JG19" s="121">
        <v>2</v>
      </c>
      <c r="JH19" s="97">
        <v>2</v>
      </c>
      <c r="JI19" s="97">
        <v>2</v>
      </c>
      <c r="JJ19" s="97">
        <v>2</v>
      </c>
      <c r="JK19" s="97">
        <v>2</v>
      </c>
      <c r="JL19" s="97">
        <v>2</v>
      </c>
      <c r="JM19" s="97">
        <v>2</v>
      </c>
      <c r="JN19" s="97">
        <v>0</v>
      </c>
      <c r="JO19" s="97">
        <v>0</v>
      </c>
      <c r="JP19" s="89">
        <f t="shared" si="21"/>
        <v>12</v>
      </c>
      <c r="JQ19" s="97">
        <v>2</v>
      </c>
      <c r="JR19" s="97">
        <v>2</v>
      </c>
      <c r="JS19" s="97">
        <v>1</v>
      </c>
      <c r="JT19" s="97">
        <v>2</v>
      </c>
      <c r="JU19" s="97">
        <v>1</v>
      </c>
      <c r="JV19" s="97">
        <v>0</v>
      </c>
      <c r="JW19" s="97">
        <v>0</v>
      </c>
      <c r="JX19" s="92">
        <f t="shared" si="22"/>
        <v>8</v>
      </c>
      <c r="JY19" s="93">
        <f t="shared" si="23"/>
        <v>20</v>
      </c>
      <c r="JZ19" s="97">
        <v>3</v>
      </c>
      <c r="KA19" s="97">
        <v>3</v>
      </c>
      <c r="KB19" s="97">
        <v>3</v>
      </c>
      <c r="KC19" s="97">
        <v>2</v>
      </c>
      <c r="KD19" s="97">
        <v>0</v>
      </c>
      <c r="KE19" s="97">
        <v>0</v>
      </c>
      <c r="KF19" s="97">
        <v>0</v>
      </c>
      <c r="KG19" s="94">
        <f t="shared" si="24"/>
        <v>11</v>
      </c>
      <c r="KH19" s="95" t="s">
        <v>370</v>
      </c>
      <c r="KI19" s="97">
        <v>0</v>
      </c>
      <c r="KJ19" s="97">
        <v>2</v>
      </c>
      <c r="KK19" s="97">
        <v>1</v>
      </c>
      <c r="KL19" s="95" t="s">
        <v>371</v>
      </c>
      <c r="KM19" s="97">
        <v>1</v>
      </c>
      <c r="KN19" s="97">
        <v>1</v>
      </c>
      <c r="KO19" s="97">
        <v>1</v>
      </c>
      <c r="KP19" s="108">
        <v>45840</v>
      </c>
      <c r="KQ19" s="97">
        <v>0</v>
      </c>
      <c r="KR19" s="97">
        <v>2</v>
      </c>
      <c r="KS19" s="97">
        <v>1</v>
      </c>
      <c r="KT19" s="95" t="s">
        <v>372</v>
      </c>
      <c r="KU19" s="97">
        <v>0</v>
      </c>
      <c r="KV19" s="97">
        <v>2</v>
      </c>
      <c r="KW19" s="97">
        <v>2</v>
      </c>
      <c r="KX19" s="95" t="s">
        <v>373</v>
      </c>
      <c r="KY19" s="97">
        <v>0</v>
      </c>
      <c r="KZ19" s="97">
        <v>2</v>
      </c>
      <c r="LA19" s="97">
        <v>2</v>
      </c>
      <c r="LB19" s="95" t="s">
        <v>374</v>
      </c>
      <c r="LC19" s="97">
        <v>0</v>
      </c>
      <c r="LD19" s="97">
        <v>2</v>
      </c>
      <c r="LE19" s="97">
        <v>2</v>
      </c>
      <c r="LF19" s="95" t="s">
        <v>375</v>
      </c>
      <c r="LG19" s="97">
        <v>1</v>
      </c>
      <c r="LH19" s="97">
        <v>1</v>
      </c>
      <c r="LI19" s="97">
        <v>3</v>
      </c>
      <c r="LJ19" s="95" t="s">
        <v>376</v>
      </c>
      <c r="LK19" s="97">
        <v>0</v>
      </c>
      <c r="LL19" s="97">
        <v>2</v>
      </c>
      <c r="LM19" s="97">
        <v>3</v>
      </c>
      <c r="LN19" s="96">
        <f t="shared" si="25"/>
        <v>29</v>
      </c>
      <c r="LO19" s="97">
        <f t="shared" si="26"/>
        <v>15</v>
      </c>
      <c r="LP19" s="97">
        <f t="shared" si="27"/>
        <v>60</v>
      </c>
    </row>
    <row r="20" spans="1:328" s="98" customFormat="1" ht="13.8">
      <c r="A20" s="55" t="s">
        <v>613</v>
      </c>
      <c r="B20" s="40"/>
      <c r="C20" s="40">
        <v>58</v>
      </c>
      <c r="D20" s="49" t="s">
        <v>763</v>
      </c>
      <c r="E20" s="49"/>
      <c r="F20" s="40">
        <v>1</v>
      </c>
      <c r="G20" s="40">
        <v>1</v>
      </c>
      <c r="H20" s="40">
        <v>1</v>
      </c>
      <c r="I20" s="164">
        <v>6</v>
      </c>
      <c r="J20" s="164">
        <v>4</v>
      </c>
      <c r="K20" s="63">
        <v>0.13194444444444445</v>
      </c>
      <c r="L20" s="63">
        <v>9.375E-2</v>
      </c>
      <c r="M20" s="63">
        <v>6.1805555555555558E-2</v>
      </c>
      <c r="N20" s="64" t="s">
        <v>1041</v>
      </c>
      <c r="O20" s="101" t="s">
        <v>994</v>
      </c>
      <c r="P20" s="95" t="s">
        <v>723</v>
      </c>
      <c r="Q20" s="95">
        <v>1</v>
      </c>
      <c r="R20" s="125">
        <v>20725</v>
      </c>
      <c r="S20" s="95">
        <v>68</v>
      </c>
      <c r="T20" s="95" t="s">
        <v>259</v>
      </c>
      <c r="U20" s="95" t="s">
        <v>287</v>
      </c>
      <c r="V20" s="130" t="s">
        <v>724</v>
      </c>
      <c r="W20" s="95" t="s">
        <v>595</v>
      </c>
      <c r="X20" s="95" t="s">
        <v>596</v>
      </c>
      <c r="Y20" s="95" t="s">
        <v>261</v>
      </c>
      <c r="Z20" s="66" t="s">
        <v>262</v>
      </c>
      <c r="AA20" s="66" t="s">
        <v>377</v>
      </c>
      <c r="AB20" s="66" t="s">
        <v>264</v>
      </c>
      <c r="AC20" s="66" t="s">
        <v>597</v>
      </c>
      <c r="AD20" s="66" t="s">
        <v>597</v>
      </c>
      <c r="AE20" s="66" t="s">
        <v>725</v>
      </c>
      <c r="AF20" s="66" t="s">
        <v>597</v>
      </c>
      <c r="AG20" s="66" t="s">
        <v>652</v>
      </c>
      <c r="AH20" s="66" t="s">
        <v>597</v>
      </c>
      <c r="AI20" s="66" t="s">
        <v>597</v>
      </c>
      <c r="AJ20" s="67">
        <v>45604</v>
      </c>
      <c r="AK20" s="97"/>
      <c r="AL20" s="115">
        <v>1</v>
      </c>
      <c r="AM20" s="115">
        <v>1</v>
      </c>
      <c r="AN20" s="115">
        <v>1</v>
      </c>
      <c r="AO20" s="115">
        <v>1</v>
      </c>
      <c r="AP20" s="115">
        <v>1</v>
      </c>
      <c r="AQ20" s="115">
        <v>1</v>
      </c>
      <c r="AR20" s="115">
        <v>1</v>
      </c>
      <c r="AS20" s="115">
        <v>1</v>
      </c>
      <c r="AT20" s="70">
        <f t="shared" si="0"/>
        <v>8</v>
      </c>
      <c r="AU20" s="71">
        <v>1</v>
      </c>
      <c r="AV20" s="71">
        <v>1</v>
      </c>
      <c r="AW20" s="71">
        <v>1</v>
      </c>
      <c r="AX20" s="71">
        <v>1</v>
      </c>
      <c r="AY20" s="70">
        <f t="shared" si="1"/>
        <v>4</v>
      </c>
      <c r="AZ20" s="115">
        <v>0</v>
      </c>
      <c r="BA20" s="115">
        <v>0</v>
      </c>
      <c r="BB20" s="115">
        <v>0</v>
      </c>
      <c r="BC20" s="115">
        <v>0</v>
      </c>
      <c r="BD20" s="115">
        <v>0</v>
      </c>
      <c r="BE20" s="115">
        <v>1</v>
      </c>
      <c r="BF20" s="115">
        <v>0</v>
      </c>
      <c r="BG20" s="115">
        <v>0</v>
      </c>
      <c r="BH20" s="70">
        <f t="shared" si="2"/>
        <v>1</v>
      </c>
      <c r="BI20" s="69">
        <v>0</v>
      </c>
      <c r="BJ20" s="69">
        <v>0</v>
      </c>
      <c r="BK20" s="70">
        <f t="shared" si="3"/>
        <v>0</v>
      </c>
      <c r="BL20" s="92">
        <v>1</v>
      </c>
      <c r="BM20" s="72">
        <v>0</v>
      </c>
      <c r="BN20" s="72">
        <v>0</v>
      </c>
      <c r="BO20" s="72">
        <v>0</v>
      </c>
      <c r="BP20" s="92">
        <v>1</v>
      </c>
      <c r="BQ20" s="72">
        <v>0</v>
      </c>
      <c r="BR20" s="72">
        <v>0</v>
      </c>
      <c r="BS20" s="72">
        <v>0</v>
      </c>
      <c r="BT20" s="70">
        <f t="shared" si="4"/>
        <v>1</v>
      </c>
      <c r="BU20" s="70">
        <f t="shared" si="5"/>
        <v>14</v>
      </c>
      <c r="BV20" s="73">
        <v>5</v>
      </c>
      <c r="BW20" s="73">
        <v>5</v>
      </c>
      <c r="BX20" s="73">
        <v>5</v>
      </c>
      <c r="BY20" s="73">
        <v>1</v>
      </c>
      <c r="BZ20" s="105">
        <v>5</v>
      </c>
      <c r="CA20" s="73">
        <v>3</v>
      </c>
      <c r="CB20" s="105">
        <v>5</v>
      </c>
      <c r="CC20" s="73">
        <v>5</v>
      </c>
      <c r="CD20" s="73">
        <v>2</v>
      </c>
      <c r="CE20" s="73">
        <v>3</v>
      </c>
      <c r="CF20" s="73">
        <v>3</v>
      </c>
      <c r="CG20" s="73">
        <v>5</v>
      </c>
      <c r="CH20" s="74">
        <v>5</v>
      </c>
      <c r="CI20" s="73">
        <v>5</v>
      </c>
      <c r="CJ20" s="73">
        <v>3</v>
      </c>
      <c r="CK20" s="75">
        <f t="shared" si="77"/>
        <v>60</v>
      </c>
      <c r="CL20" s="76">
        <v>5</v>
      </c>
      <c r="CM20" s="76">
        <v>1</v>
      </c>
      <c r="CN20" s="76">
        <v>5</v>
      </c>
      <c r="CO20" s="76">
        <v>5</v>
      </c>
      <c r="CP20" s="76">
        <v>5</v>
      </c>
      <c r="CQ20" s="106">
        <v>5</v>
      </c>
      <c r="CR20" s="76">
        <v>1</v>
      </c>
      <c r="CS20" s="76">
        <v>5</v>
      </c>
      <c r="CT20" s="76">
        <v>5</v>
      </c>
      <c r="CU20" s="76">
        <v>5</v>
      </c>
      <c r="CV20" s="76">
        <v>5</v>
      </c>
      <c r="CW20" s="76">
        <v>1</v>
      </c>
      <c r="CX20" s="76">
        <v>1</v>
      </c>
      <c r="CY20" s="76">
        <v>4</v>
      </c>
      <c r="CZ20" s="76">
        <v>5</v>
      </c>
      <c r="DA20" s="76">
        <v>5</v>
      </c>
      <c r="DB20" s="76">
        <v>5</v>
      </c>
      <c r="DC20" s="76">
        <v>4</v>
      </c>
      <c r="DD20" s="76">
        <v>5</v>
      </c>
      <c r="DE20" s="76">
        <v>5</v>
      </c>
      <c r="DF20" s="76">
        <v>5</v>
      </c>
      <c r="DG20" s="76">
        <v>5</v>
      </c>
      <c r="DH20" s="76">
        <v>5</v>
      </c>
      <c r="DI20" s="76">
        <v>5</v>
      </c>
      <c r="DJ20" s="76">
        <v>1</v>
      </c>
      <c r="DK20" s="76">
        <v>5</v>
      </c>
      <c r="DL20" s="76">
        <v>3</v>
      </c>
      <c r="DM20" s="76">
        <v>1</v>
      </c>
      <c r="DN20" s="76">
        <f t="shared" si="7"/>
        <v>112</v>
      </c>
      <c r="DO20" s="118">
        <v>28</v>
      </c>
      <c r="DP20" s="97">
        <v>0</v>
      </c>
      <c r="DQ20" s="97">
        <v>0</v>
      </c>
      <c r="DR20" s="97">
        <v>0</v>
      </c>
      <c r="DS20" s="97">
        <v>0</v>
      </c>
      <c r="DT20" s="97">
        <v>0</v>
      </c>
      <c r="DU20" s="97">
        <v>0</v>
      </c>
      <c r="DV20" s="97">
        <v>0</v>
      </c>
      <c r="DW20" s="97">
        <v>0</v>
      </c>
      <c r="DX20" s="97">
        <v>0</v>
      </c>
      <c r="DY20" s="97">
        <v>1</v>
      </c>
      <c r="DZ20" s="97">
        <v>0</v>
      </c>
      <c r="EA20" s="97">
        <v>0</v>
      </c>
      <c r="EB20" s="97">
        <v>1</v>
      </c>
      <c r="EC20" s="97">
        <v>0</v>
      </c>
      <c r="ED20" s="97">
        <v>0</v>
      </c>
      <c r="EE20" s="77">
        <f t="shared" si="31"/>
        <v>2</v>
      </c>
      <c r="EF20" s="77" t="s">
        <v>265</v>
      </c>
      <c r="EG20" s="78">
        <f t="shared" si="8"/>
        <v>2</v>
      </c>
      <c r="EH20" s="97">
        <v>0</v>
      </c>
      <c r="EI20" s="97">
        <v>0</v>
      </c>
      <c r="EJ20" s="97">
        <v>0.5</v>
      </c>
      <c r="EK20" s="97">
        <v>0</v>
      </c>
      <c r="EL20" s="97">
        <v>0</v>
      </c>
      <c r="EM20" s="97">
        <v>0</v>
      </c>
      <c r="EN20" s="97">
        <v>0</v>
      </c>
      <c r="EO20" s="97">
        <v>1</v>
      </c>
      <c r="EP20" s="97">
        <v>1</v>
      </c>
      <c r="EQ20" s="97">
        <v>0</v>
      </c>
      <c r="ER20" s="97">
        <v>0</v>
      </c>
      <c r="ES20" s="97">
        <v>1</v>
      </c>
      <c r="ET20" s="97">
        <v>0</v>
      </c>
      <c r="EU20" s="97">
        <v>0</v>
      </c>
      <c r="EV20" s="97">
        <v>0</v>
      </c>
      <c r="EW20" s="97">
        <v>1</v>
      </c>
      <c r="EX20" s="97">
        <v>0</v>
      </c>
      <c r="EY20" s="97">
        <v>1</v>
      </c>
      <c r="EZ20" s="97">
        <v>0</v>
      </c>
      <c r="FA20" s="97">
        <v>0</v>
      </c>
      <c r="FB20" s="97">
        <v>0</v>
      </c>
      <c r="FC20" s="97">
        <v>0</v>
      </c>
      <c r="FD20" s="79">
        <f t="shared" si="9"/>
        <v>5.5</v>
      </c>
      <c r="FE20" s="79">
        <v>2</v>
      </c>
      <c r="FF20" s="97">
        <v>1</v>
      </c>
      <c r="FG20" s="97">
        <v>1</v>
      </c>
      <c r="FH20" s="97">
        <v>1</v>
      </c>
      <c r="FI20" s="97">
        <v>1</v>
      </c>
      <c r="FJ20" s="97">
        <v>1</v>
      </c>
      <c r="FK20" s="97">
        <v>1</v>
      </c>
      <c r="FL20" s="97">
        <v>1</v>
      </c>
      <c r="FM20" s="97">
        <v>1</v>
      </c>
      <c r="FN20" s="81">
        <f t="shared" si="10"/>
        <v>8</v>
      </c>
      <c r="FO20" s="82">
        <v>1</v>
      </c>
      <c r="FP20" s="97">
        <v>10</v>
      </c>
      <c r="FQ20" s="97">
        <v>5</v>
      </c>
      <c r="FR20" s="97">
        <v>10</v>
      </c>
      <c r="FS20" s="97">
        <v>5</v>
      </c>
      <c r="FT20" s="97">
        <v>10</v>
      </c>
      <c r="FU20" s="97">
        <v>10</v>
      </c>
      <c r="FV20" s="97">
        <v>10</v>
      </c>
      <c r="FW20" s="97">
        <v>15</v>
      </c>
      <c r="FX20" s="97">
        <v>15</v>
      </c>
      <c r="FY20" s="97">
        <v>10</v>
      </c>
      <c r="FZ20" s="83">
        <f t="shared" si="11"/>
        <v>100</v>
      </c>
      <c r="GA20" s="84">
        <v>1</v>
      </c>
      <c r="GB20" s="55">
        <v>0</v>
      </c>
      <c r="GC20" s="85">
        <v>0.5</v>
      </c>
      <c r="GD20" s="85">
        <v>0</v>
      </c>
      <c r="GE20" s="85">
        <v>0</v>
      </c>
      <c r="GF20" s="85">
        <v>0</v>
      </c>
      <c r="GG20" s="85">
        <v>0</v>
      </c>
      <c r="GH20" s="85">
        <v>0</v>
      </c>
      <c r="GI20" s="97">
        <v>0</v>
      </c>
      <c r="GJ20" s="97">
        <v>0</v>
      </c>
      <c r="GK20" s="97">
        <v>0</v>
      </c>
      <c r="GL20" s="97">
        <v>1</v>
      </c>
      <c r="GM20" s="97">
        <v>0</v>
      </c>
      <c r="GN20" s="97">
        <v>0</v>
      </c>
      <c r="GO20" s="97">
        <v>0</v>
      </c>
      <c r="GP20" s="97">
        <v>0</v>
      </c>
      <c r="GQ20" s="97">
        <v>0</v>
      </c>
      <c r="GR20" s="97">
        <v>0</v>
      </c>
      <c r="GS20" s="97">
        <v>0</v>
      </c>
      <c r="GT20" s="97">
        <v>1</v>
      </c>
      <c r="GU20" s="86">
        <f t="shared" si="12"/>
        <v>2</v>
      </c>
      <c r="GV20" s="128" t="s">
        <v>266</v>
      </c>
      <c r="GW20" s="87">
        <v>0</v>
      </c>
      <c r="GX20" s="88" t="s">
        <v>267</v>
      </c>
      <c r="GY20" s="97">
        <v>5</v>
      </c>
      <c r="GZ20" s="97">
        <v>5</v>
      </c>
      <c r="HA20" s="97">
        <v>3</v>
      </c>
      <c r="HB20" s="97">
        <v>1</v>
      </c>
      <c r="HC20" s="97">
        <v>5</v>
      </c>
      <c r="HD20" s="97">
        <v>5</v>
      </c>
      <c r="HE20" s="97"/>
      <c r="HF20" s="97"/>
      <c r="HG20" s="97">
        <v>1</v>
      </c>
      <c r="HH20" s="97">
        <v>7</v>
      </c>
      <c r="HI20" s="97">
        <v>7</v>
      </c>
      <c r="HJ20" s="97"/>
      <c r="HK20" s="97">
        <v>3</v>
      </c>
      <c r="HL20" s="97">
        <v>4</v>
      </c>
      <c r="HM20" s="97">
        <v>3</v>
      </c>
      <c r="HN20" s="97">
        <v>1</v>
      </c>
      <c r="HO20" s="97">
        <v>3</v>
      </c>
      <c r="HP20" s="97">
        <v>1</v>
      </c>
      <c r="HQ20" s="97">
        <v>2</v>
      </c>
      <c r="HR20" s="97">
        <v>1</v>
      </c>
      <c r="HS20" s="97">
        <v>1</v>
      </c>
      <c r="HT20" s="97">
        <v>2</v>
      </c>
      <c r="HU20" s="97">
        <v>4</v>
      </c>
      <c r="HV20" s="97">
        <v>0</v>
      </c>
      <c r="HW20" s="97">
        <v>1</v>
      </c>
      <c r="HX20" s="97">
        <v>0</v>
      </c>
      <c r="HY20" s="97">
        <v>3</v>
      </c>
      <c r="HZ20" s="97">
        <v>4</v>
      </c>
      <c r="IA20" s="97">
        <v>4</v>
      </c>
      <c r="IB20" s="97">
        <v>6</v>
      </c>
      <c r="IC20" s="97">
        <v>5</v>
      </c>
      <c r="ID20" s="55">
        <f t="shared" ref="ID20:IG20" si="81">SUM(GY20)</f>
        <v>5</v>
      </c>
      <c r="IE20" s="55">
        <f t="shared" si="81"/>
        <v>5</v>
      </c>
      <c r="IF20" s="55">
        <f t="shared" si="81"/>
        <v>3</v>
      </c>
      <c r="IG20" s="55">
        <f t="shared" si="81"/>
        <v>1</v>
      </c>
      <c r="IH20" s="55">
        <f t="shared" si="14"/>
        <v>10</v>
      </c>
      <c r="II20" s="55">
        <f t="shared" si="15"/>
        <v>1</v>
      </c>
      <c r="IJ20" s="55">
        <f t="shared" si="16"/>
        <v>14</v>
      </c>
      <c r="IK20" s="55">
        <f t="shared" ref="IK20:IQ20" si="82">SUM(HK20)</f>
        <v>3</v>
      </c>
      <c r="IL20" s="55">
        <f t="shared" si="82"/>
        <v>4</v>
      </c>
      <c r="IM20" s="55">
        <f t="shared" si="82"/>
        <v>3</v>
      </c>
      <c r="IN20" s="55">
        <f t="shared" si="82"/>
        <v>1</v>
      </c>
      <c r="IO20" s="55">
        <f t="shared" si="82"/>
        <v>3</v>
      </c>
      <c r="IP20" s="55">
        <f t="shared" si="82"/>
        <v>1</v>
      </c>
      <c r="IQ20" s="55">
        <f t="shared" si="82"/>
        <v>2</v>
      </c>
      <c r="IR20" s="55">
        <f t="shared" si="18"/>
        <v>2</v>
      </c>
      <c r="IS20" s="55">
        <f t="shared" ref="IS20:JB20" si="83">SUM(HT20)</f>
        <v>2</v>
      </c>
      <c r="IT20" s="55">
        <f t="shared" si="83"/>
        <v>4</v>
      </c>
      <c r="IU20" s="55">
        <f t="shared" si="83"/>
        <v>0</v>
      </c>
      <c r="IV20" s="55">
        <f t="shared" si="83"/>
        <v>1</v>
      </c>
      <c r="IW20" s="55">
        <f t="shared" si="83"/>
        <v>0</v>
      </c>
      <c r="IX20" s="55">
        <f t="shared" si="83"/>
        <v>3</v>
      </c>
      <c r="IY20" s="55">
        <f t="shared" si="83"/>
        <v>4</v>
      </c>
      <c r="IZ20" s="55">
        <f t="shared" si="83"/>
        <v>4</v>
      </c>
      <c r="JA20" s="55">
        <f t="shared" si="83"/>
        <v>6</v>
      </c>
      <c r="JB20" s="55">
        <f t="shared" si="83"/>
        <v>5</v>
      </c>
      <c r="JC20" s="89">
        <f t="shared" si="20"/>
        <v>86</v>
      </c>
      <c r="JD20" s="90">
        <v>1</v>
      </c>
      <c r="JE20" s="90">
        <v>1</v>
      </c>
      <c r="JF20" s="91">
        <v>20</v>
      </c>
      <c r="JG20" s="91">
        <v>2</v>
      </c>
      <c r="JH20" s="55">
        <v>2</v>
      </c>
      <c r="JI20" s="55">
        <v>2</v>
      </c>
      <c r="JJ20" s="55">
        <v>2</v>
      </c>
      <c r="JK20" s="55">
        <v>0</v>
      </c>
      <c r="JL20" s="55">
        <v>0</v>
      </c>
      <c r="JM20" s="55">
        <v>0</v>
      </c>
      <c r="JN20" s="55">
        <v>0</v>
      </c>
      <c r="JO20" s="55">
        <v>0</v>
      </c>
      <c r="JP20" s="89">
        <f t="shared" si="21"/>
        <v>6</v>
      </c>
      <c r="JQ20" s="55">
        <v>2</v>
      </c>
      <c r="JR20" s="55">
        <v>1</v>
      </c>
      <c r="JS20" s="55">
        <v>0</v>
      </c>
      <c r="JT20" s="55">
        <v>0</v>
      </c>
      <c r="JU20" s="55">
        <v>0</v>
      </c>
      <c r="JV20" s="55">
        <v>0</v>
      </c>
      <c r="JW20" s="55">
        <v>0</v>
      </c>
      <c r="JX20" s="92">
        <f t="shared" si="22"/>
        <v>3</v>
      </c>
      <c r="JY20" s="93">
        <f t="shared" si="23"/>
        <v>9</v>
      </c>
      <c r="JZ20" s="55">
        <v>3</v>
      </c>
      <c r="KA20" s="55">
        <v>0</v>
      </c>
      <c r="KB20" s="55">
        <v>0</v>
      </c>
      <c r="KC20" s="55">
        <v>0</v>
      </c>
      <c r="KD20" s="55">
        <v>0</v>
      </c>
      <c r="KE20" s="55">
        <v>0</v>
      </c>
      <c r="KF20" s="55">
        <v>0</v>
      </c>
      <c r="KG20" s="94">
        <f t="shared" si="24"/>
        <v>3</v>
      </c>
      <c r="KH20" s="95" t="s">
        <v>327</v>
      </c>
      <c r="KI20" s="55">
        <v>0</v>
      </c>
      <c r="KJ20" s="55">
        <v>2</v>
      </c>
      <c r="KK20" s="55">
        <v>0</v>
      </c>
      <c r="KL20" s="95" t="s">
        <v>327</v>
      </c>
      <c r="KM20" s="55">
        <v>1</v>
      </c>
      <c r="KN20" s="55">
        <v>1</v>
      </c>
      <c r="KO20" s="55">
        <v>0</v>
      </c>
      <c r="KP20" s="95" t="s">
        <v>315</v>
      </c>
      <c r="KQ20" s="55">
        <v>0</v>
      </c>
      <c r="KR20" s="55">
        <v>2</v>
      </c>
      <c r="KS20" s="55">
        <v>0</v>
      </c>
      <c r="KT20" s="95" t="s">
        <v>378</v>
      </c>
      <c r="KU20" s="55">
        <v>0</v>
      </c>
      <c r="KV20" s="55">
        <v>2</v>
      </c>
      <c r="KW20" s="55">
        <v>0</v>
      </c>
      <c r="KX20" s="95" t="s">
        <v>379</v>
      </c>
      <c r="KY20" s="55">
        <v>0</v>
      </c>
      <c r="KZ20" s="55">
        <v>2</v>
      </c>
      <c r="LA20" s="55">
        <v>0</v>
      </c>
      <c r="LB20" s="95" t="s">
        <v>380</v>
      </c>
      <c r="LC20" s="55">
        <v>0</v>
      </c>
      <c r="LD20" s="55">
        <v>2</v>
      </c>
      <c r="LE20" s="55">
        <v>1</v>
      </c>
      <c r="LF20" s="95" t="s">
        <v>379</v>
      </c>
      <c r="LG20" s="55">
        <v>0</v>
      </c>
      <c r="LH20" s="55">
        <v>2</v>
      </c>
      <c r="LI20" s="55">
        <v>0</v>
      </c>
      <c r="LJ20" s="95" t="s">
        <v>381</v>
      </c>
      <c r="LK20" s="55">
        <v>0</v>
      </c>
      <c r="LL20" s="55">
        <v>2</v>
      </c>
      <c r="LM20" s="55">
        <v>2</v>
      </c>
      <c r="LN20" s="96">
        <f t="shared" si="25"/>
        <v>18</v>
      </c>
      <c r="LO20" s="97">
        <f t="shared" si="26"/>
        <v>3</v>
      </c>
      <c r="LP20" s="97">
        <f t="shared" si="27"/>
        <v>30</v>
      </c>
    </row>
    <row r="21" spans="1:328" s="98" customFormat="1" ht="13.8">
      <c r="A21" s="55" t="s">
        <v>634</v>
      </c>
      <c r="B21" s="110">
        <v>45953</v>
      </c>
      <c r="C21" s="61">
        <v>20</v>
      </c>
      <c r="D21" s="62"/>
      <c r="E21" s="62"/>
      <c r="F21" s="61">
        <v>1</v>
      </c>
      <c r="G21" s="61">
        <v>1</v>
      </c>
      <c r="H21" s="61">
        <v>1</v>
      </c>
      <c r="I21" s="164">
        <v>8</v>
      </c>
      <c r="J21" s="164">
        <v>2</v>
      </c>
      <c r="K21" s="63">
        <v>9.166666666666666E-2</v>
      </c>
      <c r="L21" s="63">
        <v>0.11666666666666667</v>
      </c>
      <c r="M21" s="63">
        <v>2.5000000000000001E-2</v>
      </c>
      <c r="N21" s="64" t="s">
        <v>1040</v>
      </c>
      <c r="O21" s="101" t="s">
        <v>995</v>
      </c>
      <c r="P21" s="140" t="s">
        <v>641</v>
      </c>
      <c r="Q21" s="95">
        <v>1</v>
      </c>
      <c r="R21" s="141">
        <v>17535</v>
      </c>
      <c r="S21" s="140">
        <v>77</v>
      </c>
      <c r="T21" s="140" t="s">
        <v>259</v>
      </c>
      <c r="U21" s="140" t="s">
        <v>287</v>
      </c>
      <c r="V21" s="140">
        <v>987621728</v>
      </c>
      <c r="W21" s="140" t="s">
        <v>595</v>
      </c>
      <c r="X21" s="140" t="s">
        <v>596</v>
      </c>
      <c r="Y21" s="140" t="s">
        <v>311</v>
      </c>
      <c r="Z21" s="140" t="s">
        <v>262</v>
      </c>
      <c r="AA21" s="140" t="s">
        <v>382</v>
      </c>
      <c r="AB21" s="140" t="s">
        <v>279</v>
      </c>
      <c r="AC21" s="140" t="s">
        <v>597</v>
      </c>
      <c r="AD21" s="140" t="s">
        <v>597</v>
      </c>
      <c r="AE21" s="140" t="s">
        <v>602</v>
      </c>
      <c r="AF21" s="140" t="s">
        <v>597</v>
      </c>
      <c r="AG21" s="140" t="s">
        <v>642</v>
      </c>
      <c r="AH21" s="140" t="s">
        <v>599</v>
      </c>
      <c r="AI21" s="140" t="s">
        <v>597</v>
      </c>
      <c r="AJ21" s="141">
        <v>45292</v>
      </c>
      <c r="AK21" s="142"/>
      <c r="AL21" s="115">
        <v>1</v>
      </c>
      <c r="AM21" s="115">
        <v>1</v>
      </c>
      <c r="AN21" s="115">
        <v>1</v>
      </c>
      <c r="AO21" s="115">
        <v>1</v>
      </c>
      <c r="AP21" s="115">
        <v>1</v>
      </c>
      <c r="AQ21" s="115">
        <v>1</v>
      </c>
      <c r="AR21" s="115">
        <v>1</v>
      </c>
      <c r="AS21" s="115">
        <v>1</v>
      </c>
      <c r="AT21" s="70">
        <f t="shared" si="0"/>
        <v>8</v>
      </c>
      <c r="AU21" s="71">
        <v>1</v>
      </c>
      <c r="AV21" s="71">
        <v>1</v>
      </c>
      <c r="AW21" s="71">
        <v>1</v>
      </c>
      <c r="AX21" s="71">
        <v>1</v>
      </c>
      <c r="AY21" s="70">
        <f t="shared" si="1"/>
        <v>4</v>
      </c>
      <c r="AZ21" s="69">
        <v>1</v>
      </c>
      <c r="BA21" s="69">
        <v>1</v>
      </c>
      <c r="BB21" s="69">
        <v>1</v>
      </c>
      <c r="BC21" s="69">
        <v>1</v>
      </c>
      <c r="BD21" s="69">
        <v>1</v>
      </c>
      <c r="BE21" s="69">
        <v>1</v>
      </c>
      <c r="BF21" s="69">
        <v>1</v>
      </c>
      <c r="BG21" s="69">
        <v>1</v>
      </c>
      <c r="BH21" s="70">
        <f t="shared" si="2"/>
        <v>8</v>
      </c>
      <c r="BI21" s="69">
        <v>1</v>
      </c>
      <c r="BJ21" s="69">
        <v>1</v>
      </c>
      <c r="BK21" s="70">
        <f t="shared" si="3"/>
        <v>2</v>
      </c>
      <c r="BL21" s="72">
        <v>1</v>
      </c>
      <c r="BM21" s="72">
        <v>1</v>
      </c>
      <c r="BN21" s="72">
        <v>1</v>
      </c>
      <c r="BO21" s="72">
        <v>1</v>
      </c>
      <c r="BP21" s="72">
        <v>1</v>
      </c>
      <c r="BQ21" s="72">
        <v>1</v>
      </c>
      <c r="BR21" s="72">
        <v>1</v>
      </c>
      <c r="BS21" s="72">
        <v>1</v>
      </c>
      <c r="BT21" s="70">
        <f t="shared" si="4"/>
        <v>7</v>
      </c>
      <c r="BU21" s="70">
        <f t="shared" si="5"/>
        <v>29</v>
      </c>
      <c r="BV21" s="73">
        <v>5</v>
      </c>
      <c r="BW21" s="73">
        <v>5</v>
      </c>
      <c r="BX21" s="73">
        <v>5</v>
      </c>
      <c r="BY21" s="73">
        <v>1</v>
      </c>
      <c r="BZ21" s="105">
        <v>5</v>
      </c>
      <c r="CA21" s="73">
        <v>3</v>
      </c>
      <c r="CB21" s="105">
        <v>5</v>
      </c>
      <c r="CC21" s="73">
        <v>5</v>
      </c>
      <c r="CD21" s="73">
        <v>2</v>
      </c>
      <c r="CE21" s="73">
        <v>3</v>
      </c>
      <c r="CF21" s="73">
        <v>3</v>
      </c>
      <c r="CG21" s="73">
        <v>5</v>
      </c>
      <c r="CH21" s="74">
        <v>5</v>
      </c>
      <c r="CI21" s="73">
        <v>5</v>
      </c>
      <c r="CJ21" s="73">
        <v>3</v>
      </c>
      <c r="CK21" s="75">
        <f t="shared" si="77"/>
        <v>60</v>
      </c>
      <c r="CL21" s="76">
        <v>5</v>
      </c>
      <c r="CM21" s="76">
        <v>1</v>
      </c>
      <c r="CN21" s="76">
        <v>5</v>
      </c>
      <c r="CO21" s="76">
        <v>5</v>
      </c>
      <c r="CP21" s="76">
        <v>5</v>
      </c>
      <c r="CQ21" s="106">
        <v>5</v>
      </c>
      <c r="CR21" s="76">
        <v>1</v>
      </c>
      <c r="CS21" s="76">
        <v>5</v>
      </c>
      <c r="CT21" s="76">
        <v>5</v>
      </c>
      <c r="CU21" s="76">
        <v>5</v>
      </c>
      <c r="CV21" s="76">
        <v>5</v>
      </c>
      <c r="CW21" s="76">
        <v>1</v>
      </c>
      <c r="CX21" s="76">
        <v>1</v>
      </c>
      <c r="CY21" s="76">
        <v>5</v>
      </c>
      <c r="CZ21" s="76">
        <v>5</v>
      </c>
      <c r="DA21" s="76">
        <v>5</v>
      </c>
      <c r="DB21" s="76">
        <v>5</v>
      </c>
      <c r="DC21" s="76">
        <v>4</v>
      </c>
      <c r="DD21" s="76">
        <v>5</v>
      </c>
      <c r="DE21" s="76">
        <v>5</v>
      </c>
      <c r="DF21" s="76">
        <v>5</v>
      </c>
      <c r="DG21" s="76">
        <v>5</v>
      </c>
      <c r="DH21" s="76">
        <v>5</v>
      </c>
      <c r="DI21" s="76">
        <v>5</v>
      </c>
      <c r="DJ21" s="76">
        <v>1</v>
      </c>
      <c r="DK21" s="76">
        <v>5</v>
      </c>
      <c r="DL21" s="76">
        <v>3</v>
      </c>
      <c r="DM21" s="76">
        <v>1</v>
      </c>
      <c r="DN21" s="76">
        <f t="shared" si="7"/>
        <v>113</v>
      </c>
      <c r="DO21" s="123">
        <v>27</v>
      </c>
      <c r="DP21" s="97">
        <v>0</v>
      </c>
      <c r="DQ21" s="97">
        <v>0</v>
      </c>
      <c r="DR21" s="97">
        <v>0</v>
      </c>
      <c r="DS21" s="97">
        <v>0</v>
      </c>
      <c r="DT21" s="97">
        <v>0</v>
      </c>
      <c r="DU21" s="97">
        <v>0</v>
      </c>
      <c r="DV21" s="97">
        <v>0</v>
      </c>
      <c r="DW21" s="97">
        <v>0</v>
      </c>
      <c r="DX21" s="97">
        <v>0</v>
      </c>
      <c r="DY21" s="97">
        <v>0</v>
      </c>
      <c r="DZ21" s="97">
        <v>0</v>
      </c>
      <c r="EA21" s="97">
        <v>0</v>
      </c>
      <c r="EB21" s="97">
        <v>0</v>
      </c>
      <c r="EC21" s="97">
        <v>0</v>
      </c>
      <c r="ED21" s="97">
        <v>0</v>
      </c>
      <c r="EE21" s="77">
        <f t="shared" si="31"/>
        <v>0</v>
      </c>
      <c r="EF21" s="77" t="s">
        <v>265</v>
      </c>
      <c r="EG21" s="78">
        <f t="shared" si="8"/>
        <v>0</v>
      </c>
      <c r="EH21" s="97">
        <v>0</v>
      </c>
      <c r="EI21" s="97">
        <v>0</v>
      </c>
      <c r="EJ21" s="97">
        <v>0</v>
      </c>
      <c r="EK21" s="97">
        <v>0</v>
      </c>
      <c r="EL21" s="97">
        <v>0</v>
      </c>
      <c r="EM21" s="97">
        <v>0</v>
      </c>
      <c r="EN21" s="97">
        <v>0</v>
      </c>
      <c r="EO21" s="97">
        <v>0</v>
      </c>
      <c r="EP21" s="97">
        <v>0</v>
      </c>
      <c r="EQ21" s="97">
        <v>0</v>
      </c>
      <c r="ER21" s="97">
        <v>0</v>
      </c>
      <c r="ES21" s="97">
        <v>0</v>
      </c>
      <c r="ET21" s="97">
        <v>0</v>
      </c>
      <c r="EU21" s="97">
        <v>0</v>
      </c>
      <c r="EV21" s="97">
        <v>0</v>
      </c>
      <c r="EW21" s="97">
        <v>0</v>
      </c>
      <c r="EX21" s="97">
        <v>0</v>
      </c>
      <c r="EY21" s="97">
        <v>0</v>
      </c>
      <c r="EZ21" s="97">
        <v>0</v>
      </c>
      <c r="FA21" s="97">
        <v>0</v>
      </c>
      <c r="FB21" s="97">
        <v>0</v>
      </c>
      <c r="FC21" s="97">
        <v>0</v>
      </c>
      <c r="FD21" s="79">
        <f t="shared" si="9"/>
        <v>0</v>
      </c>
      <c r="FE21" s="80">
        <v>1</v>
      </c>
      <c r="FF21" s="97">
        <v>1</v>
      </c>
      <c r="FG21" s="97">
        <v>1</v>
      </c>
      <c r="FH21" s="97">
        <v>1</v>
      </c>
      <c r="FI21" s="97">
        <v>1</v>
      </c>
      <c r="FJ21" s="97">
        <v>1</v>
      </c>
      <c r="FK21" s="97">
        <v>1</v>
      </c>
      <c r="FL21" s="97">
        <v>1</v>
      </c>
      <c r="FM21" s="97">
        <v>1</v>
      </c>
      <c r="FN21" s="81">
        <f t="shared" si="10"/>
        <v>8</v>
      </c>
      <c r="FO21" s="82">
        <v>1</v>
      </c>
      <c r="FP21" s="97">
        <v>10</v>
      </c>
      <c r="FQ21" s="97">
        <v>5</v>
      </c>
      <c r="FR21" s="97">
        <v>10</v>
      </c>
      <c r="FS21" s="97">
        <v>5</v>
      </c>
      <c r="FT21" s="97">
        <v>10</v>
      </c>
      <c r="FU21" s="97">
        <v>10</v>
      </c>
      <c r="FV21" s="97">
        <v>10</v>
      </c>
      <c r="FW21" s="97">
        <v>15</v>
      </c>
      <c r="FX21" s="97">
        <v>15</v>
      </c>
      <c r="FY21" s="97">
        <v>10</v>
      </c>
      <c r="FZ21" s="83">
        <f t="shared" si="11"/>
        <v>100</v>
      </c>
      <c r="GA21" s="84">
        <v>1</v>
      </c>
      <c r="GB21" s="55">
        <v>0</v>
      </c>
      <c r="GC21" s="85">
        <v>0.5</v>
      </c>
      <c r="GD21" s="85">
        <v>0</v>
      </c>
      <c r="GE21" s="85">
        <v>0</v>
      </c>
      <c r="GF21" s="85">
        <v>0</v>
      </c>
      <c r="GG21" s="85">
        <v>0</v>
      </c>
      <c r="GH21" s="85">
        <v>0</v>
      </c>
      <c r="GI21" s="97">
        <v>0</v>
      </c>
      <c r="GJ21" s="97">
        <v>0</v>
      </c>
      <c r="GK21" s="97">
        <v>0</v>
      </c>
      <c r="GL21" s="97">
        <v>0</v>
      </c>
      <c r="GM21" s="97">
        <v>0</v>
      </c>
      <c r="GN21" s="97">
        <v>0</v>
      </c>
      <c r="GO21" s="97">
        <v>0</v>
      </c>
      <c r="GP21" s="97">
        <v>0</v>
      </c>
      <c r="GQ21" s="97">
        <v>0</v>
      </c>
      <c r="GR21" s="97">
        <v>0</v>
      </c>
      <c r="GS21" s="97">
        <v>0</v>
      </c>
      <c r="GT21" s="97">
        <v>0</v>
      </c>
      <c r="GU21" s="86">
        <f t="shared" si="12"/>
        <v>0</v>
      </c>
      <c r="GV21" s="87" t="s">
        <v>301</v>
      </c>
      <c r="GW21" s="87">
        <v>0</v>
      </c>
      <c r="GX21" s="88" t="s">
        <v>267</v>
      </c>
      <c r="GY21" s="55">
        <v>5</v>
      </c>
      <c r="GZ21" s="55">
        <v>5</v>
      </c>
      <c r="HA21" s="55">
        <v>3</v>
      </c>
      <c r="HB21" s="55">
        <v>1</v>
      </c>
      <c r="HC21" s="55">
        <v>4</v>
      </c>
      <c r="HD21" s="55">
        <v>5</v>
      </c>
      <c r="HE21" s="55"/>
      <c r="HF21" s="55"/>
      <c r="HG21" s="55">
        <v>2</v>
      </c>
      <c r="HH21" s="55">
        <v>7</v>
      </c>
      <c r="HI21" s="55">
        <v>7</v>
      </c>
      <c r="HJ21" s="55"/>
      <c r="HK21" s="55">
        <v>3</v>
      </c>
      <c r="HL21" s="55">
        <v>5</v>
      </c>
      <c r="HM21" s="55">
        <v>5</v>
      </c>
      <c r="HN21" s="55">
        <v>1</v>
      </c>
      <c r="HO21" s="55">
        <v>3</v>
      </c>
      <c r="HP21" s="55">
        <v>1</v>
      </c>
      <c r="HQ21" s="55">
        <v>2</v>
      </c>
      <c r="HR21" s="55">
        <v>1</v>
      </c>
      <c r="HS21" s="55">
        <v>1</v>
      </c>
      <c r="HT21" s="55">
        <v>2</v>
      </c>
      <c r="HU21" s="55">
        <v>4</v>
      </c>
      <c r="HV21" s="55">
        <v>1</v>
      </c>
      <c r="HW21" s="55">
        <v>1</v>
      </c>
      <c r="HX21" s="55">
        <v>2</v>
      </c>
      <c r="HY21" s="55">
        <v>5</v>
      </c>
      <c r="HZ21" s="55">
        <v>4</v>
      </c>
      <c r="IA21" s="55">
        <v>4</v>
      </c>
      <c r="IB21" s="55">
        <v>7</v>
      </c>
      <c r="IC21" s="55"/>
      <c r="ID21" s="55">
        <f t="shared" ref="ID21:IG21" si="84">SUM(GY21)</f>
        <v>5</v>
      </c>
      <c r="IE21" s="55">
        <f t="shared" si="84"/>
        <v>5</v>
      </c>
      <c r="IF21" s="55">
        <f t="shared" si="84"/>
        <v>3</v>
      </c>
      <c r="IG21" s="55">
        <f t="shared" si="84"/>
        <v>1</v>
      </c>
      <c r="IH21" s="55">
        <f t="shared" si="14"/>
        <v>9</v>
      </c>
      <c r="II21" s="55">
        <f t="shared" si="15"/>
        <v>2</v>
      </c>
      <c r="IJ21" s="55">
        <f t="shared" si="16"/>
        <v>14</v>
      </c>
      <c r="IK21" s="55">
        <f t="shared" ref="IK21:IQ21" si="85">SUM(HK21)</f>
        <v>3</v>
      </c>
      <c r="IL21" s="55">
        <f t="shared" si="85"/>
        <v>5</v>
      </c>
      <c r="IM21" s="55">
        <f t="shared" si="85"/>
        <v>5</v>
      </c>
      <c r="IN21" s="55">
        <f t="shared" si="85"/>
        <v>1</v>
      </c>
      <c r="IO21" s="55">
        <f t="shared" si="85"/>
        <v>3</v>
      </c>
      <c r="IP21" s="55">
        <f t="shared" si="85"/>
        <v>1</v>
      </c>
      <c r="IQ21" s="55">
        <f t="shared" si="85"/>
        <v>2</v>
      </c>
      <c r="IR21" s="55">
        <f t="shared" si="18"/>
        <v>2</v>
      </c>
      <c r="IS21" s="55">
        <f t="shared" ref="IS21:JB21" si="86">SUM(HT21)</f>
        <v>2</v>
      </c>
      <c r="IT21" s="55">
        <f t="shared" si="86"/>
        <v>4</v>
      </c>
      <c r="IU21" s="55">
        <f t="shared" si="86"/>
        <v>1</v>
      </c>
      <c r="IV21" s="55">
        <f t="shared" si="86"/>
        <v>1</v>
      </c>
      <c r="IW21" s="55">
        <f t="shared" si="86"/>
        <v>2</v>
      </c>
      <c r="IX21" s="55">
        <f t="shared" si="86"/>
        <v>5</v>
      </c>
      <c r="IY21" s="55">
        <f t="shared" si="86"/>
        <v>4</v>
      </c>
      <c r="IZ21" s="55">
        <f t="shared" si="86"/>
        <v>4</v>
      </c>
      <c r="JA21" s="55">
        <f t="shared" si="86"/>
        <v>7</v>
      </c>
      <c r="JB21" s="55">
        <f t="shared" si="86"/>
        <v>0</v>
      </c>
      <c r="JC21" s="89">
        <f t="shared" si="20"/>
        <v>90</v>
      </c>
      <c r="JD21" s="90">
        <v>1</v>
      </c>
      <c r="JE21" s="89">
        <v>1</v>
      </c>
      <c r="JF21" s="121">
        <v>28</v>
      </c>
      <c r="JG21" s="91">
        <v>2</v>
      </c>
      <c r="JH21" s="97">
        <v>2</v>
      </c>
      <c r="JI21" s="97">
        <v>2</v>
      </c>
      <c r="JJ21" s="97">
        <v>2</v>
      </c>
      <c r="JK21" s="97">
        <v>2</v>
      </c>
      <c r="JL21" s="97">
        <v>0</v>
      </c>
      <c r="JM21" s="97">
        <v>0</v>
      </c>
      <c r="JN21" s="97">
        <v>0</v>
      </c>
      <c r="JO21" s="97">
        <v>0</v>
      </c>
      <c r="JP21" s="89">
        <f t="shared" si="21"/>
        <v>8</v>
      </c>
      <c r="JQ21" s="97">
        <v>2</v>
      </c>
      <c r="JR21" s="97">
        <v>1</v>
      </c>
      <c r="JS21" s="97">
        <v>0</v>
      </c>
      <c r="JT21" s="97">
        <v>0</v>
      </c>
      <c r="JU21" s="97">
        <v>0</v>
      </c>
      <c r="JV21" s="97">
        <v>0</v>
      </c>
      <c r="JW21" s="97">
        <v>0</v>
      </c>
      <c r="JX21" s="92">
        <f t="shared" si="22"/>
        <v>3</v>
      </c>
      <c r="JY21" s="93">
        <f t="shared" si="23"/>
        <v>11</v>
      </c>
      <c r="JZ21" s="97">
        <v>3</v>
      </c>
      <c r="KA21" s="97">
        <v>3</v>
      </c>
      <c r="KB21" s="97">
        <v>1</v>
      </c>
      <c r="KC21" s="97">
        <v>1</v>
      </c>
      <c r="KD21" s="97">
        <v>0</v>
      </c>
      <c r="KE21" s="97">
        <v>0</v>
      </c>
      <c r="KF21" s="97">
        <v>0</v>
      </c>
      <c r="KG21" s="94">
        <f t="shared" si="24"/>
        <v>8</v>
      </c>
      <c r="KH21" s="95" t="s">
        <v>383</v>
      </c>
      <c r="KI21" s="97">
        <v>0</v>
      </c>
      <c r="KJ21" s="97">
        <v>2</v>
      </c>
      <c r="KK21" s="97">
        <v>0</v>
      </c>
      <c r="KL21" s="95" t="s">
        <v>375</v>
      </c>
      <c r="KM21" s="97">
        <v>0</v>
      </c>
      <c r="KN21" s="97">
        <v>2</v>
      </c>
      <c r="KO21" s="97">
        <v>0</v>
      </c>
      <c r="KP21" s="95" t="s">
        <v>384</v>
      </c>
      <c r="KQ21" s="97">
        <v>0</v>
      </c>
      <c r="KR21" s="97">
        <v>2</v>
      </c>
      <c r="KS21" s="97">
        <v>0</v>
      </c>
      <c r="KT21" s="95" t="s">
        <v>385</v>
      </c>
      <c r="KU21" s="97">
        <v>0</v>
      </c>
      <c r="KV21" s="97">
        <v>2</v>
      </c>
      <c r="KW21" s="97">
        <v>0</v>
      </c>
      <c r="KX21" s="95" t="s">
        <v>386</v>
      </c>
      <c r="KY21" s="97">
        <v>0</v>
      </c>
      <c r="KZ21" s="97">
        <v>2</v>
      </c>
      <c r="LA21" s="97">
        <v>0</v>
      </c>
      <c r="LB21" s="95" t="s">
        <v>387</v>
      </c>
      <c r="LC21" s="97">
        <v>0</v>
      </c>
      <c r="LD21" s="97">
        <v>2</v>
      </c>
      <c r="LE21" s="97">
        <v>0</v>
      </c>
      <c r="LF21" s="95" t="s">
        <v>388</v>
      </c>
      <c r="LG21" s="97">
        <v>2</v>
      </c>
      <c r="LH21" s="97">
        <v>0</v>
      </c>
      <c r="LI21" s="97">
        <v>0</v>
      </c>
      <c r="LJ21" s="95" t="s">
        <v>389</v>
      </c>
      <c r="LK21" s="97">
        <v>0</v>
      </c>
      <c r="LL21" s="97">
        <v>2</v>
      </c>
      <c r="LM21" s="97">
        <v>0</v>
      </c>
      <c r="LN21" s="96">
        <f t="shared" si="25"/>
        <v>14</v>
      </c>
      <c r="LO21" s="97">
        <f t="shared" si="26"/>
        <v>0</v>
      </c>
      <c r="LP21" s="97">
        <f t="shared" si="27"/>
        <v>33</v>
      </c>
    </row>
    <row r="22" spans="1:328" s="98" customFormat="1" ht="13.8">
      <c r="A22" s="55" t="s">
        <v>604</v>
      </c>
      <c r="B22" s="110">
        <v>45952</v>
      </c>
      <c r="C22" s="61">
        <v>6</v>
      </c>
      <c r="D22" s="62" t="s">
        <v>778</v>
      </c>
      <c r="E22" s="62" t="s">
        <v>778</v>
      </c>
      <c r="F22" s="143">
        <v>1</v>
      </c>
      <c r="G22" s="61">
        <v>1</v>
      </c>
      <c r="H22" s="61">
        <v>0</v>
      </c>
      <c r="I22" s="164">
        <v>6</v>
      </c>
      <c r="J22" s="164">
        <v>0</v>
      </c>
      <c r="K22" s="63">
        <v>8.4027777777777785E-2</v>
      </c>
      <c r="L22" s="63">
        <v>8.0555555555555561E-2</v>
      </c>
      <c r="M22" s="63">
        <v>0</v>
      </c>
      <c r="N22" s="64" t="s">
        <v>1041</v>
      </c>
      <c r="O22" s="101" t="s">
        <v>996</v>
      </c>
      <c r="P22" s="111" t="s">
        <v>605</v>
      </c>
      <c r="Q22" s="95">
        <v>1</v>
      </c>
      <c r="R22" s="112">
        <v>22650</v>
      </c>
      <c r="S22" s="111">
        <v>63</v>
      </c>
      <c r="T22" s="111" t="s">
        <v>259</v>
      </c>
      <c r="U22" s="111" t="s">
        <v>298</v>
      </c>
      <c r="V22" s="111">
        <v>993143711</v>
      </c>
      <c r="W22" s="111" t="s">
        <v>595</v>
      </c>
      <c r="X22" s="111" t="s">
        <v>596</v>
      </c>
      <c r="Y22" s="111" t="s">
        <v>311</v>
      </c>
      <c r="Z22" s="111" t="s">
        <v>262</v>
      </c>
      <c r="AA22" s="111" t="s">
        <v>390</v>
      </c>
      <c r="AB22" s="111" t="s">
        <v>300</v>
      </c>
      <c r="AC22" s="111" t="s">
        <v>597</v>
      </c>
      <c r="AD22" s="111" t="s">
        <v>597</v>
      </c>
      <c r="AE22" s="111" t="s">
        <v>606</v>
      </c>
      <c r="AF22" s="111" t="s">
        <v>597</v>
      </c>
      <c r="AG22" s="111" t="s">
        <v>597</v>
      </c>
      <c r="AH22" s="111" t="s">
        <v>597</v>
      </c>
      <c r="AI22" s="111" t="s">
        <v>597</v>
      </c>
      <c r="AJ22" s="111" t="s">
        <v>603</v>
      </c>
      <c r="AK22" s="97"/>
      <c r="AL22" s="115">
        <v>1</v>
      </c>
      <c r="AM22" s="115">
        <v>1</v>
      </c>
      <c r="AN22" s="115">
        <v>1</v>
      </c>
      <c r="AO22" s="115">
        <v>1</v>
      </c>
      <c r="AP22" s="115">
        <v>1</v>
      </c>
      <c r="AQ22" s="115">
        <v>1</v>
      </c>
      <c r="AR22" s="115">
        <v>1</v>
      </c>
      <c r="AS22" s="115">
        <v>1</v>
      </c>
      <c r="AT22" s="70">
        <f t="shared" si="0"/>
        <v>8</v>
      </c>
      <c r="AU22" s="71">
        <v>1</v>
      </c>
      <c r="AV22" s="71">
        <v>1</v>
      </c>
      <c r="AW22" s="71">
        <v>1</v>
      </c>
      <c r="AX22" s="71">
        <v>1</v>
      </c>
      <c r="AY22" s="70">
        <f t="shared" si="1"/>
        <v>4</v>
      </c>
      <c r="AZ22" s="69">
        <v>1</v>
      </c>
      <c r="BA22" s="69">
        <v>1</v>
      </c>
      <c r="BB22" s="69">
        <v>1</v>
      </c>
      <c r="BC22" s="69">
        <v>1</v>
      </c>
      <c r="BD22" s="69">
        <v>1</v>
      </c>
      <c r="BE22" s="69">
        <v>1</v>
      </c>
      <c r="BF22" s="69">
        <v>1</v>
      </c>
      <c r="BG22" s="69">
        <v>1</v>
      </c>
      <c r="BH22" s="70">
        <f t="shared" si="2"/>
        <v>8</v>
      </c>
      <c r="BI22" s="69">
        <v>1</v>
      </c>
      <c r="BJ22" s="69">
        <v>1</v>
      </c>
      <c r="BK22" s="70">
        <f t="shared" si="3"/>
        <v>2</v>
      </c>
      <c r="BL22" s="72">
        <v>1</v>
      </c>
      <c r="BM22" s="72">
        <v>1</v>
      </c>
      <c r="BN22" s="72">
        <v>1</v>
      </c>
      <c r="BO22" s="72">
        <v>1</v>
      </c>
      <c r="BP22" s="72">
        <v>1</v>
      </c>
      <c r="BQ22" s="72">
        <v>1</v>
      </c>
      <c r="BR22" s="72">
        <v>1</v>
      </c>
      <c r="BS22" s="72">
        <v>1</v>
      </c>
      <c r="BT22" s="70">
        <f t="shared" si="4"/>
        <v>7</v>
      </c>
      <c r="BU22" s="70">
        <f t="shared" si="5"/>
        <v>29</v>
      </c>
      <c r="BV22" s="105">
        <v>5</v>
      </c>
      <c r="BW22" s="105">
        <v>5</v>
      </c>
      <c r="BX22" s="105">
        <v>5</v>
      </c>
      <c r="BY22" s="73">
        <v>1</v>
      </c>
      <c r="BZ22" s="105">
        <v>5</v>
      </c>
      <c r="CA22" s="73">
        <v>3</v>
      </c>
      <c r="CB22" s="105">
        <v>5</v>
      </c>
      <c r="CC22" s="73">
        <v>5</v>
      </c>
      <c r="CD22" s="73">
        <v>2</v>
      </c>
      <c r="CE22" s="73">
        <v>3</v>
      </c>
      <c r="CF22" s="73">
        <v>3</v>
      </c>
      <c r="CG22" s="73">
        <v>5</v>
      </c>
      <c r="CH22" s="74">
        <v>5</v>
      </c>
      <c r="CI22" s="105">
        <v>5</v>
      </c>
      <c r="CJ22" s="73">
        <v>3</v>
      </c>
      <c r="CK22" s="75">
        <f t="shared" si="77"/>
        <v>60</v>
      </c>
      <c r="CL22" s="106">
        <v>5</v>
      </c>
      <c r="CM22" s="76">
        <v>1</v>
      </c>
      <c r="CN22" s="76">
        <v>5</v>
      </c>
      <c r="CO22" s="76">
        <v>5</v>
      </c>
      <c r="CP22" s="76">
        <v>5</v>
      </c>
      <c r="CQ22" s="106">
        <v>5</v>
      </c>
      <c r="CR22" s="76">
        <v>1</v>
      </c>
      <c r="CS22" s="76">
        <v>5</v>
      </c>
      <c r="CT22" s="76">
        <v>5</v>
      </c>
      <c r="CU22" s="76">
        <v>5</v>
      </c>
      <c r="CV22" s="76">
        <v>5</v>
      </c>
      <c r="CW22" s="76">
        <v>1</v>
      </c>
      <c r="CX22" s="76">
        <v>1</v>
      </c>
      <c r="CY22" s="76">
        <v>5</v>
      </c>
      <c r="CZ22" s="76">
        <v>5</v>
      </c>
      <c r="DA22" s="76">
        <v>5</v>
      </c>
      <c r="DB22" s="76">
        <v>5</v>
      </c>
      <c r="DC22" s="76">
        <v>4</v>
      </c>
      <c r="DD22" s="76">
        <v>5</v>
      </c>
      <c r="DE22" s="76">
        <v>5</v>
      </c>
      <c r="DF22" s="76">
        <v>5</v>
      </c>
      <c r="DG22" s="76">
        <v>5</v>
      </c>
      <c r="DH22" s="76">
        <v>5</v>
      </c>
      <c r="DI22" s="76">
        <v>5</v>
      </c>
      <c r="DJ22" s="76">
        <v>1</v>
      </c>
      <c r="DK22" s="76">
        <v>5</v>
      </c>
      <c r="DL22" s="76">
        <v>3</v>
      </c>
      <c r="DM22" s="76">
        <v>1</v>
      </c>
      <c r="DN22" s="76">
        <f t="shared" si="7"/>
        <v>113</v>
      </c>
      <c r="DO22" s="118">
        <v>29</v>
      </c>
      <c r="DP22" s="97">
        <v>0</v>
      </c>
      <c r="DQ22" s="97">
        <v>0</v>
      </c>
      <c r="DR22" s="97">
        <v>0</v>
      </c>
      <c r="DS22" s="97">
        <v>0</v>
      </c>
      <c r="DT22" s="97">
        <v>0</v>
      </c>
      <c r="DU22" s="97">
        <v>0</v>
      </c>
      <c r="DV22" s="97">
        <v>1</v>
      </c>
      <c r="DW22" s="97">
        <v>0</v>
      </c>
      <c r="DX22" s="97">
        <v>0</v>
      </c>
      <c r="DY22" s="97">
        <v>0</v>
      </c>
      <c r="DZ22" s="97">
        <v>0</v>
      </c>
      <c r="EA22" s="97">
        <v>0</v>
      </c>
      <c r="EB22" s="97">
        <v>0</v>
      </c>
      <c r="EC22" s="97">
        <v>0</v>
      </c>
      <c r="ED22" s="97">
        <v>0</v>
      </c>
      <c r="EE22" s="77">
        <f t="shared" si="31"/>
        <v>1</v>
      </c>
      <c r="EF22" s="77" t="s">
        <v>265</v>
      </c>
      <c r="EG22" s="78">
        <f t="shared" si="8"/>
        <v>1</v>
      </c>
      <c r="EH22" s="97">
        <v>0</v>
      </c>
      <c r="EI22" s="97">
        <v>0</v>
      </c>
      <c r="EJ22" s="97">
        <v>0</v>
      </c>
      <c r="EK22" s="97">
        <v>0</v>
      </c>
      <c r="EL22" s="97">
        <v>0</v>
      </c>
      <c r="EM22" s="97">
        <v>0</v>
      </c>
      <c r="EN22" s="97">
        <v>0.5</v>
      </c>
      <c r="EO22" s="97">
        <v>0.5</v>
      </c>
      <c r="EP22" s="97">
        <v>0</v>
      </c>
      <c r="EQ22" s="97">
        <v>0</v>
      </c>
      <c r="ER22" s="97">
        <v>0</v>
      </c>
      <c r="ES22" s="97">
        <v>0</v>
      </c>
      <c r="ET22" s="97">
        <v>0</v>
      </c>
      <c r="EU22" s="97">
        <v>0</v>
      </c>
      <c r="EV22" s="97">
        <v>0</v>
      </c>
      <c r="EW22" s="97">
        <v>0</v>
      </c>
      <c r="EX22" s="97">
        <v>0</v>
      </c>
      <c r="EY22" s="97">
        <v>0</v>
      </c>
      <c r="EZ22" s="97">
        <v>0</v>
      </c>
      <c r="FA22" s="97">
        <v>0</v>
      </c>
      <c r="FB22" s="97">
        <v>0</v>
      </c>
      <c r="FC22" s="97">
        <v>0</v>
      </c>
      <c r="FD22" s="79">
        <f t="shared" si="9"/>
        <v>1</v>
      </c>
      <c r="FE22" s="80">
        <v>1</v>
      </c>
      <c r="FF22" s="97">
        <v>1</v>
      </c>
      <c r="FG22" s="97">
        <v>1</v>
      </c>
      <c r="FH22" s="97">
        <v>1</v>
      </c>
      <c r="FI22" s="97">
        <v>1</v>
      </c>
      <c r="FJ22" s="97">
        <v>1</v>
      </c>
      <c r="FK22" s="97">
        <v>1</v>
      </c>
      <c r="FL22" s="97">
        <v>1</v>
      </c>
      <c r="FM22" s="97">
        <v>1</v>
      </c>
      <c r="FN22" s="81">
        <f t="shared" si="10"/>
        <v>8</v>
      </c>
      <c r="FO22" s="82">
        <v>1</v>
      </c>
      <c r="FP22" s="97">
        <v>10</v>
      </c>
      <c r="FQ22" s="97">
        <v>5</v>
      </c>
      <c r="FR22" s="97">
        <v>10</v>
      </c>
      <c r="FS22" s="97">
        <v>5</v>
      </c>
      <c r="FT22" s="97">
        <v>10</v>
      </c>
      <c r="FU22" s="97">
        <v>10</v>
      </c>
      <c r="FV22" s="97">
        <v>10</v>
      </c>
      <c r="FW22" s="97">
        <v>15</v>
      </c>
      <c r="FX22" s="97">
        <v>15</v>
      </c>
      <c r="FY22" s="97">
        <v>10</v>
      </c>
      <c r="FZ22" s="83">
        <f t="shared" si="11"/>
        <v>100</v>
      </c>
      <c r="GA22" s="84">
        <v>1</v>
      </c>
      <c r="GB22" s="55">
        <v>0</v>
      </c>
      <c r="GC22" s="85">
        <v>0</v>
      </c>
      <c r="GD22" s="85">
        <v>0</v>
      </c>
      <c r="GE22" s="85">
        <v>0</v>
      </c>
      <c r="GF22" s="85">
        <v>0</v>
      </c>
      <c r="GG22" s="85">
        <v>0</v>
      </c>
      <c r="GH22" s="85">
        <v>0</v>
      </c>
      <c r="GI22" s="55">
        <v>0</v>
      </c>
      <c r="GJ22" s="55">
        <v>0</v>
      </c>
      <c r="GK22" s="55">
        <v>0</v>
      </c>
      <c r="GL22" s="55">
        <v>0</v>
      </c>
      <c r="GM22" s="55">
        <v>0</v>
      </c>
      <c r="GN22" s="55">
        <v>0</v>
      </c>
      <c r="GO22" s="55">
        <v>0</v>
      </c>
      <c r="GP22" s="55">
        <v>0</v>
      </c>
      <c r="GQ22" s="55">
        <v>0</v>
      </c>
      <c r="GR22" s="55">
        <v>0</v>
      </c>
      <c r="GS22" s="55">
        <v>0</v>
      </c>
      <c r="GT22" s="55">
        <v>0</v>
      </c>
      <c r="GU22" s="86">
        <f t="shared" si="12"/>
        <v>0</v>
      </c>
      <c r="GV22" s="87" t="s">
        <v>301</v>
      </c>
      <c r="GW22" s="87">
        <v>0</v>
      </c>
      <c r="GX22" s="88" t="s">
        <v>267</v>
      </c>
      <c r="GY22" s="55">
        <v>5</v>
      </c>
      <c r="GZ22" s="55">
        <v>5</v>
      </c>
      <c r="HA22" s="55">
        <v>3</v>
      </c>
      <c r="HB22" s="55">
        <v>1</v>
      </c>
      <c r="HC22" s="55">
        <v>5</v>
      </c>
      <c r="HD22" s="55">
        <v>5</v>
      </c>
      <c r="HE22" s="55"/>
      <c r="HF22" s="55"/>
      <c r="HG22" s="55">
        <v>2</v>
      </c>
      <c r="HH22" s="55">
        <v>7</v>
      </c>
      <c r="HI22" s="55">
        <v>7</v>
      </c>
      <c r="HJ22" s="55"/>
      <c r="HK22" s="55">
        <v>2</v>
      </c>
      <c r="HL22" s="55">
        <v>6</v>
      </c>
      <c r="HM22" s="55">
        <v>6</v>
      </c>
      <c r="HN22" s="55">
        <v>1</v>
      </c>
      <c r="HO22" s="55">
        <v>3</v>
      </c>
      <c r="HP22" s="55">
        <v>1</v>
      </c>
      <c r="HQ22" s="55">
        <v>1</v>
      </c>
      <c r="HR22" s="55">
        <v>1</v>
      </c>
      <c r="HS22" s="55">
        <v>1</v>
      </c>
      <c r="HT22" s="55">
        <v>2</v>
      </c>
      <c r="HU22" s="55">
        <v>4</v>
      </c>
      <c r="HV22" s="55">
        <v>1</v>
      </c>
      <c r="HW22" s="55">
        <v>1</v>
      </c>
      <c r="HX22" s="55">
        <v>1</v>
      </c>
      <c r="HY22" s="55">
        <v>5</v>
      </c>
      <c r="HZ22" s="55">
        <v>4</v>
      </c>
      <c r="IA22" s="55">
        <v>4</v>
      </c>
      <c r="IB22" s="55">
        <v>7</v>
      </c>
      <c r="IC22" s="55"/>
      <c r="ID22" s="55">
        <f t="shared" ref="ID22:IG22" si="87">SUM(GY22)</f>
        <v>5</v>
      </c>
      <c r="IE22" s="55">
        <f t="shared" si="87"/>
        <v>5</v>
      </c>
      <c r="IF22" s="55">
        <f t="shared" si="87"/>
        <v>3</v>
      </c>
      <c r="IG22" s="55">
        <f t="shared" si="87"/>
        <v>1</v>
      </c>
      <c r="IH22" s="55">
        <f t="shared" si="14"/>
        <v>10</v>
      </c>
      <c r="II22" s="55">
        <f t="shared" si="15"/>
        <v>2</v>
      </c>
      <c r="IJ22" s="55">
        <f t="shared" si="16"/>
        <v>14</v>
      </c>
      <c r="IK22" s="55">
        <f t="shared" ref="IK22:IQ22" si="88">SUM(HK22)</f>
        <v>2</v>
      </c>
      <c r="IL22" s="55">
        <f t="shared" si="88"/>
        <v>6</v>
      </c>
      <c r="IM22" s="55">
        <f t="shared" si="88"/>
        <v>6</v>
      </c>
      <c r="IN22" s="55">
        <f t="shared" si="88"/>
        <v>1</v>
      </c>
      <c r="IO22" s="55">
        <f t="shared" si="88"/>
        <v>3</v>
      </c>
      <c r="IP22" s="55">
        <f t="shared" si="88"/>
        <v>1</v>
      </c>
      <c r="IQ22" s="55">
        <f t="shared" si="88"/>
        <v>1</v>
      </c>
      <c r="IR22" s="55">
        <f t="shared" si="18"/>
        <v>2</v>
      </c>
      <c r="IS22" s="55">
        <f t="shared" ref="IS22:JB22" si="89">SUM(HT22)</f>
        <v>2</v>
      </c>
      <c r="IT22" s="55">
        <f t="shared" si="89"/>
        <v>4</v>
      </c>
      <c r="IU22" s="55">
        <f t="shared" si="89"/>
        <v>1</v>
      </c>
      <c r="IV22" s="55">
        <f t="shared" si="89"/>
        <v>1</v>
      </c>
      <c r="IW22" s="55">
        <f t="shared" si="89"/>
        <v>1</v>
      </c>
      <c r="IX22" s="55">
        <f t="shared" si="89"/>
        <v>5</v>
      </c>
      <c r="IY22" s="55">
        <f t="shared" si="89"/>
        <v>4</v>
      </c>
      <c r="IZ22" s="55">
        <f t="shared" si="89"/>
        <v>4</v>
      </c>
      <c r="JA22" s="55">
        <f t="shared" si="89"/>
        <v>7</v>
      </c>
      <c r="JB22" s="55">
        <f t="shared" si="89"/>
        <v>0</v>
      </c>
      <c r="JC22" s="89">
        <f t="shared" si="20"/>
        <v>90</v>
      </c>
      <c r="JD22" s="90">
        <v>1</v>
      </c>
      <c r="JE22" s="90">
        <v>1</v>
      </c>
      <c r="JF22" s="91">
        <v>55</v>
      </c>
      <c r="JG22" s="91">
        <v>2</v>
      </c>
      <c r="JH22" s="55">
        <v>2</v>
      </c>
      <c r="JI22" s="55">
        <v>2</v>
      </c>
      <c r="JJ22" s="55">
        <v>2</v>
      </c>
      <c r="JK22" s="55">
        <v>1</v>
      </c>
      <c r="JL22" s="55">
        <v>0</v>
      </c>
      <c r="JM22" s="55">
        <v>0</v>
      </c>
      <c r="JN22" s="55">
        <v>0</v>
      </c>
      <c r="JO22" s="55">
        <v>0</v>
      </c>
      <c r="JP22" s="89">
        <f t="shared" si="21"/>
        <v>7</v>
      </c>
      <c r="JQ22" s="55">
        <v>2</v>
      </c>
      <c r="JR22" s="55">
        <v>2</v>
      </c>
      <c r="JS22" s="55">
        <v>1</v>
      </c>
      <c r="JT22" s="55">
        <v>0</v>
      </c>
      <c r="JU22" s="55">
        <v>0</v>
      </c>
      <c r="JV22" s="55">
        <v>0</v>
      </c>
      <c r="JW22" s="55">
        <v>0</v>
      </c>
      <c r="JX22" s="92">
        <f t="shared" si="22"/>
        <v>5</v>
      </c>
      <c r="JY22" s="93">
        <f t="shared" si="23"/>
        <v>12</v>
      </c>
      <c r="JZ22" s="55">
        <v>3</v>
      </c>
      <c r="KA22" s="55">
        <v>2</v>
      </c>
      <c r="KB22" s="55">
        <v>2</v>
      </c>
      <c r="KC22" s="55">
        <v>0</v>
      </c>
      <c r="KD22" s="55">
        <v>0</v>
      </c>
      <c r="KE22" s="55">
        <v>0</v>
      </c>
      <c r="KF22" s="55">
        <v>0</v>
      </c>
      <c r="KG22" s="94">
        <f t="shared" si="24"/>
        <v>7</v>
      </c>
      <c r="KH22" s="95" t="s">
        <v>391</v>
      </c>
      <c r="KI22" s="55">
        <v>0</v>
      </c>
      <c r="KJ22" s="55">
        <v>2</v>
      </c>
      <c r="KK22" s="55">
        <v>0</v>
      </c>
      <c r="KL22" s="95" t="s">
        <v>392</v>
      </c>
      <c r="KM22" s="55">
        <v>0</v>
      </c>
      <c r="KN22" s="55">
        <v>2</v>
      </c>
      <c r="KO22" s="55">
        <v>0</v>
      </c>
      <c r="KP22" s="95" t="s">
        <v>393</v>
      </c>
      <c r="KQ22" s="55">
        <v>0</v>
      </c>
      <c r="KR22" s="55">
        <v>2</v>
      </c>
      <c r="KS22" s="55">
        <v>1</v>
      </c>
      <c r="KT22" s="95" t="s">
        <v>394</v>
      </c>
      <c r="KU22" s="55">
        <v>0</v>
      </c>
      <c r="KV22" s="55">
        <v>2</v>
      </c>
      <c r="KW22" s="55">
        <v>1</v>
      </c>
      <c r="KX22" s="95" t="s">
        <v>395</v>
      </c>
      <c r="KY22" s="55">
        <v>0</v>
      </c>
      <c r="KZ22" s="55">
        <v>2</v>
      </c>
      <c r="LA22" s="55">
        <v>0</v>
      </c>
      <c r="LB22" s="95" t="s">
        <v>396</v>
      </c>
      <c r="LC22" s="55">
        <v>0</v>
      </c>
      <c r="LD22" s="55">
        <v>2</v>
      </c>
      <c r="LE22" s="55">
        <v>3</v>
      </c>
      <c r="LF22" s="95" t="s">
        <v>397</v>
      </c>
      <c r="LG22" s="55">
        <v>0</v>
      </c>
      <c r="LH22" s="55">
        <v>2</v>
      </c>
      <c r="LI22" s="55">
        <v>1</v>
      </c>
      <c r="LJ22" s="95" t="s">
        <v>398</v>
      </c>
      <c r="LK22" s="55">
        <v>0</v>
      </c>
      <c r="LL22" s="55">
        <v>2</v>
      </c>
      <c r="LM22" s="55">
        <v>2</v>
      </c>
      <c r="LN22" s="96">
        <f t="shared" si="25"/>
        <v>24</v>
      </c>
      <c r="LO22" s="97">
        <f t="shared" si="26"/>
        <v>8</v>
      </c>
      <c r="LP22" s="97">
        <f t="shared" si="27"/>
        <v>43</v>
      </c>
    </row>
    <row r="23" spans="1:328" s="98" customFormat="1" ht="13.8">
      <c r="A23" s="55" t="s">
        <v>634</v>
      </c>
      <c r="B23" s="110">
        <v>45981</v>
      </c>
      <c r="C23" s="61">
        <v>54</v>
      </c>
      <c r="D23" s="62"/>
      <c r="E23" s="62"/>
      <c r="F23" s="61">
        <v>1</v>
      </c>
      <c r="G23" s="61">
        <v>1</v>
      </c>
      <c r="H23" s="61">
        <v>1</v>
      </c>
      <c r="I23" s="164">
        <v>6</v>
      </c>
      <c r="J23" s="164">
        <v>6</v>
      </c>
      <c r="K23" s="63">
        <v>6.0416666666666667E-2</v>
      </c>
      <c r="L23" s="63">
        <v>8.9583333333333334E-2</v>
      </c>
      <c r="M23" s="63">
        <v>9.0972222222222218E-2</v>
      </c>
      <c r="N23" s="64" t="s">
        <v>1040</v>
      </c>
      <c r="O23" s="101" t="s">
        <v>997</v>
      </c>
      <c r="P23" s="95" t="s">
        <v>721</v>
      </c>
      <c r="Q23" s="95">
        <v>1</v>
      </c>
      <c r="R23" s="125">
        <v>18620</v>
      </c>
      <c r="S23" s="95">
        <v>74</v>
      </c>
      <c r="T23" s="95" t="s">
        <v>259</v>
      </c>
      <c r="U23" s="95" t="s">
        <v>276</v>
      </c>
      <c r="V23" s="130" t="s">
        <v>682</v>
      </c>
      <c r="W23" s="95" t="s">
        <v>722</v>
      </c>
      <c r="X23" s="95" t="s">
        <v>596</v>
      </c>
      <c r="Y23" s="95" t="s">
        <v>277</v>
      </c>
      <c r="Z23" s="95" t="s">
        <v>262</v>
      </c>
      <c r="AA23" s="95" t="s">
        <v>399</v>
      </c>
      <c r="AB23" s="95" t="s">
        <v>264</v>
      </c>
      <c r="AC23" s="95" t="s">
        <v>597</v>
      </c>
      <c r="AD23" s="95" t="s">
        <v>597</v>
      </c>
      <c r="AE23" s="95" t="s">
        <v>602</v>
      </c>
      <c r="AF23" s="95" t="s">
        <v>597</v>
      </c>
      <c r="AG23" s="95" t="s">
        <v>602</v>
      </c>
      <c r="AH23" s="95" t="s">
        <v>599</v>
      </c>
      <c r="AI23" s="95" t="s">
        <v>599</v>
      </c>
      <c r="AJ23" s="125">
        <v>44986</v>
      </c>
      <c r="AK23" s="97"/>
      <c r="AL23" s="115">
        <v>1</v>
      </c>
      <c r="AM23" s="115">
        <v>1</v>
      </c>
      <c r="AN23" s="115">
        <v>1</v>
      </c>
      <c r="AO23" s="115">
        <v>1</v>
      </c>
      <c r="AP23" s="115">
        <v>1</v>
      </c>
      <c r="AQ23" s="115">
        <v>1</v>
      </c>
      <c r="AR23" s="115">
        <v>1</v>
      </c>
      <c r="AS23" s="115">
        <v>1</v>
      </c>
      <c r="AT23" s="70">
        <f t="shared" si="0"/>
        <v>8</v>
      </c>
      <c r="AU23" s="71">
        <v>1</v>
      </c>
      <c r="AV23" s="71">
        <v>1</v>
      </c>
      <c r="AW23" s="71">
        <v>1</v>
      </c>
      <c r="AX23" s="71">
        <v>1</v>
      </c>
      <c r="AY23" s="70">
        <f t="shared" si="1"/>
        <v>4</v>
      </c>
      <c r="AZ23" s="69">
        <v>1</v>
      </c>
      <c r="BA23" s="69">
        <v>1</v>
      </c>
      <c r="BB23" s="69">
        <v>1</v>
      </c>
      <c r="BC23" s="69">
        <v>1</v>
      </c>
      <c r="BD23" s="69">
        <v>1</v>
      </c>
      <c r="BE23" s="69">
        <v>1</v>
      </c>
      <c r="BF23" s="69">
        <v>1</v>
      </c>
      <c r="BG23" s="69">
        <v>1</v>
      </c>
      <c r="BH23" s="70">
        <f t="shared" si="2"/>
        <v>8</v>
      </c>
      <c r="BI23" s="69">
        <v>1</v>
      </c>
      <c r="BJ23" s="69">
        <v>1</v>
      </c>
      <c r="BK23" s="70">
        <f t="shared" si="3"/>
        <v>2</v>
      </c>
      <c r="BL23" s="72">
        <v>1</v>
      </c>
      <c r="BM23" s="72">
        <v>1</v>
      </c>
      <c r="BN23" s="72">
        <v>1</v>
      </c>
      <c r="BO23" s="72">
        <v>1</v>
      </c>
      <c r="BP23" s="72">
        <v>1</v>
      </c>
      <c r="BQ23" s="72">
        <v>1</v>
      </c>
      <c r="BR23" s="72">
        <v>1</v>
      </c>
      <c r="BS23" s="72">
        <v>1</v>
      </c>
      <c r="BT23" s="70">
        <f t="shared" si="4"/>
        <v>7</v>
      </c>
      <c r="BU23" s="70">
        <f t="shared" si="5"/>
        <v>29</v>
      </c>
      <c r="BV23" s="73">
        <v>5</v>
      </c>
      <c r="BW23" s="73">
        <v>5</v>
      </c>
      <c r="BX23" s="73">
        <v>5</v>
      </c>
      <c r="BY23" s="73">
        <v>1</v>
      </c>
      <c r="BZ23" s="105">
        <v>5</v>
      </c>
      <c r="CA23" s="73">
        <v>3</v>
      </c>
      <c r="CB23" s="105">
        <v>5</v>
      </c>
      <c r="CC23" s="73">
        <v>5</v>
      </c>
      <c r="CD23" s="73">
        <v>2</v>
      </c>
      <c r="CE23" s="73">
        <v>3</v>
      </c>
      <c r="CF23" s="73">
        <v>3</v>
      </c>
      <c r="CG23" s="73">
        <v>5</v>
      </c>
      <c r="CH23" s="74">
        <v>5</v>
      </c>
      <c r="CI23" s="73">
        <v>5</v>
      </c>
      <c r="CJ23" s="73">
        <v>3</v>
      </c>
      <c r="CK23" s="75">
        <f t="shared" si="77"/>
        <v>60</v>
      </c>
      <c r="CL23" s="76">
        <v>5</v>
      </c>
      <c r="CM23" s="76">
        <v>1</v>
      </c>
      <c r="CN23" s="76">
        <v>5</v>
      </c>
      <c r="CO23" s="76">
        <v>5</v>
      </c>
      <c r="CP23" s="76">
        <v>5</v>
      </c>
      <c r="CQ23" s="106">
        <v>5</v>
      </c>
      <c r="CR23" s="76">
        <v>1</v>
      </c>
      <c r="CS23" s="76">
        <v>5</v>
      </c>
      <c r="CT23" s="76">
        <v>5</v>
      </c>
      <c r="CU23" s="76">
        <v>5</v>
      </c>
      <c r="CV23" s="76">
        <v>5</v>
      </c>
      <c r="CW23" s="76">
        <v>1</v>
      </c>
      <c r="CX23" s="76">
        <v>1</v>
      </c>
      <c r="CY23" s="76">
        <v>5</v>
      </c>
      <c r="CZ23" s="76">
        <v>5</v>
      </c>
      <c r="DA23" s="76">
        <v>5</v>
      </c>
      <c r="DB23" s="76">
        <v>5</v>
      </c>
      <c r="DC23" s="76">
        <v>4</v>
      </c>
      <c r="DD23" s="76">
        <v>5</v>
      </c>
      <c r="DE23" s="76">
        <v>5</v>
      </c>
      <c r="DF23" s="76">
        <v>5</v>
      </c>
      <c r="DG23" s="76">
        <v>5</v>
      </c>
      <c r="DH23" s="76">
        <v>5</v>
      </c>
      <c r="DI23" s="76">
        <v>5</v>
      </c>
      <c r="DJ23" s="76">
        <v>1</v>
      </c>
      <c r="DK23" s="76">
        <v>5</v>
      </c>
      <c r="DL23" s="76">
        <v>3</v>
      </c>
      <c r="DM23" s="76">
        <v>1</v>
      </c>
      <c r="DN23" s="76">
        <f t="shared" si="7"/>
        <v>113</v>
      </c>
      <c r="DO23" s="118">
        <v>28</v>
      </c>
      <c r="DP23" s="97">
        <v>0</v>
      </c>
      <c r="DQ23" s="97">
        <v>0</v>
      </c>
      <c r="DR23" s="97">
        <v>0</v>
      </c>
      <c r="DS23" s="97">
        <v>0</v>
      </c>
      <c r="DT23" s="97">
        <v>0</v>
      </c>
      <c r="DU23" s="97">
        <v>0</v>
      </c>
      <c r="DV23" s="97">
        <v>0</v>
      </c>
      <c r="DW23" s="97">
        <v>0</v>
      </c>
      <c r="DX23" s="97">
        <v>0</v>
      </c>
      <c r="DY23" s="97">
        <v>0</v>
      </c>
      <c r="DZ23" s="97">
        <v>0</v>
      </c>
      <c r="EA23" s="97">
        <v>0</v>
      </c>
      <c r="EB23" s="97">
        <v>0</v>
      </c>
      <c r="EC23" s="97">
        <v>0</v>
      </c>
      <c r="ED23" s="97">
        <v>0</v>
      </c>
      <c r="EE23" s="77">
        <f t="shared" si="31"/>
        <v>0</v>
      </c>
      <c r="EF23" s="77" t="s">
        <v>265</v>
      </c>
      <c r="EG23" s="78">
        <f t="shared" si="8"/>
        <v>0</v>
      </c>
      <c r="EH23" s="97">
        <v>0</v>
      </c>
      <c r="EI23" s="97">
        <v>0</v>
      </c>
      <c r="EJ23" s="97">
        <v>0</v>
      </c>
      <c r="EK23" s="97">
        <v>0</v>
      </c>
      <c r="EL23" s="97">
        <v>0</v>
      </c>
      <c r="EM23" s="97">
        <v>0</v>
      </c>
      <c r="EN23" s="97">
        <v>0</v>
      </c>
      <c r="EO23" s="97">
        <v>0.5</v>
      </c>
      <c r="EP23" s="97">
        <v>0</v>
      </c>
      <c r="EQ23" s="97">
        <v>0</v>
      </c>
      <c r="ER23" s="97">
        <v>0</v>
      </c>
      <c r="ES23" s="97">
        <v>0</v>
      </c>
      <c r="ET23" s="97">
        <v>0</v>
      </c>
      <c r="EU23" s="97">
        <v>0</v>
      </c>
      <c r="EV23" s="97">
        <v>0</v>
      </c>
      <c r="EW23" s="97">
        <v>0</v>
      </c>
      <c r="EX23" s="97">
        <v>0</v>
      </c>
      <c r="EY23" s="97">
        <v>0</v>
      </c>
      <c r="EZ23" s="97">
        <v>0</v>
      </c>
      <c r="FA23" s="97">
        <v>0</v>
      </c>
      <c r="FB23" s="97">
        <v>0</v>
      </c>
      <c r="FC23" s="97">
        <v>0</v>
      </c>
      <c r="FD23" s="79">
        <f t="shared" si="9"/>
        <v>0.5</v>
      </c>
      <c r="FE23" s="80">
        <v>1</v>
      </c>
      <c r="FF23" s="97">
        <v>1</v>
      </c>
      <c r="FG23" s="97">
        <v>1</v>
      </c>
      <c r="FH23" s="97">
        <v>1</v>
      </c>
      <c r="FI23" s="97">
        <v>1</v>
      </c>
      <c r="FJ23" s="97">
        <v>1</v>
      </c>
      <c r="FK23" s="97">
        <v>1</v>
      </c>
      <c r="FL23" s="97">
        <v>1</v>
      </c>
      <c r="FM23" s="97">
        <v>1</v>
      </c>
      <c r="FN23" s="81">
        <f t="shared" si="10"/>
        <v>8</v>
      </c>
      <c r="FO23" s="82">
        <v>1</v>
      </c>
      <c r="FP23" s="97">
        <v>10</v>
      </c>
      <c r="FQ23" s="97">
        <v>5</v>
      </c>
      <c r="FR23" s="97">
        <v>10</v>
      </c>
      <c r="FS23" s="97">
        <v>5</v>
      </c>
      <c r="FT23" s="97">
        <v>10</v>
      </c>
      <c r="FU23" s="97">
        <v>10</v>
      </c>
      <c r="FV23" s="97">
        <v>10</v>
      </c>
      <c r="FW23" s="97">
        <v>15</v>
      </c>
      <c r="FX23" s="97">
        <v>15</v>
      </c>
      <c r="FY23" s="97">
        <v>10</v>
      </c>
      <c r="FZ23" s="83">
        <f t="shared" si="11"/>
        <v>100</v>
      </c>
      <c r="GA23" s="84">
        <v>1</v>
      </c>
      <c r="GB23" s="55">
        <v>0</v>
      </c>
      <c r="GC23" s="97">
        <v>0</v>
      </c>
      <c r="GD23" s="97">
        <v>0</v>
      </c>
      <c r="GE23" s="85">
        <v>0</v>
      </c>
      <c r="GF23" s="97">
        <v>0</v>
      </c>
      <c r="GG23" s="97">
        <v>0</v>
      </c>
      <c r="GH23" s="97">
        <v>0</v>
      </c>
      <c r="GI23" s="97">
        <v>0</v>
      </c>
      <c r="GJ23" s="97">
        <v>0</v>
      </c>
      <c r="GK23" s="97">
        <v>0</v>
      </c>
      <c r="GL23" s="97">
        <v>0</v>
      </c>
      <c r="GM23" s="97">
        <v>0</v>
      </c>
      <c r="GN23" s="97">
        <v>0</v>
      </c>
      <c r="GO23" s="97">
        <v>0</v>
      </c>
      <c r="GP23" s="97">
        <v>0</v>
      </c>
      <c r="GQ23" s="97">
        <v>0</v>
      </c>
      <c r="GR23" s="97">
        <v>0</v>
      </c>
      <c r="GS23" s="97">
        <v>0</v>
      </c>
      <c r="GT23" s="97">
        <v>0</v>
      </c>
      <c r="GU23" s="86">
        <f t="shared" si="12"/>
        <v>0</v>
      </c>
      <c r="GV23" s="87" t="s">
        <v>301</v>
      </c>
      <c r="GW23" s="87">
        <v>0</v>
      </c>
      <c r="GX23" s="88" t="s">
        <v>267</v>
      </c>
      <c r="GY23" s="97">
        <v>5</v>
      </c>
      <c r="GZ23" s="97">
        <v>5</v>
      </c>
      <c r="HA23" s="97">
        <v>3</v>
      </c>
      <c r="HB23" s="97">
        <v>1</v>
      </c>
      <c r="HC23" s="97">
        <v>5</v>
      </c>
      <c r="HD23" s="97">
        <v>5</v>
      </c>
      <c r="HE23" s="97"/>
      <c r="HF23" s="97"/>
      <c r="HG23" s="97">
        <v>3</v>
      </c>
      <c r="HH23" s="97">
        <v>7</v>
      </c>
      <c r="HI23" s="97">
        <v>7</v>
      </c>
      <c r="HJ23" s="97"/>
      <c r="HK23" s="97">
        <v>3</v>
      </c>
      <c r="HL23" s="97">
        <v>5</v>
      </c>
      <c r="HM23" s="97">
        <v>5</v>
      </c>
      <c r="HN23" s="97">
        <v>1</v>
      </c>
      <c r="HO23" s="97">
        <v>3</v>
      </c>
      <c r="HP23" s="97">
        <v>1</v>
      </c>
      <c r="HQ23" s="97">
        <v>2</v>
      </c>
      <c r="HR23" s="97">
        <v>1</v>
      </c>
      <c r="HS23" s="97">
        <v>1</v>
      </c>
      <c r="HT23" s="97">
        <v>2</v>
      </c>
      <c r="HU23" s="97">
        <v>4</v>
      </c>
      <c r="HV23" s="97">
        <v>1</v>
      </c>
      <c r="HW23" s="97">
        <v>1</v>
      </c>
      <c r="HX23" s="97">
        <v>2</v>
      </c>
      <c r="HY23" s="97">
        <v>2</v>
      </c>
      <c r="HZ23" s="97">
        <v>3</v>
      </c>
      <c r="IA23" s="97">
        <v>4</v>
      </c>
      <c r="IB23" s="97">
        <v>7</v>
      </c>
      <c r="IC23" s="55"/>
      <c r="ID23" s="55">
        <f t="shared" ref="ID23:IG23" si="90">SUM(GY23)</f>
        <v>5</v>
      </c>
      <c r="IE23" s="55">
        <f t="shared" si="90"/>
        <v>5</v>
      </c>
      <c r="IF23" s="55">
        <f t="shared" si="90"/>
        <v>3</v>
      </c>
      <c r="IG23" s="55">
        <f t="shared" si="90"/>
        <v>1</v>
      </c>
      <c r="IH23" s="55">
        <f t="shared" si="14"/>
        <v>10</v>
      </c>
      <c r="II23" s="55">
        <f t="shared" si="15"/>
        <v>3</v>
      </c>
      <c r="IJ23" s="55">
        <f t="shared" si="16"/>
        <v>14</v>
      </c>
      <c r="IK23" s="55">
        <f t="shared" ref="IK23:IQ23" si="91">SUM(HK23)</f>
        <v>3</v>
      </c>
      <c r="IL23" s="55">
        <f t="shared" si="91"/>
        <v>5</v>
      </c>
      <c r="IM23" s="55">
        <f t="shared" si="91"/>
        <v>5</v>
      </c>
      <c r="IN23" s="55">
        <f t="shared" si="91"/>
        <v>1</v>
      </c>
      <c r="IO23" s="55">
        <f t="shared" si="91"/>
        <v>3</v>
      </c>
      <c r="IP23" s="55">
        <f t="shared" si="91"/>
        <v>1</v>
      </c>
      <c r="IQ23" s="55">
        <f t="shared" si="91"/>
        <v>2</v>
      </c>
      <c r="IR23" s="55">
        <f t="shared" si="18"/>
        <v>2</v>
      </c>
      <c r="IS23" s="55">
        <f t="shared" ref="IS23:JB23" si="92">SUM(HT23)</f>
        <v>2</v>
      </c>
      <c r="IT23" s="55">
        <f t="shared" si="92"/>
        <v>4</v>
      </c>
      <c r="IU23" s="55">
        <f t="shared" si="92"/>
        <v>1</v>
      </c>
      <c r="IV23" s="55">
        <f t="shared" si="92"/>
        <v>1</v>
      </c>
      <c r="IW23" s="55">
        <f t="shared" si="92"/>
        <v>2</v>
      </c>
      <c r="IX23" s="55">
        <f t="shared" si="92"/>
        <v>2</v>
      </c>
      <c r="IY23" s="55">
        <f t="shared" si="92"/>
        <v>3</v>
      </c>
      <c r="IZ23" s="55">
        <f t="shared" si="92"/>
        <v>4</v>
      </c>
      <c r="JA23" s="55">
        <f t="shared" si="92"/>
        <v>7</v>
      </c>
      <c r="JB23" s="55">
        <f t="shared" si="92"/>
        <v>0</v>
      </c>
      <c r="JC23" s="89">
        <f t="shared" si="20"/>
        <v>88</v>
      </c>
      <c r="JD23" s="90">
        <v>1</v>
      </c>
      <c r="JE23" s="90"/>
      <c r="JF23" s="91">
        <v>49</v>
      </c>
      <c r="JG23" s="121">
        <v>2</v>
      </c>
      <c r="JH23" s="97">
        <v>2</v>
      </c>
      <c r="JI23" s="97">
        <v>2</v>
      </c>
      <c r="JJ23" s="97">
        <v>2</v>
      </c>
      <c r="JK23" s="97">
        <v>2</v>
      </c>
      <c r="JL23" s="97">
        <v>0</v>
      </c>
      <c r="JM23" s="97">
        <v>0</v>
      </c>
      <c r="JN23" s="97">
        <v>0</v>
      </c>
      <c r="JO23" s="97">
        <v>0</v>
      </c>
      <c r="JP23" s="89">
        <f t="shared" si="21"/>
        <v>8</v>
      </c>
      <c r="JQ23" s="97">
        <v>2</v>
      </c>
      <c r="JR23" s="97">
        <v>2</v>
      </c>
      <c r="JS23" s="97">
        <v>2</v>
      </c>
      <c r="JT23" s="97">
        <v>2</v>
      </c>
      <c r="JU23" s="97">
        <v>2</v>
      </c>
      <c r="JV23" s="97">
        <v>1</v>
      </c>
      <c r="JW23" s="97">
        <v>0</v>
      </c>
      <c r="JX23" s="92">
        <f t="shared" si="22"/>
        <v>11</v>
      </c>
      <c r="JY23" s="93">
        <f t="shared" si="23"/>
        <v>19</v>
      </c>
      <c r="JZ23" s="97">
        <v>3</v>
      </c>
      <c r="KA23" s="97">
        <v>3</v>
      </c>
      <c r="KB23" s="97">
        <v>3</v>
      </c>
      <c r="KC23" s="97">
        <v>0</v>
      </c>
      <c r="KD23" s="97">
        <v>0</v>
      </c>
      <c r="KE23" s="97">
        <v>0</v>
      </c>
      <c r="KF23" s="97">
        <v>0</v>
      </c>
      <c r="KG23" s="94">
        <f t="shared" si="24"/>
        <v>9</v>
      </c>
      <c r="KH23" s="108">
        <v>45783</v>
      </c>
      <c r="KI23" s="97">
        <v>0</v>
      </c>
      <c r="KJ23" s="97">
        <v>2</v>
      </c>
      <c r="KK23" s="97">
        <v>1</v>
      </c>
      <c r="KL23" s="95" t="s">
        <v>400</v>
      </c>
      <c r="KM23" s="97">
        <v>0</v>
      </c>
      <c r="KN23" s="97">
        <v>2</v>
      </c>
      <c r="KO23" s="97">
        <v>1</v>
      </c>
      <c r="KP23" s="95" t="s">
        <v>401</v>
      </c>
      <c r="KQ23" s="97">
        <v>0</v>
      </c>
      <c r="KR23" s="97">
        <v>2</v>
      </c>
      <c r="KS23" s="97">
        <v>1</v>
      </c>
      <c r="KT23" s="95" t="s">
        <v>402</v>
      </c>
      <c r="KU23" s="97">
        <v>0</v>
      </c>
      <c r="KV23" s="97">
        <v>2</v>
      </c>
      <c r="KW23" s="97">
        <v>1</v>
      </c>
      <c r="KX23" s="95" t="s">
        <v>403</v>
      </c>
      <c r="KY23" s="97">
        <v>0</v>
      </c>
      <c r="KZ23" s="97">
        <v>2</v>
      </c>
      <c r="LA23" s="97">
        <v>2</v>
      </c>
      <c r="LB23" s="95" t="s">
        <v>404</v>
      </c>
      <c r="LC23" s="97">
        <v>0</v>
      </c>
      <c r="LD23" s="97">
        <v>2</v>
      </c>
      <c r="LE23" s="97">
        <v>2</v>
      </c>
      <c r="LF23" s="95" t="s">
        <v>405</v>
      </c>
      <c r="LG23" s="97">
        <v>0</v>
      </c>
      <c r="LH23" s="97">
        <v>2</v>
      </c>
      <c r="LI23" s="97">
        <v>3</v>
      </c>
      <c r="LJ23" s="95" t="s">
        <v>406</v>
      </c>
      <c r="LK23" s="97">
        <v>2</v>
      </c>
      <c r="LL23" s="97">
        <v>0</v>
      </c>
      <c r="LM23" s="97">
        <v>2</v>
      </c>
      <c r="LN23" s="96">
        <f t="shared" si="25"/>
        <v>27</v>
      </c>
      <c r="LO23" s="97">
        <f t="shared" si="26"/>
        <v>13</v>
      </c>
      <c r="LP23" s="97">
        <f t="shared" si="27"/>
        <v>55</v>
      </c>
    </row>
    <row r="24" spans="1:328" s="98" customFormat="1" ht="13.8">
      <c r="A24" s="55" t="s">
        <v>613</v>
      </c>
      <c r="B24" s="110">
        <v>45974</v>
      </c>
      <c r="C24" s="61">
        <v>43</v>
      </c>
      <c r="D24" s="62" t="s">
        <v>763</v>
      </c>
      <c r="E24" s="62"/>
      <c r="F24" s="61">
        <v>1</v>
      </c>
      <c r="G24" s="61">
        <v>1</v>
      </c>
      <c r="H24" s="61">
        <v>1</v>
      </c>
      <c r="I24" s="164">
        <v>4</v>
      </c>
      <c r="J24" s="164">
        <v>6</v>
      </c>
      <c r="K24" s="63">
        <v>0.14166666666666666</v>
      </c>
      <c r="L24" s="63">
        <v>5.9027777777777776E-2</v>
      </c>
      <c r="M24" s="63">
        <v>9.583333333333334E-2</v>
      </c>
      <c r="N24" s="64" t="s">
        <v>1041</v>
      </c>
      <c r="O24" s="101" t="s">
        <v>998</v>
      </c>
      <c r="P24" s="95" t="s">
        <v>696</v>
      </c>
      <c r="Q24" s="95">
        <v>1</v>
      </c>
      <c r="R24" s="125">
        <v>18069</v>
      </c>
      <c r="S24" s="95">
        <v>76</v>
      </c>
      <c r="T24" s="95" t="s">
        <v>259</v>
      </c>
      <c r="U24" s="95" t="s">
        <v>287</v>
      </c>
      <c r="V24" s="130" t="s">
        <v>697</v>
      </c>
      <c r="W24" s="95" t="s">
        <v>624</v>
      </c>
      <c r="X24" s="95" t="s">
        <v>596</v>
      </c>
      <c r="Y24" s="95" t="s">
        <v>288</v>
      </c>
      <c r="Z24" s="95" t="s">
        <v>262</v>
      </c>
      <c r="AA24" s="95" t="s">
        <v>407</v>
      </c>
      <c r="AB24" s="95" t="s">
        <v>264</v>
      </c>
      <c r="AC24" s="95" t="s">
        <v>599</v>
      </c>
      <c r="AD24" s="95" t="s">
        <v>597</v>
      </c>
      <c r="AE24" s="95" t="s">
        <v>698</v>
      </c>
      <c r="AF24" s="95" t="s">
        <v>597</v>
      </c>
      <c r="AG24" s="95" t="s">
        <v>699</v>
      </c>
      <c r="AH24" s="95" t="s">
        <v>599</v>
      </c>
      <c r="AI24" s="95" t="s">
        <v>599</v>
      </c>
      <c r="AJ24" s="125">
        <v>45235</v>
      </c>
      <c r="AK24" s="97"/>
      <c r="AL24" s="115">
        <v>1</v>
      </c>
      <c r="AM24" s="115">
        <v>1</v>
      </c>
      <c r="AN24" s="115">
        <v>1</v>
      </c>
      <c r="AO24" s="115">
        <v>1</v>
      </c>
      <c r="AP24" s="115">
        <v>1</v>
      </c>
      <c r="AQ24" s="115">
        <v>1</v>
      </c>
      <c r="AR24" s="115">
        <v>1</v>
      </c>
      <c r="AS24" s="115">
        <v>1</v>
      </c>
      <c r="AT24" s="70">
        <f t="shared" si="0"/>
        <v>8</v>
      </c>
      <c r="AU24" s="71">
        <v>1</v>
      </c>
      <c r="AV24" s="71">
        <v>1</v>
      </c>
      <c r="AW24" s="71">
        <v>1</v>
      </c>
      <c r="AX24" s="71">
        <v>1</v>
      </c>
      <c r="AY24" s="70">
        <f t="shared" si="1"/>
        <v>4</v>
      </c>
      <c r="AZ24" s="115">
        <v>0</v>
      </c>
      <c r="BA24" s="115">
        <v>0</v>
      </c>
      <c r="BB24" s="115">
        <v>0</v>
      </c>
      <c r="BC24" s="115">
        <v>0</v>
      </c>
      <c r="BD24" s="115">
        <v>0</v>
      </c>
      <c r="BE24" s="115">
        <v>1</v>
      </c>
      <c r="BF24" s="115">
        <v>0</v>
      </c>
      <c r="BG24" s="115">
        <v>0</v>
      </c>
      <c r="BH24" s="70">
        <f t="shared" si="2"/>
        <v>1</v>
      </c>
      <c r="BI24" s="69">
        <v>0</v>
      </c>
      <c r="BJ24" s="69">
        <v>0</v>
      </c>
      <c r="BK24" s="70">
        <f t="shared" si="3"/>
        <v>0</v>
      </c>
      <c r="BL24" s="92">
        <v>1</v>
      </c>
      <c r="BM24" s="72">
        <v>0</v>
      </c>
      <c r="BN24" s="72">
        <v>0</v>
      </c>
      <c r="BO24" s="72">
        <v>0</v>
      </c>
      <c r="BP24" s="120">
        <v>1</v>
      </c>
      <c r="BQ24" s="72">
        <v>0</v>
      </c>
      <c r="BR24" s="72">
        <v>0</v>
      </c>
      <c r="BS24" s="72">
        <v>0</v>
      </c>
      <c r="BT24" s="70">
        <f t="shared" si="4"/>
        <v>1</v>
      </c>
      <c r="BU24" s="70">
        <f t="shared" si="5"/>
        <v>14</v>
      </c>
      <c r="BV24" s="73">
        <v>1</v>
      </c>
      <c r="BW24" s="73">
        <v>2</v>
      </c>
      <c r="BX24" s="73">
        <v>2</v>
      </c>
      <c r="BY24" s="126">
        <v>1</v>
      </c>
      <c r="BZ24" s="126">
        <v>1</v>
      </c>
      <c r="CA24" s="73">
        <v>5</v>
      </c>
      <c r="CB24" s="105">
        <v>2</v>
      </c>
      <c r="CC24" s="73">
        <v>2</v>
      </c>
      <c r="CD24" s="126">
        <v>1</v>
      </c>
      <c r="CE24" s="126">
        <v>1</v>
      </c>
      <c r="CF24" s="126">
        <v>5</v>
      </c>
      <c r="CG24" s="126">
        <v>5</v>
      </c>
      <c r="CH24" s="74">
        <v>5</v>
      </c>
      <c r="CI24" s="126">
        <v>5</v>
      </c>
      <c r="CJ24" s="73">
        <v>2</v>
      </c>
      <c r="CK24" s="75">
        <f>SUM(BV13:CJ13)</f>
        <v>60</v>
      </c>
      <c r="CL24" s="118">
        <v>1</v>
      </c>
      <c r="CM24" s="118">
        <v>5</v>
      </c>
      <c r="CN24" s="76">
        <v>5</v>
      </c>
      <c r="CO24" s="76">
        <v>5</v>
      </c>
      <c r="CP24" s="76">
        <v>1</v>
      </c>
      <c r="CQ24" s="106">
        <v>5</v>
      </c>
      <c r="CR24" s="76">
        <v>1</v>
      </c>
      <c r="CS24" s="76">
        <v>3</v>
      </c>
      <c r="CT24" s="76">
        <v>3</v>
      </c>
      <c r="CU24" s="76">
        <v>1</v>
      </c>
      <c r="CV24" s="76">
        <v>5</v>
      </c>
      <c r="CW24" s="76">
        <v>1</v>
      </c>
      <c r="CX24" s="76">
        <v>1</v>
      </c>
      <c r="CY24" s="76">
        <v>4</v>
      </c>
      <c r="CZ24" s="76">
        <v>5</v>
      </c>
      <c r="DA24" s="76">
        <v>1</v>
      </c>
      <c r="DB24" s="76">
        <v>5</v>
      </c>
      <c r="DC24" s="76">
        <v>5</v>
      </c>
      <c r="DD24" s="76">
        <v>2</v>
      </c>
      <c r="DE24" s="76">
        <v>4</v>
      </c>
      <c r="DF24" s="76">
        <v>5</v>
      </c>
      <c r="DG24" s="76">
        <v>5</v>
      </c>
      <c r="DH24" s="76">
        <v>3</v>
      </c>
      <c r="DI24" s="76">
        <v>5</v>
      </c>
      <c r="DJ24" s="76">
        <v>2</v>
      </c>
      <c r="DK24" s="76">
        <v>2</v>
      </c>
      <c r="DL24" s="76">
        <v>3</v>
      </c>
      <c r="DM24" s="118">
        <v>1</v>
      </c>
      <c r="DN24" s="76">
        <f t="shared" si="7"/>
        <v>89</v>
      </c>
      <c r="DO24" s="118">
        <v>24</v>
      </c>
      <c r="DP24" s="97">
        <v>0</v>
      </c>
      <c r="DQ24" s="97">
        <v>1</v>
      </c>
      <c r="DR24" s="97">
        <v>1</v>
      </c>
      <c r="DS24" s="97">
        <v>0</v>
      </c>
      <c r="DT24" s="97">
        <v>0</v>
      </c>
      <c r="DU24" s="97">
        <v>1</v>
      </c>
      <c r="DV24" s="97">
        <v>1</v>
      </c>
      <c r="DW24" s="97">
        <v>0</v>
      </c>
      <c r="DX24" s="97">
        <v>1</v>
      </c>
      <c r="DY24" s="97">
        <v>1</v>
      </c>
      <c r="DZ24" s="97">
        <v>0</v>
      </c>
      <c r="EA24" s="97">
        <v>0</v>
      </c>
      <c r="EB24" s="97">
        <v>1</v>
      </c>
      <c r="EC24" s="97">
        <v>1</v>
      </c>
      <c r="ED24" s="97">
        <v>1</v>
      </c>
      <c r="EE24" s="77">
        <f t="shared" si="31"/>
        <v>9</v>
      </c>
      <c r="EF24" s="77" t="s">
        <v>267</v>
      </c>
      <c r="EG24" s="78">
        <f t="shared" si="8"/>
        <v>9</v>
      </c>
      <c r="EH24" s="97">
        <v>0</v>
      </c>
      <c r="EI24" s="97">
        <v>0</v>
      </c>
      <c r="EJ24" s="97">
        <v>1</v>
      </c>
      <c r="EK24" s="97">
        <v>0</v>
      </c>
      <c r="EL24" s="97">
        <v>0</v>
      </c>
      <c r="EM24" s="97">
        <v>0.5</v>
      </c>
      <c r="EN24" s="97">
        <v>1</v>
      </c>
      <c r="EO24" s="97">
        <v>1</v>
      </c>
      <c r="EP24" s="97">
        <v>0</v>
      </c>
      <c r="EQ24" s="97">
        <v>0</v>
      </c>
      <c r="ER24" s="97">
        <v>0</v>
      </c>
      <c r="ES24" s="97">
        <v>1</v>
      </c>
      <c r="ET24" s="97">
        <v>0</v>
      </c>
      <c r="EU24" s="97">
        <v>1</v>
      </c>
      <c r="EV24" s="97">
        <v>1</v>
      </c>
      <c r="EW24" s="97">
        <v>0</v>
      </c>
      <c r="EX24" s="97">
        <v>0</v>
      </c>
      <c r="EY24" s="97">
        <v>0</v>
      </c>
      <c r="EZ24" s="97">
        <v>0</v>
      </c>
      <c r="FA24" s="97">
        <v>0</v>
      </c>
      <c r="FB24" s="97">
        <v>0</v>
      </c>
      <c r="FC24" s="97">
        <v>0</v>
      </c>
      <c r="FD24" s="79">
        <f t="shared" si="9"/>
        <v>6.5</v>
      </c>
      <c r="FE24" s="79">
        <v>2</v>
      </c>
      <c r="FF24" s="97">
        <v>1</v>
      </c>
      <c r="FG24" s="97">
        <v>1</v>
      </c>
      <c r="FH24" s="97">
        <v>1</v>
      </c>
      <c r="FI24" s="97">
        <v>1</v>
      </c>
      <c r="FJ24" s="97">
        <v>1</v>
      </c>
      <c r="FK24" s="97">
        <v>1</v>
      </c>
      <c r="FL24" s="97">
        <v>1</v>
      </c>
      <c r="FM24" s="97">
        <v>1</v>
      </c>
      <c r="FN24" s="81">
        <f t="shared" si="10"/>
        <v>8</v>
      </c>
      <c r="FO24" s="82">
        <v>1</v>
      </c>
      <c r="FP24" s="97">
        <v>10</v>
      </c>
      <c r="FQ24" s="97">
        <v>5</v>
      </c>
      <c r="FR24" s="97">
        <v>10</v>
      </c>
      <c r="FS24" s="97">
        <v>5</v>
      </c>
      <c r="FT24" s="97">
        <v>10</v>
      </c>
      <c r="FU24" s="97">
        <v>10</v>
      </c>
      <c r="FV24" s="97">
        <v>10</v>
      </c>
      <c r="FW24" s="97">
        <v>15</v>
      </c>
      <c r="FX24" s="97">
        <v>15</v>
      </c>
      <c r="FY24" s="97">
        <v>10</v>
      </c>
      <c r="FZ24" s="83">
        <f t="shared" si="11"/>
        <v>100</v>
      </c>
      <c r="GA24" s="84">
        <v>1</v>
      </c>
      <c r="GB24" s="55">
        <v>1</v>
      </c>
      <c r="GC24" s="85">
        <v>1</v>
      </c>
      <c r="GD24" s="85">
        <v>0</v>
      </c>
      <c r="GE24" s="85">
        <v>1</v>
      </c>
      <c r="GF24" s="85">
        <v>0</v>
      </c>
      <c r="GG24" s="85">
        <v>1</v>
      </c>
      <c r="GH24" s="85">
        <v>0</v>
      </c>
      <c r="GI24" s="97">
        <v>0</v>
      </c>
      <c r="GJ24" s="97">
        <v>0</v>
      </c>
      <c r="GK24" s="97">
        <v>1</v>
      </c>
      <c r="GL24" s="97">
        <v>2</v>
      </c>
      <c r="GM24" s="97">
        <v>0</v>
      </c>
      <c r="GN24" s="97">
        <v>1</v>
      </c>
      <c r="GO24" s="97">
        <v>0</v>
      </c>
      <c r="GP24" s="97">
        <v>0</v>
      </c>
      <c r="GQ24" s="97">
        <v>0</v>
      </c>
      <c r="GR24" s="97">
        <v>0</v>
      </c>
      <c r="GS24" s="97">
        <v>0</v>
      </c>
      <c r="GT24" s="97">
        <v>1</v>
      </c>
      <c r="GU24" s="86">
        <f t="shared" si="12"/>
        <v>5</v>
      </c>
      <c r="GV24" s="87" t="s">
        <v>266</v>
      </c>
      <c r="GW24" s="87">
        <v>0</v>
      </c>
      <c r="GX24" s="88" t="s">
        <v>267</v>
      </c>
      <c r="GY24" s="55">
        <v>5</v>
      </c>
      <c r="GZ24" s="55">
        <v>3</v>
      </c>
      <c r="HA24" s="55">
        <v>3</v>
      </c>
      <c r="HB24" s="55">
        <v>1</v>
      </c>
      <c r="HC24" s="55">
        <v>1</v>
      </c>
      <c r="HD24" s="55">
        <v>3</v>
      </c>
      <c r="HE24" s="55"/>
      <c r="HF24" s="55"/>
      <c r="HG24" s="55">
        <v>0</v>
      </c>
      <c r="HH24" s="55">
        <v>5</v>
      </c>
      <c r="HI24" s="55">
        <v>5</v>
      </c>
      <c r="HJ24" s="55"/>
      <c r="HK24" s="55">
        <v>2</v>
      </c>
      <c r="HL24" s="55">
        <v>3</v>
      </c>
      <c r="HM24" s="55">
        <v>2</v>
      </c>
      <c r="HN24" s="55">
        <v>1</v>
      </c>
      <c r="HO24" s="55">
        <v>3</v>
      </c>
      <c r="HP24" s="55">
        <v>1</v>
      </c>
      <c r="HQ24" s="55">
        <v>2</v>
      </c>
      <c r="HR24" s="55">
        <v>1</v>
      </c>
      <c r="HS24" s="55">
        <v>1</v>
      </c>
      <c r="HT24" s="55">
        <v>2</v>
      </c>
      <c r="HU24" s="55">
        <v>4</v>
      </c>
      <c r="HV24" s="55">
        <v>1</v>
      </c>
      <c r="HW24" s="55">
        <v>0</v>
      </c>
      <c r="HX24" s="55">
        <v>1</v>
      </c>
      <c r="HY24" s="55">
        <v>3</v>
      </c>
      <c r="HZ24" s="55">
        <v>4</v>
      </c>
      <c r="IA24" s="55">
        <v>4</v>
      </c>
      <c r="IB24" s="55">
        <v>0</v>
      </c>
      <c r="IC24" s="55">
        <v>0</v>
      </c>
      <c r="ID24" s="55">
        <f t="shared" ref="ID24:IG24" si="93">SUM(GY24)</f>
        <v>5</v>
      </c>
      <c r="IE24" s="55">
        <f t="shared" si="93"/>
        <v>3</v>
      </c>
      <c r="IF24" s="55">
        <f t="shared" si="93"/>
        <v>3</v>
      </c>
      <c r="IG24" s="55">
        <f t="shared" si="93"/>
        <v>1</v>
      </c>
      <c r="IH24" s="55">
        <f t="shared" si="14"/>
        <v>4</v>
      </c>
      <c r="II24" s="55">
        <f t="shared" si="15"/>
        <v>0</v>
      </c>
      <c r="IJ24" s="55">
        <f t="shared" si="16"/>
        <v>10</v>
      </c>
      <c r="IK24" s="55">
        <f t="shared" ref="IK24:IQ24" si="94">SUM(HK24)</f>
        <v>2</v>
      </c>
      <c r="IL24" s="55">
        <f t="shared" si="94"/>
        <v>3</v>
      </c>
      <c r="IM24" s="55">
        <f t="shared" si="94"/>
        <v>2</v>
      </c>
      <c r="IN24" s="55">
        <f t="shared" si="94"/>
        <v>1</v>
      </c>
      <c r="IO24" s="55">
        <f t="shared" si="94"/>
        <v>3</v>
      </c>
      <c r="IP24" s="55">
        <f t="shared" si="94"/>
        <v>1</v>
      </c>
      <c r="IQ24" s="55">
        <f t="shared" si="94"/>
        <v>2</v>
      </c>
      <c r="IR24" s="55">
        <f t="shared" si="18"/>
        <v>2</v>
      </c>
      <c r="IS24" s="55">
        <f t="shared" ref="IS24:JB24" si="95">SUM(HT24)</f>
        <v>2</v>
      </c>
      <c r="IT24" s="55">
        <f t="shared" si="95"/>
        <v>4</v>
      </c>
      <c r="IU24" s="55">
        <f t="shared" si="95"/>
        <v>1</v>
      </c>
      <c r="IV24" s="55">
        <f t="shared" si="95"/>
        <v>0</v>
      </c>
      <c r="IW24" s="55">
        <f t="shared" si="95"/>
        <v>1</v>
      </c>
      <c r="IX24" s="55">
        <f t="shared" si="95"/>
        <v>3</v>
      </c>
      <c r="IY24" s="55">
        <f t="shared" si="95"/>
        <v>4</v>
      </c>
      <c r="IZ24" s="55">
        <f t="shared" si="95"/>
        <v>4</v>
      </c>
      <c r="JA24" s="55">
        <f t="shared" si="95"/>
        <v>0</v>
      </c>
      <c r="JB24" s="55">
        <f t="shared" si="95"/>
        <v>0</v>
      </c>
      <c r="JC24" s="89">
        <f t="shared" si="20"/>
        <v>60</v>
      </c>
      <c r="JD24" s="90">
        <v>2</v>
      </c>
      <c r="JE24" s="90">
        <v>2</v>
      </c>
      <c r="JF24" s="91">
        <v>12</v>
      </c>
      <c r="JG24" s="91">
        <v>2</v>
      </c>
      <c r="JH24" s="97">
        <v>2</v>
      </c>
      <c r="JI24" s="97">
        <v>2</v>
      </c>
      <c r="JJ24" s="97">
        <v>1</v>
      </c>
      <c r="JK24" s="97">
        <v>0</v>
      </c>
      <c r="JL24" s="97">
        <v>0</v>
      </c>
      <c r="JM24" s="97">
        <v>0</v>
      </c>
      <c r="JN24" s="97">
        <v>0</v>
      </c>
      <c r="JO24" s="97">
        <v>0</v>
      </c>
      <c r="JP24" s="89">
        <f t="shared" si="21"/>
        <v>5</v>
      </c>
      <c r="JQ24" s="97">
        <v>2</v>
      </c>
      <c r="JR24" s="97">
        <v>0</v>
      </c>
      <c r="JS24" s="97">
        <v>0</v>
      </c>
      <c r="JT24" s="97">
        <v>0</v>
      </c>
      <c r="JU24" s="97">
        <v>0</v>
      </c>
      <c r="JV24" s="97">
        <v>0</v>
      </c>
      <c r="JW24" s="97">
        <v>0</v>
      </c>
      <c r="JX24" s="92">
        <f t="shared" si="22"/>
        <v>2</v>
      </c>
      <c r="JY24" s="93">
        <f t="shared" si="23"/>
        <v>7</v>
      </c>
      <c r="JZ24" s="55">
        <v>3</v>
      </c>
      <c r="KA24" s="55">
        <v>0</v>
      </c>
      <c r="KB24" s="55">
        <v>0</v>
      </c>
      <c r="KC24" s="55">
        <v>0</v>
      </c>
      <c r="KD24" s="55">
        <v>0</v>
      </c>
      <c r="KE24" s="55">
        <v>0</v>
      </c>
      <c r="KF24" s="55">
        <v>0</v>
      </c>
      <c r="KG24" s="94">
        <f t="shared" si="24"/>
        <v>3</v>
      </c>
      <c r="KH24" s="95" t="s">
        <v>319</v>
      </c>
      <c r="KI24" s="55">
        <v>0</v>
      </c>
      <c r="KJ24" s="55">
        <v>2</v>
      </c>
      <c r="KK24" s="55">
        <v>0</v>
      </c>
      <c r="KL24" s="95" t="s">
        <v>331</v>
      </c>
      <c r="KM24" s="55">
        <v>2</v>
      </c>
      <c r="KN24" s="55">
        <v>0</v>
      </c>
      <c r="KO24" s="55">
        <v>0</v>
      </c>
      <c r="KP24" s="95" t="s">
        <v>332</v>
      </c>
      <c r="KQ24" s="55">
        <v>0</v>
      </c>
      <c r="KR24" s="55">
        <v>2</v>
      </c>
      <c r="KS24" s="55">
        <v>1</v>
      </c>
      <c r="KT24" s="95" t="s">
        <v>315</v>
      </c>
      <c r="KU24" s="55">
        <v>0</v>
      </c>
      <c r="KV24" s="55">
        <v>2</v>
      </c>
      <c r="KW24" s="55">
        <v>0</v>
      </c>
      <c r="KX24" s="95" t="s">
        <v>327</v>
      </c>
      <c r="KY24" s="55">
        <v>0</v>
      </c>
      <c r="KZ24" s="55">
        <v>2</v>
      </c>
      <c r="LA24" s="55">
        <v>1</v>
      </c>
      <c r="LB24" s="95" t="s">
        <v>315</v>
      </c>
      <c r="LC24" s="55">
        <v>0</v>
      </c>
      <c r="LD24" s="55">
        <v>2</v>
      </c>
      <c r="LE24" s="55">
        <v>1</v>
      </c>
      <c r="LF24" s="95" t="s">
        <v>325</v>
      </c>
      <c r="LG24" s="55">
        <v>2</v>
      </c>
      <c r="LH24" s="55">
        <v>0</v>
      </c>
      <c r="LI24" s="55">
        <v>0</v>
      </c>
      <c r="LJ24" s="95" t="s">
        <v>325</v>
      </c>
      <c r="LK24" s="55">
        <v>2</v>
      </c>
      <c r="LL24" s="55">
        <v>0</v>
      </c>
      <c r="LM24" s="55">
        <v>0</v>
      </c>
      <c r="LN24" s="96">
        <f t="shared" si="25"/>
        <v>13</v>
      </c>
      <c r="LO24" s="97">
        <f t="shared" si="26"/>
        <v>3</v>
      </c>
      <c r="LP24" s="97">
        <f t="shared" si="27"/>
        <v>23</v>
      </c>
    </row>
    <row r="25" spans="1:328" s="98" customFormat="1" ht="13.8">
      <c r="A25" s="55" t="s">
        <v>613</v>
      </c>
      <c r="B25" s="110">
        <v>45953</v>
      </c>
      <c r="C25" s="61">
        <v>12</v>
      </c>
      <c r="D25" s="62"/>
      <c r="E25" s="62" t="s">
        <v>764</v>
      </c>
      <c r="F25" s="61">
        <v>1</v>
      </c>
      <c r="G25" s="61">
        <v>1</v>
      </c>
      <c r="H25" s="61">
        <v>0</v>
      </c>
      <c r="I25" s="164">
        <v>6</v>
      </c>
      <c r="J25" s="164">
        <v>4</v>
      </c>
      <c r="K25" s="63">
        <v>0.18680555555555556</v>
      </c>
      <c r="L25" s="63">
        <v>7.7083333333333337E-2</v>
      </c>
      <c r="M25" s="63">
        <v>5.2777777777777778E-2</v>
      </c>
      <c r="N25" s="64" t="s">
        <v>1040</v>
      </c>
      <c r="O25" s="101" t="s">
        <v>999</v>
      </c>
      <c r="P25" s="140" t="s">
        <v>779</v>
      </c>
      <c r="Q25" s="95">
        <v>1</v>
      </c>
      <c r="R25" s="141">
        <v>16079</v>
      </c>
      <c r="S25" s="140">
        <v>81</v>
      </c>
      <c r="T25" s="140" t="s">
        <v>310</v>
      </c>
      <c r="U25" s="140" t="s">
        <v>287</v>
      </c>
      <c r="V25" s="140">
        <v>3740500</v>
      </c>
      <c r="W25" s="140" t="s">
        <v>595</v>
      </c>
      <c r="X25" s="140" t="s">
        <v>596</v>
      </c>
      <c r="Y25" s="140" t="s">
        <v>277</v>
      </c>
      <c r="Z25" s="140" t="s">
        <v>262</v>
      </c>
      <c r="AA25" s="140" t="s">
        <v>312</v>
      </c>
      <c r="AB25" s="140" t="s">
        <v>300</v>
      </c>
      <c r="AC25" s="140" t="s">
        <v>597</v>
      </c>
      <c r="AD25" s="140" t="s">
        <v>597</v>
      </c>
      <c r="AE25" s="140" t="s">
        <v>602</v>
      </c>
      <c r="AF25" s="140" t="s">
        <v>597</v>
      </c>
      <c r="AG25" s="140" t="s">
        <v>602</v>
      </c>
      <c r="AH25" s="140" t="s">
        <v>599</v>
      </c>
      <c r="AI25" s="140" t="s">
        <v>597</v>
      </c>
      <c r="AJ25" s="141">
        <v>45904</v>
      </c>
      <c r="AK25" s="144" t="s">
        <v>628</v>
      </c>
      <c r="AL25" s="115">
        <v>1</v>
      </c>
      <c r="AM25" s="115">
        <v>1</v>
      </c>
      <c r="AN25" s="115">
        <v>1</v>
      </c>
      <c r="AO25" s="115">
        <v>1</v>
      </c>
      <c r="AP25" s="115">
        <v>1</v>
      </c>
      <c r="AQ25" s="115">
        <v>1</v>
      </c>
      <c r="AR25" s="115">
        <v>1</v>
      </c>
      <c r="AS25" s="115">
        <v>1</v>
      </c>
      <c r="AT25" s="70">
        <f t="shared" si="0"/>
        <v>8</v>
      </c>
      <c r="AU25" s="71">
        <v>1</v>
      </c>
      <c r="AV25" s="71">
        <v>1</v>
      </c>
      <c r="AW25" s="71">
        <v>1</v>
      </c>
      <c r="AX25" s="71">
        <v>1</v>
      </c>
      <c r="AY25" s="70">
        <f t="shared" si="1"/>
        <v>4</v>
      </c>
      <c r="AZ25" s="69">
        <v>1</v>
      </c>
      <c r="BA25" s="69">
        <v>1</v>
      </c>
      <c r="BB25" s="69">
        <v>1</v>
      </c>
      <c r="BC25" s="69">
        <v>1</v>
      </c>
      <c r="BD25" s="69">
        <v>1</v>
      </c>
      <c r="BE25" s="69">
        <v>1</v>
      </c>
      <c r="BF25" s="69">
        <v>1</v>
      </c>
      <c r="BG25" s="69">
        <v>1</v>
      </c>
      <c r="BH25" s="70">
        <f t="shared" si="2"/>
        <v>8</v>
      </c>
      <c r="BI25" s="69">
        <v>1</v>
      </c>
      <c r="BJ25" s="69">
        <v>1</v>
      </c>
      <c r="BK25" s="70">
        <f t="shared" si="3"/>
        <v>2</v>
      </c>
      <c r="BL25" s="72">
        <v>1</v>
      </c>
      <c r="BM25" s="72">
        <v>1</v>
      </c>
      <c r="BN25" s="72">
        <v>1</v>
      </c>
      <c r="BO25" s="72">
        <v>1</v>
      </c>
      <c r="BP25" s="72">
        <v>1</v>
      </c>
      <c r="BQ25" s="72">
        <v>1</v>
      </c>
      <c r="BR25" s="72">
        <v>1</v>
      </c>
      <c r="BS25" s="72">
        <v>1</v>
      </c>
      <c r="BT25" s="70">
        <f t="shared" si="4"/>
        <v>7</v>
      </c>
      <c r="BU25" s="70">
        <f t="shared" si="5"/>
        <v>29</v>
      </c>
      <c r="BV25" s="73">
        <v>5</v>
      </c>
      <c r="BW25" s="73">
        <v>5</v>
      </c>
      <c r="BX25" s="73">
        <v>5</v>
      </c>
      <c r="BY25" s="73">
        <v>1</v>
      </c>
      <c r="BZ25" s="73">
        <v>5</v>
      </c>
      <c r="CA25" s="73">
        <v>3</v>
      </c>
      <c r="CB25" s="73">
        <v>5</v>
      </c>
      <c r="CC25" s="73">
        <v>5</v>
      </c>
      <c r="CD25" s="73">
        <v>2</v>
      </c>
      <c r="CE25" s="73">
        <v>3</v>
      </c>
      <c r="CF25" s="73">
        <v>3</v>
      </c>
      <c r="CG25" s="73">
        <v>5</v>
      </c>
      <c r="CH25" s="74">
        <v>5</v>
      </c>
      <c r="CI25" s="73">
        <v>5</v>
      </c>
      <c r="CJ25" s="73">
        <v>3</v>
      </c>
      <c r="CK25" s="75">
        <f t="shared" ref="CK25:CK50" si="96">SUM(BV25:CJ25)</f>
        <v>60</v>
      </c>
      <c r="CL25" s="76">
        <v>5</v>
      </c>
      <c r="CM25" s="76">
        <v>1</v>
      </c>
      <c r="CN25" s="76">
        <v>5</v>
      </c>
      <c r="CO25" s="76">
        <v>5</v>
      </c>
      <c r="CP25" s="76">
        <v>5</v>
      </c>
      <c r="CQ25" s="76">
        <v>5</v>
      </c>
      <c r="CR25" s="76">
        <v>1</v>
      </c>
      <c r="CS25" s="76">
        <v>5</v>
      </c>
      <c r="CT25" s="76">
        <v>5</v>
      </c>
      <c r="CU25" s="76">
        <v>5</v>
      </c>
      <c r="CV25" s="76">
        <v>5</v>
      </c>
      <c r="CW25" s="76">
        <v>1</v>
      </c>
      <c r="CX25" s="76">
        <v>1</v>
      </c>
      <c r="CY25" s="76">
        <v>4</v>
      </c>
      <c r="CZ25" s="76">
        <v>5</v>
      </c>
      <c r="DA25" s="76">
        <v>5</v>
      </c>
      <c r="DB25" s="76">
        <v>5</v>
      </c>
      <c r="DC25" s="76">
        <v>4</v>
      </c>
      <c r="DD25" s="76">
        <v>5</v>
      </c>
      <c r="DE25" s="76">
        <v>5</v>
      </c>
      <c r="DF25" s="76">
        <v>5</v>
      </c>
      <c r="DG25" s="76">
        <v>5</v>
      </c>
      <c r="DH25" s="76">
        <v>5</v>
      </c>
      <c r="DI25" s="76">
        <v>5</v>
      </c>
      <c r="DJ25" s="76">
        <v>1</v>
      </c>
      <c r="DK25" s="76">
        <v>5</v>
      </c>
      <c r="DL25" s="76">
        <v>3</v>
      </c>
      <c r="DM25" s="76">
        <v>1</v>
      </c>
      <c r="DN25" s="76">
        <f t="shared" si="7"/>
        <v>112</v>
      </c>
      <c r="DO25" s="106">
        <v>24</v>
      </c>
      <c r="DP25" s="97">
        <v>0</v>
      </c>
      <c r="DQ25" s="97">
        <v>0</v>
      </c>
      <c r="DR25" s="97">
        <v>1</v>
      </c>
      <c r="DS25" s="97">
        <v>0</v>
      </c>
      <c r="DT25" s="97">
        <v>0</v>
      </c>
      <c r="DU25" s="97">
        <v>0</v>
      </c>
      <c r="DV25" s="97">
        <v>0</v>
      </c>
      <c r="DW25" s="97">
        <v>1</v>
      </c>
      <c r="DX25" s="97">
        <v>1</v>
      </c>
      <c r="DY25" s="97">
        <v>1</v>
      </c>
      <c r="DZ25" s="97">
        <v>0</v>
      </c>
      <c r="EA25" s="97">
        <v>0</v>
      </c>
      <c r="EB25" s="97">
        <v>0</v>
      </c>
      <c r="EC25" s="97">
        <v>0</v>
      </c>
      <c r="ED25" s="97">
        <v>1</v>
      </c>
      <c r="EE25" s="77">
        <f t="shared" si="31"/>
        <v>5</v>
      </c>
      <c r="EF25" s="77" t="s">
        <v>267</v>
      </c>
      <c r="EG25" s="78">
        <f t="shared" si="8"/>
        <v>5</v>
      </c>
      <c r="EH25" s="97">
        <v>0</v>
      </c>
      <c r="EI25" s="97">
        <v>0</v>
      </c>
      <c r="EJ25" s="97">
        <v>0.5</v>
      </c>
      <c r="EK25" s="97">
        <v>0</v>
      </c>
      <c r="EL25" s="97">
        <v>0</v>
      </c>
      <c r="EM25" s="97">
        <v>0</v>
      </c>
      <c r="EN25" s="97">
        <v>1</v>
      </c>
      <c r="EO25" s="97">
        <v>1</v>
      </c>
      <c r="EP25" s="97">
        <v>0</v>
      </c>
      <c r="EQ25" s="97">
        <v>0</v>
      </c>
      <c r="ER25" s="97">
        <v>0</v>
      </c>
      <c r="ES25" s="97">
        <v>0</v>
      </c>
      <c r="ET25" s="97">
        <v>0</v>
      </c>
      <c r="EU25" s="97">
        <v>0</v>
      </c>
      <c r="EV25" s="97">
        <v>0</v>
      </c>
      <c r="EW25" s="97">
        <v>0</v>
      </c>
      <c r="EX25" s="97">
        <v>0</v>
      </c>
      <c r="EY25" s="97">
        <v>0</v>
      </c>
      <c r="EZ25" s="97">
        <v>0</v>
      </c>
      <c r="FA25" s="97">
        <v>0</v>
      </c>
      <c r="FB25" s="97">
        <v>0</v>
      </c>
      <c r="FC25" s="97">
        <v>0</v>
      </c>
      <c r="FD25" s="79">
        <f t="shared" si="9"/>
        <v>2.5</v>
      </c>
      <c r="FE25" s="80">
        <v>1</v>
      </c>
      <c r="FF25" s="97">
        <v>1</v>
      </c>
      <c r="FG25" s="97">
        <v>1</v>
      </c>
      <c r="FH25" s="97">
        <v>1</v>
      </c>
      <c r="FI25" s="97">
        <v>1</v>
      </c>
      <c r="FJ25" s="97">
        <v>0</v>
      </c>
      <c r="FK25" s="97">
        <v>1</v>
      </c>
      <c r="FL25" s="97">
        <v>1</v>
      </c>
      <c r="FM25" s="97">
        <v>1</v>
      </c>
      <c r="FN25" s="81">
        <f t="shared" si="10"/>
        <v>7</v>
      </c>
      <c r="FO25" s="82">
        <v>2</v>
      </c>
      <c r="FP25" s="97">
        <v>10</v>
      </c>
      <c r="FQ25" s="97">
        <v>5</v>
      </c>
      <c r="FR25" s="97">
        <v>10</v>
      </c>
      <c r="FS25" s="97">
        <v>5</v>
      </c>
      <c r="FT25" s="97">
        <v>10</v>
      </c>
      <c r="FU25" s="97">
        <v>10</v>
      </c>
      <c r="FV25" s="97">
        <v>10</v>
      </c>
      <c r="FW25" s="97">
        <v>15</v>
      </c>
      <c r="FX25" s="97">
        <v>15</v>
      </c>
      <c r="FY25" s="97">
        <v>10</v>
      </c>
      <c r="FZ25" s="83">
        <f t="shared" si="11"/>
        <v>100</v>
      </c>
      <c r="GA25" s="84">
        <v>1</v>
      </c>
      <c r="GB25" s="55">
        <v>1</v>
      </c>
      <c r="GC25" s="85">
        <v>1</v>
      </c>
      <c r="GD25" s="85">
        <v>0</v>
      </c>
      <c r="GE25" s="85">
        <v>1</v>
      </c>
      <c r="GF25" s="85">
        <v>0</v>
      </c>
      <c r="GG25" s="85">
        <v>0</v>
      </c>
      <c r="GH25" s="85">
        <v>0</v>
      </c>
      <c r="GI25" s="97">
        <v>0</v>
      </c>
      <c r="GJ25" s="97">
        <v>0</v>
      </c>
      <c r="GK25" s="97">
        <v>0</v>
      </c>
      <c r="GL25" s="97">
        <v>0</v>
      </c>
      <c r="GM25" s="97">
        <v>0</v>
      </c>
      <c r="GN25" s="97">
        <v>0</v>
      </c>
      <c r="GO25" s="97">
        <v>0</v>
      </c>
      <c r="GP25" s="97">
        <v>0</v>
      </c>
      <c r="GQ25" s="97">
        <v>0</v>
      </c>
      <c r="GR25" s="97">
        <v>0</v>
      </c>
      <c r="GS25" s="97">
        <v>0</v>
      </c>
      <c r="GT25" s="97">
        <v>0</v>
      </c>
      <c r="GU25" s="86">
        <f t="shared" si="12"/>
        <v>0</v>
      </c>
      <c r="GV25" s="87" t="s">
        <v>301</v>
      </c>
      <c r="GW25" s="87">
        <v>0</v>
      </c>
      <c r="GX25" s="88" t="s">
        <v>267</v>
      </c>
      <c r="GY25" s="55">
        <v>5</v>
      </c>
      <c r="GZ25" s="55">
        <v>5</v>
      </c>
      <c r="HA25" s="55">
        <v>3</v>
      </c>
      <c r="HB25" s="55">
        <v>1</v>
      </c>
      <c r="HC25" s="55">
        <v>4</v>
      </c>
      <c r="HD25" s="55">
        <v>2</v>
      </c>
      <c r="HE25" s="55"/>
      <c r="HF25" s="55"/>
      <c r="HG25" s="55">
        <v>2</v>
      </c>
      <c r="HH25" s="55">
        <v>7</v>
      </c>
      <c r="HI25" s="55">
        <v>7</v>
      </c>
      <c r="HJ25" s="55"/>
      <c r="HK25" s="55">
        <v>3</v>
      </c>
      <c r="HL25" s="55">
        <v>5</v>
      </c>
      <c r="HM25" s="55">
        <v>3</v>
      </c>
      <c r="HN25" s="55">
        <v>1</v>
      </c>
      <c r="HO25" s="55">
        <v>3</v>
      </c>
      <c r="HP25" s="55">
        <v>1</v>
      </c>
      <c r="HQ25" s="55">
        <v>1</v>
      </c>
      <c r="HR25" s="55">
        <v>1</v>
      </c>
      <c r="HS25" s="55">
        <v>1</v>
      </c>
      <c r="HT25" s="55">
        <v>2</v>
      </c>
      <c r="HU25" s="55">
        <v>3</v>
      </c>
      <c r="HV25" s="55">
        <v>1</v>
      </c>
      <c r="HW25" s="55">
        <v>1</v>
      </c>
      <c r="HX25" s="55">
        <v>1</v>
      </c>
      <c r="HY25" s="55">
        <v>5</v>
      </c>
      <c r="HZ25" s="55">
        <v>4</v>
      </c>
      <c r="IA25" s="55">
        <v>4</v>
      </c>
      <c r="IB25" s="55">
        <v>7</v>
      </c>
      <c r="IC25" s="55"/>
      <c r="ID25" s="55">
        <f t="shared" ref="ID25:IG25" si="97">SUM(GY25)</f>
        <v>5</v>
      </c>
      <c r="IE25" s="55">
        <f t="shared" si="97"/>
        <v>5</v>
      </c>
      <c r="IF25" s="55">
        <f t="shared" si="97"/>
        <v>3</v>
      </c>
      <c r="IG25" s="55">
        <f t="shared" si="97"/>
        <v>1</v>
      </c>
      <c r="IH25" s="55">
        <f t="shared" si="14"/>
        <v>6</v>
      </c>
      <c r="II25" s="55">
        <f t="shared" si="15"/>
        <v>2</v>
      </c>
      <c r="IJ25" s="55">
        <f t="shared" si="16"/>
        <v>14</v>
      </c>
      <c r="IK25" s="55">
        <f t="shared" ref="IK25:IQ25" si="98">SUM(HK25)</f>
        <v>3</v>
      </c>
      <c r="IL25" s="55">
        <f t="shared" si="98"/>
        <v>5</v>
      </c>
      <c r="IM25" s="55">
        <f t="shared" si="98"/>
        <v>3</v>
      </c>
      <c r="IN25" s="55">
        <f t="shared" si="98"/>
        <v>1</v>
      </c>
      <c r="IO25" s="55">
        <f t="shared" si="98"/>
        <v>3</v>
      </c>
      <c r="IP25" s="55">
        <f t="shared" si="98"/>
        <v>1</v>
      </c>
      <c r="IQ25" s="55">
        <f t="shared" si="98"/>
        <v>1</v>
      </c>
      <c r="IR25" s="55">
        <f t="shared" si="18"/>
        <v>2</v>
      </c>
      <c r="IS25" s="55">
        <f t="shared" ref="IS25:JB25" si="99">SUM(HT25)</f>
        <v>2</v>
      </c>
      <c r="IT25" s="55">
        <f t="shared" si="99"/>
        <v>3</v>
      </c>
      <c r="IU25" s="55">
        <f t="shared" si="99"/>
        <v>1</v>
      </c>
      <c r="IV25" s="55">
        <f t="shared" si="99"/>
        <v>1</v>
      </c>
      <c r="IW25" s="55">
        <f t="shared" si="99"/>
        <v>1</v>
      </c>
      <c r="IX25" s="55">
        <f t="shared" si="99"/>
        <v>5</v>
      </c>
      <c r="IY25" s="55">
        <f t="shared" si="99"/>
        <v>4</v>
      </c>
      <c r="IZ25" s="55">
        <f t="shared" si="99"/>
        <v>4</v>
      </c>
      <c r="JA25" s="55">
        <f t="shared" si="99"/>
        <v>7</v>
      </c>
      <c r="JB25" s="55">
        <f t="shared" si="99"/>
        <v>0</v>
      </c>
      <c r="JC25" s="89">
        <f t="shared" si="20"/>
        <v>82</v>
      </c>
      <c r="JD25" s="89">
        <v>1</v>
      </c>
      <c r="JE25" s="89"/>
      <c r="JF25" s="121">
        <v>13</v>
      </c>
      <c r="JG25" s="91">
        <v>2</v>
      </c>
      <c r="JH25" s="55">
        <v>2</v>
      </c>
      <c r="JI25" s="55">
        <v>2</v>
      </c>
      <c r="JJ25" s="55">
        <v>2</v>
      </c>
      <c r="JK25" s="55">
        <v>1</v>
      </c>
      <c r="JL25" s="55">
        <v>0</v>
      </c>
      <c r="JM25" s="55">
        <v>0</v>
      </c>
      <c r="JN25" s="55">
        <v>0</v>
      </c>
      <c r="JO25" s="55">
        <v>0</v>
      </c>
      <c r="JP25" s="89">
        <f t="shared" si="21"/>
        <v>7</v>
      </c>
      <c r="JQ25" s="55">
        <v>2</v>
      </c>
      <c r="JR25" s="55">
        <v>1</v>
      </c>
      <c r="JS25" s="55">
        <v>0</v>
      </c>
      <c r="JT25" s="55">
        <v>0</v>
      </c>
      <c r="JU25" s="55">
        <v>0</v>
      </c>
      <c r="JV25" s="55">
        <v>0</v>
      </c>
      <c r="JW25" s="55">
        <v>0</v>
      </c>
      <c r="JX25" s="92">
        <f t="shared" si="22"/>
        <v>3</v>
      </c>
      <c r="JY25" s="93">
        <f t="shared" si="23"/>
        <v>10</v>
      </c>
      <c r="JZ25" s="55">
        <v>3</v>
      </c>
      <c r="KA25" s="55">
        <v>2</v>
      </c>
      <c r="KB25" s="55">
        <v>0</v>
      </c>
      <c r="KC25" s="55">
        <v>0</v>
      </c>
      <c r="KD25" s="55">
        <v>0</v>
      </c>
      <c r="KE25" s="55">
        <v>0</v>
      </c>
      <c r="KF25" s="55">
        <v>0</v>
      </c>
      <c r="KG25" s="94">
        <f t="shared" si="24"/>
        <v>5</v>
      </c>
      <c r="KH25" s="95" t="s">
        <v>333</v>
      </c>
      <c r="KI25" s="55">
        <v>0</v>
      </c>
      <c r="KJ25" s="55">
        <v>2</v>
      </c>
      <c r="KK25" s="55">
        <v>1</v>
      </c>
      <c r="KL25" s="95" t="s">
        <v>333</v>
      </c>
      <c r="KM25" s="55">
        <v>0</v>
      </c>
      <c r="KN25" s="55">
        <v>2</v>
      </c>
      <c r="KO25" s="55">
        <v>1</v>
      </c>
      <c r="KP25" s="95" t="s">
        <v>332</v>
      </c>
      <c r="KQ25" s="55">
        <v>0</v>
      </c>
      <c r="KR25" s="55">
        <v>2</v>
      </c>
      <c r="KS25" s="55">
        <v>1</v>
      </c>
      <c r="KT25" s="95" t="s">
        <v>320</v>
      </c>
      <c r="KU25" s="55">
        <v>0</v>
      </c>
      <c r="KV25" s="55">
        <v>2</v>
      </c>
      <c r="KW25" s="55">
        <v>1</v>
      </c>
      <c r="KX25" s="95" t="s">
        <v>319</v>
      </c>
      <c r="KY25" s="55">
        <v>0</v>
      </c>
      <c r="KZ25" s="55">
        <v>2</v>
      </c>
      <c r="LA25" s="55">
        <v>2</v>
      </c>
      <c r="LB25" s="95" t="s">
        <v>320</v>
      </c>
      <c r="LC25" s="55">
        <v>0</v>
      </c>
      <c r="LD25" s="55">
        <v>2</v>
      </c>
      <c r="LE25" s="55">
        <v>2</v>
      </c>
      <c r="LF25" s="95" t="s">
        <v>773</v>
      </c>
      <c r="LG25" s="55">
        <v>2</v>
      </c>
      <c r="LH25" s="55">
        <v>0</v>
      </c>
      <c r="LI25" s="55">
        <v>0</v>
      </c>
      <c r="LJ25" s="95" t="s">
        <v>531</v>
      </c>
      <c r="LK25" s="55">
        <v>0</v>
      </c>
      <c r="LL25" s="55">
        <v>2</v>
      </c>
      <c r="LM25" s="55">
        <v>0</v>
      </c>
      <c r="LN25" s="96">
        <f t="shared" si="25"/>
        <v>22</v>
      </c>
      <c r="LO25" s="97">
        <f t="shared" si="26"/>
        <v>8</v>
      </c>
      <c r="LP25" s="97">
        <f t="shared" si="27"/>
        <v>37</v>
      </c>
    </row>
    <row r="26" spans="1:328" s="98" customFormat="1" ht="13.8">
      <c r="A26" s="55" t="s">
        <v>592</v>
      </c>
      <c r="B26" s="40"/>
      <c r="C26" s="40">
        <v>65</v>
      </c>
      <c r="D26" s="49"/>
      <c r="E26" s="49"/>
      <c r="F26" s="40">
        <v>1</v>
      </c>
      <c r="G26" s="40">
        <v>1</v>
      </c>
      <c r="H26" s="40">
        <v>1</v>
      </c>
      <c r="I26" s="164">
        <v>6</v>
      </c>
      <c r="J26" s="164">
        <v>4</v>
      </c>
      <c r="K26" s="63">
        <v>6.3194444444444442E-2</v>
      </c>
      <c r="L26" s="63">
        <v>9.0972222222222218E-2</v>
      </c>
      <c r="M26" s="63">
        <v>5.347222222222222E-2</v>
      </c>
      <c r="N26" s="64" t="s">
        <v>1041</v>
      </c>
      <c r="O26" s="101" t="s">
        <v>1000</v>
      </c>
      <c r="P26" s="146" t="s">
        <v>737</v>
      </c>
      <c r="Q26" s="146">
        <v>1</v>
      </c>
      <c r="R26" s="147">
        <v>19698</v>
      </c>
      <c r="S26" s="146">
        <v>71</v>
      </c>
      <c r="T26" s="146" t="s">
        <v>259</v>
      </c>
      <c r="U26" s="146" t="s">
        <v>298</v>
      </c>
      <c r="V26" s="145" t="s">
        <v>738</v>
      </c>
      <c r="W26" s="146" t="s">
        <v>595</v>
      </c>
      <c r="X26" s="146" t="s">
        <v>596</v>
      </c>
      <c r="Y26" s="146" t="s">
        <v>288</v>
      </c>
      <c r="Z26" s="146" t="s">
        <v>262</v>
      </c>
      <c r="AA26" s="146" t="s">
        <v>323</v>
      </c>
      <c r="AB26" s="146" t="s">
        <v>264</v>
      </c>
      <c r="AC26" s="146" t="s">
        <v>597</v>
      </c>
      <c r="AD26" s="146" t="s">
        <v>597</v>
      </c>
      <c r="AE26" s="146" t="s">
        <v>602</v>
      </c>
      <c r="AF26" s="146" t="s">
        <v>597</v>
      </c>
      <c r="AG26" s="146" t="s">
        <v>610</v>
      </c>
      <c r="AH26" s="146" t="s">
        <v>597</v>
      </c>
      <c r="AI26" s="146" t="s">
        <v>597</v>
      </c>
      <c r="AJ26" s="147">
        <v>45966</v>
      </c>
      <c r="AK26" s="146" t="s">
        <v>610</v>
      </c>
      <c r="AL26" s="115">
        <v>1</v>
      </c>
      <c r="AM26" s="115">
        <v>1</v>
      </c>
      <c r="AN26" s="115">
        <v>1</v>
      </c>
      <c r="AO26" s="115">
        <v>1</v>
      </c>
      <c r="AP26" s="115">
        <v>1</v>
      </c>
      <c r="AQ26" s="115">
        <v>1</v>
      </c>
      <c r="AR26" s="115">
        <v>1</v>
      </c>
      <c r="AS26" s="115">
        <v>1</v>
      </c>
      <c r="AT26" s="70">
        <f t="shared" si="0"/>
        <v>8</v>
      </c>
      <c r="AU26" s="71">
        <v>1</v>
      </c>
      <c r="AV26" s="71">
        <v>1</v>
      </c>
      <c r="AW26" s="71">
        <v>1</v>
      </c>
      <c r="AX26" s="71">
        <v>1</v>
      </c>
      <c r="AY26" s="70">
        <f t="shared" si="1"/>
        <v>4</v>
      </c>
      <c r="AZ26" s="69">
        <v>1</v>
      </c>
      <c r="BA26" s="69">
        <v>1</v>
      </c>
      <c r="BB26" s="69">
        <v>1</v>
      </c>
      <c r="BC26" s="69">
        <v>1</v>
      </c>
      <c r="BD26" s="69">
        <v>1</v>
      </c>
      <c r="BE26" s="69">
        <v>1</v>
      </c>
      <c r="BF26" s="69">
        <v>1</v>
      </c>
      <c r="BG26" s="69">
        <v>1</v>
      </c>
      <c r="BH26" s="70">
        <f t="shared" si="2"/>
        <v>8</v>
      </c>
      <c r="BI26" s="69">
        <v>1</v>
      </c>
      <c r="BJ26" s="69">
        <v>1</v>
      </c>
      <c r="BK26" s="70">
        <f t="shared" si="3"/>
        <v>2</v>
      </c>
      <c r="BL26" s="72">
        <v>1</v>
      </c>
      <c r="BM26" s="72">
        <v>1</v>
      </c>
      <c r="BN26" s="72">
        <v>1</v>
      </c>
      <c r="BO26" s="72">
        <v>1</v>
      </c>
      <c r="BP26" s="72">
        <v>1</v>
      </c>
      <c r="BQ26" s="72">
        <v>1</v>
      </c>
      <c r="BR26" s="72">
        <v>1</v>
      </c>
      <c r="BS26" s="72">
        <v>1</v>
      </c>
      <c r="BT26" s="70">
        <f t="shared" si="4"/>
        <v>7</v>
      </c>
      <c r="BU26" s="70">
        <f t="shared" si="5"/>
        <v>29</v>
      </c>
      <c r="BV26" s="73">
        <v>5</v>
      </c>
      <c r="BW26" s="73">
        <v>5</v>
      </c>
      <c r="BX26" s="73">
        <v>5</v>
      </c>
      <c r="BY26" s="73">
        <v>1</v>
      </c>
      <c r="BZ26" s="105">
        <v>5</v>
      </c>
      <c r="CA26" s="73">
        <v>3</v>
      </c>
      <c r="CB26" s="105">
        <v>5</v>
      </c>
      <c r="CC26" s="73">
        <v>5</v>
      </c>
      <c r="CD26" s="73">
        <v>2</v>
      </c>
      <c r="CE26" s="73">
        <v>3</v>
      </c>
      <c r="CF26" s="73">
        <v>3</v>
      </c>
      <c r="CG26" s="73">
        <v>5</v>
      </c>
      <c r="CH26" s="74">
        <v>5</v>
      </c>
      <c r="CI26" s="73">
        <v>5</v>
      </c>
      <c r="CJ26" s="73">
        <v>3</v>
      </c>
      <c r="CK26" s="75">
        <f t="shared" si="96"/>
        <v>60</v>
      </c>
      <c r="CL26" s="76">
        <v>5</v>
      </c>
      <c r="CM26" s="76">
        <v>1</v>
      </c>
      <c r="CN26" s="76">
        <v>5</v>
      </c>
      <c r="CO26" s="76">
        <v>5</v>
      </c>
      <c r="CP26" s="76">
        <v>5</v>
      </c>
      <c r="CQ26" s="106">
        <v>5</v>
      </c>
      <c r="CR26" s="76">
        <v>1</v>
      </c>
      <c r="CS26" s="76">
        <v>5</v>
      </c>
      <c r="CT26" s="76">
        <v>5</v>
      </c>
      <c r="CU26" s="76">
        <v>5</v>
      </c>
      <c r="CV26" s="76">
        <v>5</v>
      </c>
      <c r="CW26" s="76">
        <v>1</v>
      </c>
      <c r="CX26" s="76">
        <v>1</v>
      </c>
      <c r="CY26" s="76">
        <v>5</v>
      </c>
      <c r="CZ26" s="76">
        <v>5</v>
      </c>
      <c r="DA26" s="76">
        <v>5</v>
      </c>
      <c r="DB26" s="76">
        <v>5</v>
      </c>
      <c r="DC26" s="76">
        <v>4</v>
      </c>
      <c r="DD26" s="76">
        <v>5</v>
      </c>
      <c r="DE26" s="76">
        <v>5</v>
      </c>
      <c r="DF26" s="76">
        <v>5</v>
      </c>
      <c r="DG26" s="76">
        <v>5</v>
      </c>
      <c r="DH26" s="76">
        <v>5</v>
      </c>
      <c r="DI26" s="76">
        <v>5</v>
      </c>
      <c r="DJ26" s="76">
        <v>1</v>
      </c>
      <c r="DK26" s="76">
        <v>5</v>
      </c>
      <c r="DL26" s="76">
        <v>3</v>
      </c>
      <c r="DM26" s="76">
        <v>1</v>
      </c>
      <c r="DN26" s="76">
        <f t="shared" si="7"/>
        <v>113</v>
      </c>
      <c r="DO26" s="135">
        <v>30</v>
      </c>
      <c r="DP26" s="39">
        <v>0</v>
      </c>
      <c r="DQ26" s="39">
        <v>1</v>
      </c>
      <c r="DR26" s="39">
        <v>0</v>
      </c>
      <c r="DS26" s="39">
        <v>0</v>
      </c>
      <c r="DT26" s="39">
        <v>0</v>
      </c>
      <c r="DU26" s="39">
        <v>0</v>
      </c>
      <c r="DV26" s="39">
        <v>0</v>
      </c>
      <c r="DW26" s="39">
        <v>0</v>
      </c>
      <c r="DX26" s="39">
        <v>0</v>
      </c>
      <c r="DY26" s="39">
        <v>0</v>
      </c>
      <c r="DZ26" s="39">
        <v>0</v>
      </c>
      <c r="EA26" s="39">
        <v>0</v>
      </c>
      <c r="EB26" s="39">
        <v>0</v>
      </c>
      <c r="EC26" s="39">
        <v>0</v>
      </c>
      <c r="ED26" s="39">
        <v>0</v>
      </c>
      <c r="EE26" s="77">
        <f t="shared" si="31"/>
        <v>1</v>
      </c>
      <c r="EF26" s="77" t="s">
        <v>265</v>
      </c>
      <c r="EG26" s="78">
        <f t="shared" si="8"/>
        <v>1</v>
      </c>
      <c r="EH26" s="39">
        <v>0</v>
      </c>
      <c r="EI26" s="39">
        <v>0</v>
      </c>
      <c r="EJ26" s="39">
        <v>0</v>
      </c>
      <c r="EK26" s="39">
        <v>0</v>
      </c>
      <c r="EL26" s="39">
        <v>0</v>
      </c>
      <c r="EM26" s="39">
        <v>0</v>
      </c>
      <c r="EN26" s="39">
        <v>0</v>
      </c>
      <c r="EO26" s="39">
        <v>1</v>
      </c>
      <c r="EP26" s="39">
        <v>0</v>
      </c>
      <c r="EQ26" s="39">
        <v>0</v>
      </c>
      <c r="ER26" s="39">
        <v>0</v>
      </c>
      <c r="ES26" s="39">
        <v>0</v>
      </c>
      <c r="ET26" s="39">
        <v>0</v>
      </c>
      <c r="EU26" s="39">
        <v>0</v>
      </c>
      <c r="EV26" s="39">
        <v>0</v>
      </c>
      <c r="EW26" s="39">
        <v>0</v>
      </c>
      <c r="EX26" s="39">
        <v>0</v>
      </c>
      <c r="EY26" s="39">
        <v>0</v>
      </c>
      <c r="EZ26" s="39">
        <v>0</v>
      </c>
      <c r="FA26" s="39">
        <v>0</v>
      </c>
      <c r="FB26" s="39">
        <v>0</v>
      </c>
      <c r="FC26" s="39">
        <v>0</v>
      </c>
      <c r="FD26" s="79">
        <f t="shared" si="9"/>
        <v>1</v>
      </c>
      <c r="FE26" s="80">
        <v>1</v>
      </c>
      <c r="FF26" s="39">
        <v>1</v>
      </c>
      <c r="FG26" s="39">
        <v>1</v>
      </c>
      <c r="FH26" s="39">
        <v>1</v>
      </c>
      <c r="FI26" s="39">
        <v>1</v>
      </c>
      <c r="FJ26" s="39">
        <v>1</v>
      </c>
      <c r="FK26" s="39">
        <v>1</v>
      </c>
      <c r="FL26" s="39">
        <v>1</v>
      </c>
      <c r="FM26" s="39">
        <v>1</v>
      </c>
      <c r="FN26" s="81">
        <f t="shared" si="10"/>
        <v>8</v>
      </c>
      <c r="FO26" s="82">
        <v>1</v>
      </c>
      <c r="FP26" s="39">
        <v>10</v>
      </c>
      <c r="FQ26" s="39">
        <v>5</v>
      </c>
      <c r="FR26" s="39">
        <v>10</v>
      </c>
      <c r="FS26" s="39">
        <v>5</v>
      </c>
      <c r="FT26" s="39">
        <v>10</v>
      </c>
      <c r="FU26" s="39">
        <v>10</v>
      </c>
      <c r="FV26" s="39">
        <v>10</v>
      </c>
      <c r="FW26" s="39">
        <v>15</v>
      </c>
      <c r="FX26" s="39">
        <v>15</v>
      </c>
      <c r="FY26" s="39">
        <v>10</v>
      </c>
      <c r="FZ26" s="83">
        <f t="shared" si="11"/>
        <v>100</v>
      </c>
      <c r="GA26" s="84">
        <v>1</v>
      </c>
      <c r="GB26" s="39">
        <v>0.5</v>
      </c>
      <c r="GC26" s="85">
        <v>1</v>
      </c>
      <c r="GD26" s="85">
        <v>0</v>
      </c>
      <c r="GE26" s="85">
        <v>0</v>
      </c>
      <c r="GF26" s="85">
        <v>0</v>
      </c>
      <c r="GG26" s="85">
        <v>0</v>
      </c>
      <c r="GH26" s="85">
        <v>0</v>
      </c>
      <c r="GI26" s="39">
        <v>0</v>
      </c>
      <c r="GJ26" s="39">
        <v>0</v>
      </c>
      <c r="GK26" s="39">
        <v>0</v>
      </c>
      <c r="GL26" s="39">
        <v>0</v>
      </c>
      <c r="GM26" s="39">
        <v>0</v>
      </c>
      <c r="GN26" s="39">
        <v>1</v>
      </c>
      <c r="GO26" s="39">
        <v>0</v>
      </c>
      <c r="GP26" s="39">
        <v>0</v>
      </c>
      <c r="GQ26" s="39">
        <v>0</v>
      </c>
      <c r="GR26" s="39">
        <v>0</v>
      </c>
      <c r="GS26" s="39">
        <v>0</v>
      </c>
      <c r="GT26" s="39">
        <v>0</v>
      </c>
      <c r="GU26" s="86">
        <f t="shared" si="12"/>
        <v>1</v>
      </c>
      <c r="GV26" s="136" t="s">
        <v>266</v>
      </c>
      <c r="GW26" s="87">
        <v>0</v>
      </c>
      <c r="GX26" s="88" t="s">
        <v>267</v>
      </c>
      <c r="GY26" s="39">
        <v>5</v>
      </c>
      <c r="GZ26" s="39">
        <v>5</v>
      </c>
      <c r="HA26" s="39">
        <v>3</v>
      </c>
      <c r="HB26" s="39">
        <v>3</v>
      </c>
      <c r="HC26" s="39">
        <v>5</v>
      </c>
      <c r="HD26" s="39">
        <v>5</v>
      </c>
      <c r="HE26" s="39"/>
      <c r="HF26" s="39"/>
      <c r="HG26" s="39">
        <v>2</v>
      </c>
      <c r="HH26" s="39">
        <v>7</v>
      </c>
      <c r="HI26" s="39">
        <v>7</v>
      </c>
      <c r="HJ26" s="39"/>
      <c r="HK26" s="39">
        <v>4</v>
      </c>
      <c r="HL26" s="39">
        <v>6</v>
      </c>
      <c r="HM26" s="39">
        <v>7</v>
      </c>
      <c r="HN26" s="39">
        <v>1</v>
      </c>
      <c r="HO26" s="39">
        <v>3</v>
      </c>
      <c r="HP26" s="39">
        <v>1</v>
      </c>
      <c r="HQ26" s="39">
        <v>2</v>
      </c>
      <c r="HR26" s="39">
        <v>1</v>
      </c>
      <c r="HS26" s="39">
        <v>1</v>
      </c>
      <c r="HT26" s="39">
        <v>2</v>
      </c>
      <c r="HU26" s="39">
        <v>4</v>
      </c>
      <c r="HV26" s="39">
        <v>1</v>
      </c>
      <c r="HW26" s="39">
        <v>1</v>
      </c>
      <c r="HX26" s="39">
        <v>1</v>
      </c>
      <c r="HY26" s="39">
        <v>4</v>
      </c>
      <c r="HZ26" s="39">
        <v>4</v>
      </c>
      <c r="IA26" s="39">
        <v>3</v>
      </c>
      <c r="IB26" s="39">
        <v>7</v>
      </c>
      <c r="IC26" s="39"/>
      <c r="ID26" s="55">
        <f t="shared" ref="ID26:IG26" si="100">SUM(GY26)</f>
        <v>5</v>
      </c>
      <c r="IE26" s="55">
        <f t="shared" si="100"/>
        <v>5</v>
      </c>
      <c r="IF26" s="55">
        <f t="shared" si="100"/>
        <v>3</v>
      </c>
      <c r="IG26" s="55">
        <f t="shared" si="100"/>
        <v>3</v>
      </c>
      <c r="IH26" s="55">
        <f t="shared" si="14"/>
        <v>10</v>
      </c>
      <c r="II26" s="55">
        <f t="shared" si="15"/>
        <v>2</v>
      </c>
      <c r="IJ26" s="55">
        <f t="shared" si="16"/>
        <v>14</v>
      </c>
      <c r="IK26" s="55">
        <f t="shared" ref="IK26:IQ26" si="101">SUM(HK26)</f>
        <v>4</v>
      </c>
      <c r="IL26" s="55">
        <f t="shared" si="101"/>
        <v>6</v>
      </c>
      <c r="IM26" s="55">
        <f t="shared" si="101"/>
        <v>7</v>
      </c>
      <c r="IN26" s="55">
        <f t="shared" si="101"/>
        <v>1</v>
      </c>
      <c r="IO26" s="55">
        <f t="shared" si="101"/>
        <v>3</v>
      </c>
      <c r="IP26" s="55">
        <f t="shared" si="101"/>
        <v>1</v>
      </c>
      <c r="IQ26" s="55">
        <f t="shared" si="101"/>
        <v>2</v>
      </c>
      <c r="IR26" s="55">
        <f t="shared" si="18"/>
        <v>2</v>
      </c>
      <c r="IS26" s="55">
        <f t="shared" ref="IS26:JB26" si="102">SUM(HT26)</f>
        <v>2</v>
      </c>
      <c r="IT26" s="55">
        <f t="shared" si="102"/>
        <v>4</v>
      </c>
      <c r="IU26" s="55">
        <f t="shared" si="102"/>
        <v>1</v>
      </c>
      <c r="IV26" s="55">
        <f t="shared" si="102"/>
        <v>1</v>
      </c>
      <c r="IW26" s="55">
        <f t="shared" si="102"/>
        <v>1</v>
      </c>
      <c r="IX26" s="55">
        <f t="shared" si="102"/>
        <v>4</v>
      </c>
      <c r="IY26" s="55">
        <f t="shared" si="102"/>
        <v>4</v>
      </c>
      <c r="IZ26" s="55">
        <f t="shared" si="102"/>
        <v>3</v>
      </c>
      <c r="JA26" s="55">
        <f t="shared" si="102"/>
        <v>7</v>
      </c>
      <c r="JB26" s="55">
        <f t="shared" si="102"/>
        <v>0</v>
      </c>
      <c r="JC26" s="89">
        <f t="shared" si="20"/>
        <v>92</v>
      </c>
      <c r="JD26" s="90">
        <v>1</v>
      </c>
      <c r="JE26" s="137">
        <v>1</v>
      </c>
      <c r="JF26" s="138">
        <v>27</v>
      </c>
      <c r="JG26" s="138">
        <v>2</v>
      </c>
      <c r="JH26" s="39">
        <v>2</v>
      </c>
      <c r="JI26" s="39">
        <v>2</v>
      </c>
      <c r="JJ26" s="39">
        <v>2</v>
      </c>
      <c r="JK26" s="39">
        <v>2</v>
      </c>
      <c r="JL26" s="39">
        <v>1</v>
      </c>
      <c r="JM26" s="39">
        <v>0</v>
      </c>
      <c r="JN26" s="39">
        <v>0</v>
      </c>
      <c r="JO26" s="39">
        <v>0</v>
      </c>
      <c r="JP26" s="89">
        <f t="shared" si="21"/>
        <v>9</v>
      </c>
      <c r="JQ26" s="39">
        <v>2</v>
      </c>
      <c r="JR26" s="39">
        <v>2</v>
      </c>
      <c r="JS26" s="39">
        <v>1</v>
      </c>
      <c r="JT26" s="39">
        <v>1</v>
      </c>
      <c r="JU26" s="39">
        <v>0</v>
      </c>
      <c r="JV26" s="39">
        <v>0</v>
      </c>
      <c r="JW26" s="39">
        <v>0</v>
      </c>
      <c r="JX26" s="92">
        <f t="shared" si="22"/>
        <v>6</v>
      </c>
      <c r="JY26" s="93">
        <f t="shared" si="23"/>
        <v>15</v>
      </c>
      <c r="JZ26" s="39">
        <v>3</v>
      </c>
      <c r="KA26" s="39">
        <v>2</v>
      </c>
      <c r="KB26" s="39">
        <v>1</v>
      </c>
      <c r="KC26" s="39">
        <v>1</v>
      </c>
      <c r="KD26" s="39">
        <v>0</v>
      </c>
      <c r="KE26" s="39">
        <v>0</v>
      </c>
      <c r="KF26" s="39">
        <v>0</v>
      </c>
      <c r="KG26" s="94">
        <f t="shared" si="24"/>
        <v>7</v>
      </c>
      <c r="KH26" s="148">
        <v>45784</v>
      </c>
      <c r="KI26" s="39">
        <v>0</v>
      </c>
      <c r="KJ26" s="39">
        <v>2</v>
      </c>
      <c r="KK26" s="39">
        <v>0</v>
      </c>
      <c r="KL26" s="134" t="s">
        <v>381</v>
      </c>
      <c r="KM26" s="39">
        <v>1</v>
      </c>
      <c r="KN26" s="39">
        <v>1</v>
      </c>
      <c r="KO26" s="39">
        <v>0</v>
      </c>
      <c r="KP26" s="134" t="s">
        <v>332</v>
      </c>
      <c r="KQ26" s="39">
        <v>0</v>
      </c>
      <c r="KR26" s="39">
        <v>2</v>
      </c>
      <c r="KS26" s="39">
        <v>1</v>
      </c>
      <c r="KT26" s="134" t="s">
        <v>333</v>
      </c>
      <c r="KU26" s="39">
        <v>0</v>
      </c>
      <c r="KV26" s="39">
        <v>2</v>
      </c>
      <c r="KW26" s="39">
        <v>0</v>
      </c>
      <c r="KX26" s="134" t="s">
        <v>327</v>
      </c>
      <c r="KY26" s="39">
        <v>0</v>
      </c>
      <c r="KZ26" s="39">
        <v>2</v>
      </c>
      <c r="LA26" s="39">
        <v>1</v>
      </c>
      <c r="LB26" s="134" t="s">
        <v>315</v>
      </c>
      <c r="LC26" s="39">
        <v>0</v>
      </c>
      <c r="LD26" s="39">
        <v>2</v>
      </c>
      <c r="LE26" s="39">
        <v>1</v>
      </c>
      <c r="LF26" s="134" t="s">
        <v>322</v>
      </c>
      <c r="LG26" s="39">
        <v>0</v>
      </c>
      <c r="LH26" s="39">
        <v>2</v>
      </c>
      <c r="LI26" s="39">
        <v>1</v>
      </c>
      <c r="LJ26" s="134" t="s">
        <v>327</v>
      </c>
      <c r="LK26" s="39">
        <v>0</v>
      </c>
      <c r="LL26" s="39">
        <v>2</v>
      </c>
      <c r="LM26" s="39">
        <v>3</v>
      </c>
      <c r="LN26" s="96">
        <f t="shared" si="25"/>
        <v>22</v>
      </c>
      <c r="LO26" s="97">
        <f t="shared" si="26"/>
        <v>7</v>
      </c>
      <c r="LP26" s="97">
        <f t="shared" si="27"/>
        <v>44</v>
      </c>
    </row>
    <row r="27" spans="1:328" s="98" customFormat="1" ht="13.8">
      <c r="A27" s="55" t="s">
        <v>634</v>
      </c>
      <c r="B27" s="61" t="s">
        <v>643</v>
      </c>
      <c r="C27" s="61">
        <v>21</v>
      </c>
      <c r="D27" s="62"/>
      <c r="E27" s="62" t="s">
        <v>780</v>
      </c>
      <c r="F27" s="61">
        <v>1</v>
      </c>
      <c r="G27" s="61">
        <v>1</v>
      </c>
      <c r="H27" s="61">
        <v>1</v>
      </c>
      <c r="I27" s="164">
        <v>6</v>
      </c>
      <c r="J27" s="164">
        <v>2</v>
      </c>
      <c r="K27" s="63">
        <v>0.3888888888888889</v>
      </c>
      <c r="L27" s="63">
        <v>7.7083333333333337E-2</v>
      </c>
      <c r="M27" s="63">
        <v>2.6388888888888889E-2</v>
      </c>
      <c r="N27" s="64" t="s">
        <v>1040</v>
      </c>
      <c r="O27" s="101" t="s">
        <v>1001</v>
      </c>
      <c r="P27" s="95" t="s">
        <v>644</v>
      </c>
      <c r="Q27" s="95">
        <v>1</v>
      </c>
      <c r="R27" s="125">
        <v>11129</v>
      </c>
      <c r="S27" s="95">
        <v>95</v>
      </c>
      <c r="T27" s="95" t="s">
        <v>259</v>
      </c>
      <c r="U27" s="95" t="s">
        <v>287</v>
      </c>
      <c r="V27" s="130" t="s">
        <v>645</v>
      </c>
      <c r="W27" s="95" t="s">
        <v>624</v>
      </c>
      <c r="X27" s="95" t="s">
        <v>596</v>
      </c>
      <c r="Y27" s="95" t="s">
        <v>261</v>
      </c>
      <c r="Z27" s="95" t="s">
        <v>262</v>
      </c>
      <c r="AA27" s="95" t="s">
        <v>408</v>
      </c>
      <c r="AB27" s="95" t="s">
        <v>300</v>
      </c>
      <c r="AC27" s="95" t="s">
        <v>597</v>
      </c>
      <c r="AD27" s="95" t="s">
        <v>597</v>
      </c>
      <c r="AE27" s="95" t="s">
        <v>602</v>
      </c>
      <c r="AF27" s="95" t="s">
        <v>597</v>
      </c>
      <c r="AG27" s="95" t="s">
        <v>602</v>
      </c>
      <c r="AH27" s="95" t="s">
        <v>599</v>
      </c>
      <c r="AI27" s="95" t="s">
        <v>599</v>
      </c>
      <c r="AJ27" s="125">
        <v>45809</v>
      </c>
      <c r="AK27" s="97"/>
      <c r="AL27" s="115">
        <v>1</v>
      </c>
      <c r="AM27" s="115">
        <v>1</v>
      </c>
      <c r="AN27" s="115">
        <v>1</v>
      </c>
      <c r="AO27" s="115">
        <v>1</v>
      </c>
      <c r="AP27" s="115">
        <v>1</v>
      </c>
      <c r="AQ27" s="115">
        <v>1</v>
      </c>
      <c r="AR27" s="115">
        <v>1</v>
      </c>
      <c r="AS27" s="115">
        <v>1</v>
      </c>
      <c r="AT27" s="70">
        <f t="shared" si="0"/>
        <v>8</v>
      </c>
      <c r="AU27" s="71">
        <v>1</v>
      </c>
      <c r="AV27" s="71">
        <v>1</v>
      </c>
      <c r="AW27" s="71">
        <v>1</v>
      </c>
      <c r="AX27" s="71">
        <v>1</v>
      </c>
      <c r="AY27" s="70">
        <f t="shared" si="1"/>
        <v>4</v>
      </c>
      <c r="AZ27" s="115">
        <v>0</v>
      </c>
      <c r="BA27" s="115">
        <v>0</v>
      </c>
      <c r="BB27" s="115">
        <v>0</v>
      </c>
      <c r="BC27" s="115">
        <v>0</v>
      </c>
      <c r="BD27" s="115">
        <v>0</v>
      </c>
      <c r="BE27" s="115">
        <v>1</v>
      </c>
      <c r="BF27" s="115">
        <v>0</v>
      </c>
      <c r="BG27" s="115">
        <v>0</v>
      </c>
      <c r="BH27" s="70">
        <f t="shared" si="2"/>
        <v>1</v>
      </c>
      <c r="BI27" s="69">
        <v>0</v>
      </c>
      <c r="BJ27" s="69">
        <v>0</v>
      </c>
      <c r="BK27" s="70">
        <f t="shared" si="3"/>
        <v>0</v>
      </c>
      <c r="BL27" s="92">
        <v>1</v>
      </c>
      <c r="BM27" s="72">
        <v>0</v>
      </c>
      <c r="BN27" s="72">
        <v>0</v>
      </c>
      <c r="BO27" s="72">
        <v>0</v>
      </c>
      <c r="BP27" s="92">
        <v>1</v>
      </c>
      <c r="BQ27" s="72">
        <v>0</v>
      </c>
      <c r="BR27" s="72">
        <v>0</v>
      </c>
      <c r="BS27" s="72">
        <v>0</v>
      </c>
      <c r="BT27" s="70">
        <f t="shared" si="4"/>
        <v>1</v>
      </c>
      <c r="BU27" s="70">
        <f t="shared" si="5"/>
        <v>14</v>
      </c>
      <c r="BV27" s="73">
        <v>5</v>
      </c>
      <c r="BW27" s="73">
        <v>5</v>
      </c>
      <c r="BX27" s="73">
        <v>5</v>
      </c>
      <c r="BY27" s="73">
        <v>1</v>
      </c>
      <c r="BZ27" s="73">
        <v>5</v>
      </c>
      <c r="CA27" s="73">
        <v>3</v>
      </c>
      <c r="CB27" s="73">
        <v>5</v>
      </c>
      <c r="CC27" s="73">
        <v>5</v>
      </c>
      <c r="CD27" s="73">
        <v>2</v>
      </c>
      <c r="CE27" s="73">
        <v>3</v>
      </c>
      <c r="CF27" s="73">
        <v>3</v>
      </c>
      <c r="CG27" s="73">
        <v>5</v>
      </c>
      <c r="CH27" s="74">
        <v>5</v>
      </c>
      <c r="CI27" s="73">
        <v>5</v>
      </c>
      <c r="CJ27" s="73">
        <v>3</v>
      </c>
      <c r="CK27" s="75">
        <f t="shared" si="96"/>
        <v>60</v>
      </c>
      <c r="CL27" s="76">
        <v>5</v>
      </c>
      <c r="CM27" s="76">
        <v>1</v>
      </c>
      <c r="CN27" s="76">
        <v>5</v>
      </c>
      <c r="CO27" s="76">
        <v>5</v>
      </c>
      <c r="CP27" s="76">
        <v>5</v>
      </c>
      <c r="CQ27" s="76">
        <v>5</v>
      </c>
      <c r="CR27" s="76">
        <v>1</v>
      </c>
      <c r="CS27" s="76">
        <v>5</v>
      </c>
      <c r="CT27" s="76">
        <v>5</v>
      </c>
      <c r="CU27" s="76">
        <v>5</v>
      </c>
      <c r="CV27" s="76">
        <v>5</v>
      </c>
      <c r="CW27" s="76">
        <v>1</v>
      </c>
      <c r="CX27" s="76">
        <v>1</v>
      </c>
      <c r="CY27" s="76">
        <v>4</v>
      </c>
      <c r="CZ27" s="76">
        <v>5</v>
      </c>
      <c r="DA27" s="76">
        <v>5</v>
      </c>
      <c r="DB27" s="76">
        <v>5</v>
      </c>
      <c r="DC27" s="76">
        <v>4</v>
      </c>
      <c r="DD27" s="76">
        <v>5</v>
      </c>
      <c r="DE27" s="76">
        <v>5</v>
      </c>
      <c r="DF27" s="76">
        <v>5</v>
      </c>
      <c r="DG27" s="76">
        <v>5</v>
      </c>
      <c r="DH27" s="76">
        <v>5</v>
      </c>
      <c r="DI27" s="76">
        <v>5</v>
      </c>
      <c r="DJ27" s="76">
        <v>1</v>
      </c>
      <c r="DK27" s="76">
        <v>5</v>
      </c>
      <c r="DL27" s="76">
        <v>3</v>
      </c>
      <c r="DM27" s="76">
        <v>1</v>
      </c>
      <c r="DN27" s="76">
        <f t="shared" si="7"/>
        <v>112</v>
      </c>
      <c r="DO27" s="118">
        <v>22</v>
      </c>
      <c r="DP27" s="97">
        <v>0</v>
      </c>
      <c r="DQ27" s="97">
        <v>1</v>
      </c>
      <c r="DR27" s="97">
        <v>1</v>
      </c>
      <c r="DS27" s="97">
        <v>0</v>
      </c>
      <c r="DT27" s="97">
        <v>0</v>
      </c>
      <c r="DU27" s="97">
        <v>0</v>
      </c>
      <c r="DV27" s="97">
        <v>0</v>
      </c>
      <c r="DW27" s="97">
        <v>1</v>
      </c>
      <c r="DX27" s="97">
        <v>0</v>
      </c>
      <c r="DY27" s="97">
        <v>1</v>
      </c>
      <c r="DZ27" s="97">
        <v>0</v>
      </c>
      <c r="EA27" s="97">
        <v>0</v>
      </c>
      <c r="EB27" s="97">
        <v>1</v>
      </c>
      <c r="EC27" s="97">
        <v>0</v>
      </c>
      <c r="ED27" s="97">
        <v>1</v>
      </c>
      <c r="EE27" s="77">
        <f t="shared" si="31"/>
        <v>6</v>
      </c>
      <c r="EF27" s="77" t="s">
        <v>267</v>
      </c>
      <c r="EG27" s="78">
        <f t="shared" si="8"/>
        <v>6</v>
      </c>
      <c r="EH27" s="97">
        <v>0.5</v>
      </c>
      <c r="EI27" s="97">
        <v>0</v>
      </c>
      <c r="EJ27" s="97">
        <v>0</v>
      </c>
      <c r="EK27" s="97">
        <v>0</v>
      </c>
      <c r="EL27" s="97">
        <v>0</v>
      </c>
      <c r="EM27" s="97">
        <v>0</v>
      </c>
      <c r="EN27" s="97">
        <v>0.5</v>
      </c>
      <c r="EO27" s="97">
        <v>1</v>
      </c>
      <c r="EP27" s="97">
        <v>1</v>
      </c>
      <c r="EQ27" s="97">
        <v>0</v>
      </c>
      <c r="ER27" s="97">
        <v>0</v>
      </c>
      <c r="ES27" s="97">
        <v>0</v>
      </c>
      <c r="ET27" s="97">
        <v>0</v>
      </c>
      <c r="EU27" s="97">
        <v>0</v>
      </c>
      <c r="EV27" s="97">
        <v>0</v>
      </c>
      <c r="EW27" s="97">
        <v>1</v>
      </c>
      <c r="EX27" s="97">
        <v>0</v>
      </c>
      <c r="EY27" s="97">
        <v>0</v>
      </c>
      <c r="EZ27" s="97">
        <v>0</v>
      </c>
      <c r="FA27" s="97">
        <v>0</v>
      </c>
      <c r="FB27" s="97">
        <v>0</v>
      </c>
      <c r="FC27" s="97">
        <v>1</v>
      </c>
      <c r="FD27" s="79">
        <f t="shared" si="9"/>
        <v>5</v>
      </c>
      <c r="FE27" s="79">
        <v>2</v>
      </c>
      <c r="FF27" s="97">
        <v>1</v>
      </c>
      <c r="FG27" s="97">
        <v>0</v>
      </c>
      <c r="FH27" s="97">
        <v>0</v>
      </c>
      <c r="FI27" s="97">
        <v>1</v>
      </c>
      <c r="FJ27" s="97">
        <v>1</v>
      </c>
      <c r="FK27" s="97">
        <v>1</v>
      </c>
      <c r="FL27" s="97">
        <v>0</v>
      </c>
      <c r="FM27" s="97">
        <v>1</v>
      </c>
      <c r="FN27" s="81">
        <f t="shared" si="10"/>
        <v>5</v>
      </c>
      <c r="FO27" s="81">
        <v>3</v>
      </c>
      <c r="FP27" s="97">
        <v>5</v>
      </c>
      <c r="FQ27" s="97">
        <v>5</v>
      </c>
      <c r="FR27" s="97">
        <v>10</v>
      </c>
      <c r="FS27" s="97">
        <v>0</v>
      </c>
      <c r="FT27" s="97">
        <v>10</v>
      </c>
      <c r="FU27" s="97">
        <v>10</v>
      </c>
      <c r="FV27" s="97">
        <v>10</v>
      </c>
      <c r="FW27" s="97">
        <v>10</v>
      </c>
      <c r="FX27" s="97">
        <v>10</v>
      </c>
      <c r="FY27" s="97">
        <v>0</v>
      </c>
      <c r="FZ27" s="83">
        <f t="shared" si="11"/>
        <v>70</v>
      </c>
      <c r="GA27" s="84">
        <v>2</v>
      </c>
      <c r="GB27" s="55">
        <v>1</v>
      </c>
      <c r="GC27" s="85">
        <v>0</v>
      </c>
      <c r="GD27" s="85">
        <v>1</v>
      </c>
      <c r="GE27" s="85">
        <v>1</v>
      </c>
      <c r="GF27" s="85">
        <v>0</v>
      </c>
      <c r="GG27" s="85">
        <v>0</v>
      </c>
      <c r="GH27" s="85">
        <v>0</v>
      </c>
      <c r="GI27" s="97">
        <v>0</v>
      </c>
      <c r="GJ27" s="97">
        <v>0</v>
      </c>
      <c r="GK27" s="97">
        <v>0</v>
      </c>
      <c r="GL27" s="97">
        <v>1</v>
      </c>
      <c r="GM27" s="97">
        <v>1</v>
      </c>
      <c r="GN27" s="97">
        <v>1</v>
      </c>
      <c r="GO27" s="97">
        <v>0</v>
      </c>
      <c r="GP27" s="97">
        <v>0</v>
      </c>
      <c r="GQ27" s="97">
        <v>0</v>
      </c>
      <c r="GR27" s="97">
        <v>0</v>
      </c>
      <c r="GS27" s="97">
        <v>0</v>
      </c>
      <c r="GT27" s="97">
        <v>0</v>
      </c>
      <c r="GU27" s="86">
        <f t="shared" si="12"/>
        <v>3</v>
      </c>
      <c r="GV27" s="128" t="s">
        <v>266</v>
      </c>
      <c r="GW27" s="87">
        <v>0</v>
      </c>
      <c r="GX27" s="88" t="s">
        <v>267</v>
      </c>
      <c r="GY27" s="97">
        <v>3</v>
      </c>
      <c r="GZ27" s="97">
        <v>4</v>
      </c>
      <c r="HA27" s="97">
        <v>3</v>
      </c>
      <c r="HB27" s="97">
        <v>1</v>
      </c>
      <c r="HC27" s="97">
        <v>1</v>
      </c>
      <c r="HD27" s="97">
        <v>1</v>
      </c>
      <c r="HE27" s="97"/>
      <c r="HF27" s="97"/>
      <c r="HG27" s="97">
        <v>2</v>
      </c>
      <c r="HH27" s="97">
        <v>7</v>
      </c>
      <c r="HI27" s="97">
        <v>7</v>
      </c>
      <c r="HJ27" s="97"/>
      <c r="HK27" s="97">
        <v>2</v>
      </c>
      <c r="HL27" s="97">
        <v>7</v>
      </c>
      <c r="HM27" s="97">
        <v>3</v>
      </c>
      <c r="HN27" s="97">
        <v>1</v>
      </c>
      <c r="HO27" s="97">
        <v>3</v>
      </c>
      <c r="HP27" s="97">
        <v>1</v>
      </c>
      <c r="HQ27" s="97">
        <v>1</v>
      </c>
      <c r="HR27" s="97">
        <v>1</v>
      </c>
      <c r="HS27" s="97">
        <v>1</v>
      </c>
      <c r="HT27" s="97">
        <v>2</v>
      </c>
      <c r="HU27" s="97">
        <v>4</v>
      </c>
      <c r="HV27" s="97">
        <v>1</v>
      </c>
      <c r="HW27" s="97">
        <v>1</v>
      </c>
      <c r="HX27" s="97">
        <v>0</v>
      </c>
      <c r="HY27" s="97">
        <v>3</v>
      </c>
      <c r="HZ27" s="97">
        <v>4</v>
      </c>
      <c r="IA27" s="97">
        <v>4</v>
      </c>
      <c r="IB27" s="97">
        <v>7</v>
      </c>
      <c r="IC27" s="97"/>
      <c r="ID27" s="55">
        <f t="shared" ref="ID27:IG27" si="103">SUM(GY27)</f>
        <v>3</v>
      </c>
      <c r="IE27" s="55">
        <f t="shared" si="103"/>
        <v>4</v>
      </c>
      <c r="IF27" s="55">
        <f t="shared" si="103"/>
        <v>3</v>
      </c>
      <c r="IG27" s="55">
        <f t="shared" si="103"/>
        <v>1</v>
      </c>
      <c r="IH27" s="55">
        <f t="shared" si="14"/>
        <v>2</v>
      </c>
      <c r="II27" s="55">
        <f t="shared" si="15"/>
        <v>2</v>
      </c>
      <c r="IJ27" s="55">
        <f t="shared" si="16"/>
        <v>14</v>
      </c>
      <c r="IK27" s="55">
        <f t="shared" ref="IK27:IQ27" si="104">SUM(HK27)</f>
        <v>2</v>
      </c>
      <c r="IL27" s="55">
        <f t="shared" si="104"/>
        <v>7</v>
      </c>
      <c r="IM27" s="55">
        <f t="shared" si="104"/>
        <v>3</v>
      </c>
      <c r="IN27" s="55">
        <f t="shared" si="104"/>
        <v>1</v>
      </c>
      <c r="IO27" s="55">
        <f t="shared" si="104"/>
        <v>3</v>
      </c>
      <c r="IP27" s="55">
        <f t="shared" si="104"/>
        <v>1</v>
      </c>
      <c r="IQ27" s="55">
        <f t="shared" si="104"/>
        <v>1</v>
      </c>
      <c r="IR27" s="55">
        <f t="shared" si="18"/>
        <v>2</v>
      </c>
      <c r="IS27" s="55">
        <f t="shared" ref="IS27:JB27" si="105">SUM(HT27)</f>
        <v>2</v>
      </c>
      <c r="IT27" s="55">
        <f t="shared" si="105"/>
        <v>4</v>
      </c>
      <c r="IU27" s="55">
        <f t="shared" si="105"/>
        <v>1</v>
      </c>
      <c r="IV27" s="55">
        <f t="shared" si="105"/>
        <v>1</v>
      </c>
      <c r="IW27" s="55">
        <f t="shared" si="105"/>
        <v>0</v>
      </c>
      <c r="IX27" s="55">
        <f t="shared" si="105"/>
        <v>3</v>
      </c>
      <c r="IY27" s="55">
        <f t="shared" si="105"/>
        <v>4</v>
      </c>
      <c r="IZ27" s="55">
        <f t="shared" si="105"/>
        <v>4</v>
      </c>
      <c r="JA27" s="55">
        <f t="shared" si="105"/>
        <v>7</v>
      </c>
      <c r="JB27" s="55">
        <f t="shared" si="105"/>
        <v>0</v>
      </c>
      <c r="JC27" s="89">
        <f t="shared" si="20"/>
        <v>74</v>
      </c>
      <c r="JD27" s="90">
        <v>1</v>
      </c>
      <c r="JE27" s="90">
        <v>1</v>
      </c>
      <c r="JF27" s="91">
        <v>8</v>
      </c>
      <c r="JG27" s="91">
        <v>2</v>
      </c>
      <c r="JH27" s="97">
        <v>2</v>
      </c>
      <c r="JI27" s="97">
        <v>1</v>
      </c>
      <c r="JJ27" s="97">
        <v>0</v>
      </c>
      <c r="JK27" s="97">
        <v>0</v>
      </c>
      <c r="JL27" s="97">
        <v>0</v>
      </c>
      <c r="JM27" s="97">
        <v>0</v>
      </c>
      <c r="JN27" s="97">
        <v>0</v>
      </c>
      <c r="JO27" s="97">
        <v>0</v>
      </c>
      <c r="JP27" s="89">
        <f t="shared" si="21"/>
        <v>3</v>
      </c>
      <c r="JQ27" s="97">
        <v>2</v>
      </c>
      <c r="JR27" s="97">
        <v>2</v>
      </c>
      <c r="JS27" s="97">
        <v>0</v>
      </c>
      <c r="JT27" s="97">
        <v>0</v>
      </c>
      <c r="JU27" s="97">
        <v>0</v>
      </c>
      <c r="JV27" s="97">
        <v>0</v>
      </c>
      <c r="JW27" s="97">
        <v>0</v>
      </c>
      <c r="JX27" s="92">
        <f t="shared" si="22"/>
        <v>4</v>
      </c>
      <c r="JY27" s="93">
        <f t="shared" si="23"/>
        <v>7</v>
      </c>
      <c r="JZ27" s="97">
        <v>3</v>
      </c>
      <c r="KA27" s="97">
        <v>3</v>
      </c>
      <c r="KB27" s="97">
        <v>2</v>
      </c>
      <c r="KC27" s="97">
        <v>0</v>
      </c>
      <c r="KD27" s="97">
        <v>0</v>
      </c>
      <c r="KE27" s="97">
        <v>0</v>
      </c>
      <c r="KF27" s="97">
        <v>0</v>
      </c>
      <c r="KG27" s="94">
        <f t="shared" si="24"/>
        <v>8</v>
      </c>
      <c r="KH27" s="95" t="s">
        <v>379</v>
      </c>
      <c r="KI27" s="97">
        <v>0</v>
      </c>
      <c r="KJ27" s="97">
        <v>2</v>
      </c>
      <c r="KK27" s="97">
        <v>0</v>
      </c>
      <c r="KL27" s="95" t="s">
        <v>409</v>
      </c>
      <c r="KM27" s="97">
        <v>1</v>
      </c>
      <c r="KN27" s="97">
        <v>1</v>
      </c>
      <c r="KO27" s="97">
        <v>0</v>
      </c>
      <c r="KP27" s="95" t="s">
        <v>410</v>
      </c>
      <c r="KQ27" s="97">
        <v>0</v>
      </c>
      <c r="KR27" s="97">
        <v>2</v>
      </c>
      <c r="KS27" s="97">
        <v>0</v>
      </c>
      <c r="KT27" s="95" t="s">
        <v>411</v>
      </c>
      <c r="KU27" s="97">
        <v>0</v>
      </c>
      <c r="KV27" s="97">
        <v>2</v>
      </c>
      <c r="KW27" s="97">
        <v>0</v>
      </c>
      <c r="KX27" s="95" t="s">
        <v>412</v>
      </c>
      <c r="KY27" s="97">
        <v>1</v>
      </c>
      <c r="KZ27" s="97">
        <v>1</v>
      </c>
      <c r="LA27" s="97">
        <v>0</v>
      </c>
      <c r="LB27" s="95" t="s">
        <v>413</v>
      </c>
      <c r="LC27" s="97">
        <v>0</v>
      </c>
      <c r="LD27" s="97">
        <v>2</v>
      </c>
      <c r="LE27" s="97">
        <v>0</v>
      </c>
      <c r="LF27" s="95" t="s">
        <v>414</v>
      </c>
      <c r="LG27" s="97">
        <v>0</v>
      </c>
      <c r="LH27" s="97">
        <v>2</v>
      </c>
      <c r="LI27" s="97">
        <v>0</v>
      </c>
      <c r="LJ27" s="95" t="s">
        <v>415</v>
      </c>
      <c r="LK27" s="97">
        <v>0</v>
      </c>
      <c r="LL27" s="97">
        <v>2</v>
      </c>
      <c r="LM27" s="97">
        <v>0</v>
      </c>
      <c r="LN27" s="96">
        <f t="shared" si="25"/>
        <v>14</v>
      </c>
      <c r="LO27" s="97">
        <f t="shared" si="26"/>
        <v>0</v>
      </c>
      <c r="LP27" s="97">
        <f t="shared" si="27"/>
        <v>29</v>
      </c>
    </row>
    <row r="28" spans="1:328" s="98" customFormat="1" ht="13.8">
      <c r="A28" s="55" t="s">
        <v>613</v>
      </c>
      <c r="B28" s="41"/>
      <c r="C28" s="41">
        <v>60</v>
      </c>
      <c r="D28" s="50" t="s">
        <v>763</v>
      </c>
      <c r="E28" s="50"/>
      <c r="F28" s="41">
        <v>1</v>
      </c>
      <c r="G28" s="41">
        <v>1</v>
      </c>
      <c r="H28" s="41">
        <v>1</v>
      </c>
      <c r="I28" s="164">
        <v>5</v>
      </c>
      <c r="J28" s="164">
        <v>2</v>
      </c>
      <c r="K28" s="63">
        <v>0.125</v>
      </c>
      <c r="L28" s="63">
        <v>7.2222222222222215E-2</v>
      </c>
      <c r="M28" s="63">
        <v>2.7083333333333334E-2</v>
      </c>
      <c r="N28" s="64" t="s">
        <v>1041</v>
      </c>
      <c r="O28" s="101" t="s">
        <v>1002</v>
      </c>
      <c r="P28" s="95" t="s">
        <v>726</v>
      </c>
      <c r="Q28" s="95">
        <v>1</v>
      </c>
      <c r="R28" s="125">
        <v>21742</v>
      </c>
      <c r="S28" s="95">
        <v>66</v>
      </c>
      <c r="T28" s="95" t="s">
        <v>259</v>
      </c>
      <c r="U28" s="95" t="s">
        <v>298</v>
      </c>
      <c r="V28" s="149" t="s">
        <v>727</v>
      </c>
      <c r="W28" s="95" t="s">
        <v>624</v>
      </c>
      <c r="X28" s="95" t="s">
        <v>596</v>
      </c>
      <c r="Y28" s="95" t="s">
        <v>288</v>
      </c>
      <c r="Z28" s="95" t="s">
        <v>262</v>
      </c>
      <c r="AA28" s="95" t="s">
        <v>416</v>
      </c>
      <c r="AB28" s="95" t="s">
        <v>264</v>
      </c>
      <c r="AC28" s="95" t="s">
        <v>597</v>
      </c>
      <c r="AD28" s="95" t="s">
        <v>597</v>
      </c>
      <c r="AE28" s="95" t="s">
        <v>602</v>
      </c>
      <c r="AF28" s="95" t="s">
        <v>597</v>
      </c>
      <c r="AG28" s="95" t="s">
        <v>602</v>
      </c>
      <c r="AH28" s="95" t="s">
        <v>597</v>
      </c>
      <c r="AI28" s="95" t="s">
        <v>599</v>
      </c>
      <c r="AJ28" s="125">
        <v>45323</v>
      </c>
      <c r="AK28" s="97"/>
      <c r="AL28" s="115">
        <v>1</v>
      </c>
      <c r="AM28" s="115">
        <v>1</v>
      </c>
      <c r="AN28" s="115">
        <v>1</v>
      </c>
      <c r="AO28" s="115">
        <v>1</v>
      </c>
      <c r="AP28" s="115">
        <v>1</v>
      </c>
      <c r="AQ28" s="115">
        <v>1</v>
      </c>
      <c r="AR28" s="115">
        <v>1</v>
      </c>
      <c r="AS28" s="115">
        <v>1</v>
      </c>
      <c r="AT28" s="70">
        <f t="shared" si="0"/>
        <v>8</v>
      </c>
      <c r="AU28" s="71">
        <v>1</v>
      </c>
      <c r="AV28" s="71">
        <v>1</v>
      </c>
      <c r="AW28" s="71">
        <v>1</v>
      </c>
      <c r="AX28" s="71">
        <v>1</v>
      </c>
      <c r="AY28" s="70">
        <f t="shared" si="1"/>
        <v>4</v>
      </c>
      <c r="AZ28" s="115">
        <v>0</v>
      </c>
      <c r="BA28" s="115">
        <v>0</v>
      </c>
      <c r="BB28" s="115">
        <v>0</v>
      </c>
      <c r="BC28" s="115">
        <v>0</v>
      </c>
      <c r="BD28" s="115">
        <v>0</v>
      </c>
      <c r="BE28" s="115">
        <v>1</v>
      </c>
      <c r="BF28" s="115">
        <v>0</v>
      </c>
      <c r="BG28" s="115">
        <v>0</v>
      </c>
      <c r="BH28" s="70">
        <f t="shared" si="2"/>
        <v>1</v>
      </c>
      <c r="BI28" s="69">
        <v>0</v>
      </c>
      <c r="BJ28" s="69">
        <v>0</v>
      </c>
      <c r="BK28" s="70">
        <f t="shared" si="3"/>
        <v>0</v>
      </c>
      <c r="BL28" s="92">
        <v>1</v>
      </c>
      <c r="BM28" s="72">
        <v>0</v>
      </c>
      <c r="BN28" s="72">
        <v>0</v>
      </c>
      <c r="BO28" s="72">
        <v>0</v>
      </c>
      <c r="BP28" s="120">
        <v>1</v>
      </c>
      <c r="BQ28" s="72">
        <v>0</v>
      </c>
      <c r="BR28" s="72">
        <v>0</v>
      </c>
      <c r="BS28" s="72">
        <v>0</v>
      </c>
      <c r="BT28" s="70">
        <f t="shared" si="4"/>
        <v>1</v>
      </c>
      <c r="BU28" s="70">
        <f t="shared" si="5"/>
        <v>14</v>
      </c>
      <c r="BV28" s="126">
        <v>1</v>
      </c>
      <c r="BW28" s="126">
        <v>2</v>
      </c>
      <c r="BX28" s="126">
        <v>2</v>
      </c>
      <c r="BY28" s="126">
        <v>1</v>
      </c>
      <c r="BZ28" s="74">
        <v>1</v>
      </c>
      <c r="CA28" s="126">
        <v>5</v>
      </c>
      <c r="CB28" s="74">
        <v>2</v>
      </c>
      <c r="CC28" s="126">
        <v>2</v>
      </c>
      <c r="CD28" s="126">
        <v>1</v>
      </c>
      <c r="CE28" s="126">
        <v>1</v>
      </c>
      <c r="CF28" s="126">
        <v>5</v>
      </c>
      <c r="CG28" s="126">
        <v>5</v>
      </c>
      <c r="CH28" s="74">
        <v>5</v>
      </c>
      <c r="CI28" s="126">
        <v>5</v>
      </c>
      <c r="CJ28" s="126">
        <v>2</v>
      </c>
      <c r="CK28" s="127">
        <f t="shared" si="96"/>
        <v>40</v>
      </c>
      <c r="CL28" s="118">
        <v>1</v>
      </c>
      <c r="CM28" s="118">
        <v>5</v>
      </c>
      <c r="CN28" s="118">
        <v>5</v>
      </c>
      <c r="CO28" s="118">
        <v>5</v>
      </c>
      <c r="CP28" s="118">
        <v>1</v>
      </c>
      <c r="CQ28" s="123">
        <v>5</v>
      </c>
      <c r="CR28" s="118">
        <v>1</v>
      </c>
      <c r="CS28" s="118">
        <v>3</v>
      </c>
      <c r="CT28" s="118">
        <v>3</v>
      </c>
      <c r="CU28" s="118">
        <v>1</v>
      </c>
      <c r="CV28" s="118">
        <v>5</v>
      </c>
      <c r="CW28" s="118">
        <v>1</v>
      </c>
      <c r="CX28" s="118">
        <v>1</v>
      </c>
      <c r="CY28" s="118">
        <v>4</v>
      </c>
      <c r="CZ28" s="118">
        <v>5</v>
      </c>
      <c r="DA28" s="118">
        <v>1</v>
      </c>
      <c r="DB28" s="118">
        <v>5</v>
      </c>
      <c r="DC28" s="118">
        <v>5</v>
      </c>
      <c r="DD28" s="118">
        <v>2</v>
      </c>
      <c r="DE28" s="118">
        <v>4</v>
      </c>
      <c r="DF28" s="118">
        <v>5</v>
      </c>
      <c r="DG28" s="118">
        <v>5</v>
      </c>
      <c r="DH28" s="118">
        <v>3</v>
      </c>
      <c r="DI28" s="118">
        <v>5</v>
      </c>
      <c r="DJ28" s="118">
        <v>2</v>
      </c>
      <c r="DK28" s="118">
        <v>2</v>
      </c>
      <c r="DL28" s="118">
        <v>3</v>
      </c>
      <c r="DM28" s="118">
        <v>1</v>
      </c>
      <c r="DN28" s="118">
        <f t="shared" si="7"/>
        <v>89</v>
      </c>
      <c r="DO28" s="118">
        <v>28</v>
      </c>
      <c r="DP28" s="97">
        <v>0</v>
      </c>
      <c r="DQ28" s="97">
        <v>0</v>
      </c>
      <c r="DR28" s="97">
        <v>1</v>
      </c>
      <c r="DS28" s="97">
        <v>0</v>
      </c>
      <c r="DT28" s="97">
        <v>0</v>
      </c>
      <c r="DU28" s="97">
        <v>1</v>
      </c>
      <c r="DV28" s="97">
        <v>0</v>
      </c>
      <c r="DW28" s="97">
        <v>1</v>
      </c>
      <c r="DX28" s="97">
        <v>0</v>
      </c>
      <c r="DY28" s="97">
        <v>0</v>
      </c>
      <c r="DZ28" s="97">
        <v>0</v>
      </c>
      <c r="EA28" s="97">
        <v>0</v>
      </c>
      <c r="EB28" s="97">
        <v>0</v>
      </c>
      <c r="EC28" s="97">
        <v>0</v>
      </c>
      <c r="ED28" s="97">
        <v>0</v>
      </c>
      <c r="EE28" s="77">
        <f t="shared" si="31"/>
        <v>3</v>
      </c>
      <c r="EF28" s="77" t="s">
        <v>265</v>
      </c>
      <c r="EG28" s="78">
        <f t="shared" si="8"/>
        <v>3</v>
      </c>
      <c r="EH28" s="97">
        <v>0</v>
      </c>
      <c r="EI28" s="97">
        <v>0</v>
      </c>
      <c r="EJ28" s="97">
        <v>0.5</v>
      </c>
      <c r="EK28" s="97">
        <v>0</v>
      </c>
      <c r="EL28" s="97">
        <v>0.5</v>
      </c>
      <c r="EM28" s="97">
        <v>0</v>
      </c>
      <c r="EN28" s="97">
        <v>0</v>
      </c>
      <c r="EO28" s="97">
        <v>0.5</v>
      </c>
      <c r="EP28" s="97">
        <v>0</v>
      </c>
      <c r="EQ28" s="97">
        <v>0</v>
      </c>
      <c r="ER28" s="97">
        <v>1</v>
      </c>
      <c r="ES28" s="97">
        <v>1</v>
      </c>
      <c r="ET28" s="97">
        <v>0</v>
      </c>
      <c r="EU28" s="97">
        <v>0</v>
      </c>
      <c r="EV28" s="97">
        <v>0</v>
      </c>
      <c r="EW28" s="97">
        <v>1</v>
      </c>
      <c r="EX28" s="97">
        <v>0</v>
      </c>
      <c r="EY28" s="97">
        <v>1</v>
      </c>
      <c r="EZ28" s="97">
        <v>0</v>
      </c>
      <c r="FA28" s="97">
        <v>0</v>
      </c>
      <c r="FB28" s="97">
        <v>0</v>
      </c>
      <c r="FC28" s="97">
        <v>1</v>
      </c>
      <c r="FD28" s="79">
        <f t="shared" si="9"/>
        <v>6.5</v>
      </c>
      <c r="FE28" s="79">
        <v>2</v>
      </c>
      <c r="FF28" s="97">
        <v>1</v>
      </c>
      <c r="FG28" s="97">
        <v>1</v>
      </c>
      <c r="FH28" s="97">
        <v>1</v>
      </c>
      <c r="FI28" s="97">
        <v>1</v>
      </c>
      <c r="FJ28" s="97">
        <v>1</v>
      </c>
      <c r="FK28" s="97">
        <v>1</v>
      </c>
      <c r="FL28" s="97">
        <v>1</v>
      </c>
      <c r="FM28" s="97">
        <v>1</v>
      </c>
      <c r="FN28" s="81">
        <f t="shared" si="10"/>
        <v>8</v>
      </c>
      <c r="FO28" s="82">
        <v>1</v>
      </c>
      <c r="FP28" s="97">
        <v>10</v>
      </c>
      <c r="FQ28" s="97">
        <v>5</v>
      </c>
      <c r="FR28" s="97">
        <v>10</v>
      </c>
      <c r="FS28" s="97">
        <v>5</v>
      </c>
      <c r="FT28" s="97">
        <v>10</v>
      </c>
      <c r="FU28" s="97">
        <v>0</v>
      </c>
      <c r="FV28" s="97">
        <v>10</v>
      </c>
      <c r="FW28" s="97">
        <v>15</v>
      </c>
      <c r="FX28" s="97">
        <v>15</v>
      </c>
      <c r="FY28" s="97">
        <v>10</v>
      </c>
      <c r="FZ28" s="83">
        <f t="shared" si="11"/>
        <v>90</v>
      </c>
      <c r="GA28" s="84">
        <v>2</v>
      </c>
      <c r="GB28" s="55">
        <v>0</v>
      </c>
      <c r="GC28" s="85">
        <v>0</v>
      </c>
      <c r="GD28" s="85">
        <v>0</v>
      </c>
      <c r="GE28" s="85">
        <v>0</v>
      </c>
      <c r="GF28" s="85">
        <v>0</v>
      </c>
      <c r="GG28" s="85">
        <v>0</v>
      </c>
      <c r="GH28" s="85">
        <v>0</v>
      </c>
      <c r="GI28" s="97">
        <v>0</v>
      </c>
      <c r="GJ28" s="97">
        <v>0</v>
      </c>
      <c r="GK28" s="97">
        <v>0</v>
      </c>
      <c r="GL28" s="97">
        <v>2</v>
      </c>
      <c r="GM28" s="97">
        <v>3</v>
      </c>
      <c r="GN28" s="97">
        <v>0</v>
      </c>
      <c r="GO28" s="97">
        <v>0</v>
      </c>
      <c r="GP28" s="97">
        <v>0</v>
      </c>
      <c r="GQ28" s="97">
        <v>1</v>
      </c>
      <c r="GR28" s="97">
        <v>0</v>
      </c>
      <c r="GS28" s="97">
        <v>3</v>
      </c>
      <c r="GT28" s="97">
        <v>1</v>
      </c>
      <c r="GU28" s="86">
        <f t="shared" si="12"/>
        <v>10</v>
      </c>
      <c r="GV28" s="87" t="s">
        <v>324</v>
      </c>
      <c r="GW28" s="87">
        <v>0</v>
      </c>
      <c r="GX28" s="88" t="s">
        <v>265</v>
      </c>
      <c r="GY28" s="97">
        <v>4</v>
      </c>
      <c r="GZ28" s="97">
        <v>4</v>
      </c>
      <c r="HA28" s="97">
        <v>2</v>
      </c>
      <c r="HB28" s="97">
        <v>2</v>
      </c>
      <c r="HC28" s="97">
        <v>1</v>
      </c>
      <c r="HD28" s="97">
        <v>4</v>
      </c>
      <c r="HE28" s="97"/>
      <c r="HF28" s="97"/>
      <c r="HG28" s="97">
        <v>2</v>
      </c>
      <c r="HH28" s="97">
        <v>7</v>
      </c>
      <c r="HI28" s="97">
        <v>7</v>
      </c>
      <c r="HJ28" s="97"/>
      <c r="HK28" s="97">
        <v>4</v>
      </c>
      <c r="HL28" s="97">
        <v>5</v>
      </c>
      <c r="HM28" s="97">
        <v>2</v>
      </c>
      <c r="HN28" s="97">
        <v>1</v>
      </c>
      <c r="HO28" s="97">
        <v>3</v>
      </c>
      <c r="HP28" s="97">
        <v>1</v>
      </c>
      <c r="HQ28" s="97">
        <v>2</v>
      </c>
      <c r="HR28" s="97">
        <v>1</v>
      </c>
      <c r="HS28" s="97">
        <v>1</v>
      </c>
      <c r="HT28" s="97">
        <v>2</v>
      </c>
      <c r="HU28" s="97">
        <v>4</v>
      </c>
      <c r="HV28" s="97">
        <v>1</v>
      </c>
      <c r="HW28" s="97">
        <v>0</v>
      </c>
      <c r="HX28" s="97">
        <v>0</v>
      </c>
      <c r="HY28" s="97">
        <v>4</v>
      </c>
      <c r="HZ28" s="97">
        <v>4</v>
      </c>
      <c r="IA28" s="97">
        <v>4</v>
      </c>
      <c r="IB28" s="97">
        <v>7</v>
      </c>
      <c r="IC28" s="55"/>
      <c r="ID28" s="55">
        <f t="shared" ref="ID28:IG28" si="106">SUM(GY28)</f>
        <v>4</v>
      </c>
      <c r="IE28" s="55">
        <f t="shared" si="106"/>
        <v>4</v>
      </c>
      <c r="IF28" s="55">
        <f t="shared" si="106"/>
        <v>2</v>
      </c>
      <c r="IG28" s="55">
        <f t="shared" si="106"/>
        <v>2</v>
      </c>
      <c r="IH28" s="55">
        <f t="shared" si="14"/>
        <v>5</v>
      </c>
      <c r="II28" s="55">
        <f t="shared" si="15"/>
        <v>2</v>
      </c>
      <c r="IJ28" s="55">
        <f t="shared" si="16"/>
        <v>14</v>
      </c>
      <c r="IK28" s="55">
        <f t="shared" ref="IK28:IQ28" si="107">SUM(HK28)</f>
        <v>4</v>
      </c>
      <c r="IL28" s="55">
        <f t="shared" si="107"/>
        <v>5</v>
      </c>
      <c r="IM28" s="55">
        <f t="shared" si="107"/>
        <v>2</v>
      </c>
      <c r="IN28" s="55">
        <f t="shared" si="107"/>
        <v>1</v>
      </c>
      <c r="IO28" s="55">
        <f t="shared" si="107"/>
        <v>3</v>
      </c>
      <c r="IP28" s="55">
        <f t="shared" si="107"/>
        <v>1</v>
      </c>
      <c r="IQ28" s="55">
        <f t="shared" si="107"/>
        <v>2</v>
      </c>
      <c r="IR28" s="55">
        <f t="shared" si="18"/>
        <v>2</v>
      </c>
      <c r="IS28" s="55">
        <f t="shared" ref="IS28:JB28" si="108">SUM(HT28)</f>
        <v>2</v>
      </c>
      <c r="IT28" s="55">
        <f t="shared" si="108"/>
        <v>4</v>
      </c>
      <c r="IU28" s="55">
        <f t="shared" si="108"/>
        <v>1</v>
      </c>
      <c r="IV28" s="55">
        <f t="shared" si="108"/>
        <v>0</v>
      </c>
      <c r="IW28" s="55">
        <f t="shared" si="108"/>
        <v>0</v>
      </c>
      <c r="IX28" s="55">
        <f t="shared" si="108"/>
        <v>4</v>
      </c>
      <c r="IY28" s="55">
        <f t="shared" si="108"/>
        <v>4</v>
      </c>
      <c r="IZ28" s="55">
        <f t="shared" si="108"/>
        <v>4</v>
      </c>
      <c r="JA28" s="55">
        <f t="shared" si="108"/>
        <v>7</v>
      </c>
      <c r="JB28" s="55">
        <f t="shared" si="108"/>
        <v>0</v>
      </c>
      <c r="JC28" s="89">
        <f t="shared" si="20"/>
        <v>77</v>
      </c>
      <c r="JD28" s="90">
        <v>1</v>
      </c>
      <c r="JE28" s="90"/>
      <c r="JF28" s="91">
        <v>45</v>
      </c>
      <c r="JG28" s="91">
        <v>2</v>
      </c>
      <c r="JH28" s="97">
        <v>2</v>
      </c>
      <c r="JI28" s="97">
        <v>2</v>
      </c>
      <c r="JJ28" s="97">
        <v>1</v>
      </c>
      <c r="JK28" s="97">
        <v>2</v>
      </c>
      <c r="JL28" s="97">
        <v>2</v>
      </c>
      <c r="JM28" s="97">
        <v>1</v>
      </c>
      <c r="JN28" s="97">
        <v>0</v>
      </c>
      <c r="JO28" s="97">
        <v>0</v>
      </c>
      <c r="JP28" s="89">
        <f t="shared" si="21"/>
        <v>10</v>
      </c>
      <c r="JQ28" s="97">
        <v>2</v>
      </c>
      <c r="JR28" s="97">
        <v>2</v>
      </c>
      <c r="JS28" s="97">
        <v>0</v>
      </c>
      <c r="JT28" s="97">
        <v>1</v>
      </c>
      <c r="JU28" s="97">
        <v>0</v>
      </c>
      <c r="JV28" s="97">
        <v>0</v>
      </c>
      <c r="JW28" s="97">
        <v>0</v>
      </c>
      <c r="JX28" s="92">
        <f t="shared" si="22"/>
        <v>5</v>
      </c>
      <c r="JY28" s="93">
        <f t="shared" si="23"/>
        <v>15</v>
      </c>
      <c r="JZ28" s="97">
        <v>3</v>
      </c>
      <c r="KA28" s="97">
        <v>3</v>
      </c>
      <c r="KB28" s="97">
        <v>3</v>
      </c>
      <c r="KC28" s="97">
        <v>0</v>
      </c>
      <c r="KD28" s="97">
        <v>0</v>
      </c>
      <c r="KE28" s="97">
        <v>0</v>
      </c>
      <c r="KF28" s="97">
        <v>0</v>
      </c>
      <c r="KG28" s="94">
        <f t="shared" si="24"/>
        <v>9</v>
      </c>
      <c r="KH28" s="95" t="s">
        <v>330</v>
      </c>
      <c r="KI28" s="97">
        <v>0</v>
      </c>
      <c r="KJ28" s="97">
        <v>2</v>
      </c>
      <c r="KK28" s="97">
        <v>0</v>
      </c>
      <c r="KL28" s="95" t="s">
        <v>379</v>
      </c>
      <c r="KM28" s="97">
        <v>0</v>
      </c>
      <c r="KN28" s="97">
        <v>2</v>
      </c>
      <c r="KO28" s="97">
        <v>0</v>
      </c>
      <c r="KP28" s="95" t="s">
        <v>332</v>
      </c>
      <c r="KQ28" s="97">
        <v>0</v>
      </c>
      <c r="KR28" s="97">
        <v>2</v>
      </c>
      <c r="KS28" s="97">
        <v>1</v>
      </c>
      <c r="KT28" s="95" t="s">
        <v>357</v>
      </c>
      <c r="KU28" s="97">
        <v>0</v>
      </c>
      <c r="KV28" s="97">
        <v>2</v>
      </c>
      <c r="KW28" s="97">
        <v>0</v>
      </c>
      <c r="KX28" s="95" t="s">
        <v>417</v>
      </c>
      <c r="KY28" s="97">
        <v>0</v>
      </c>
      <c r="KZ28" s="97">
        <v>2</v>
      </c>
      <c r="LA28" s="97">
        <v>0</v>
      </c>
      <c r="LB28" s="95" t="s">
        <v>418</v>
      </c>
      <c r="LC28" s="97">
        <v>0</v>
      </c>
      <c r="LD28" s="97">
        <v>2</v>
      </c>
      <c r="LE28" s="97">
        <v>1</v>
      </c>
      <c r="LF28" s="95" t="s">
        <v>419</v>
      </c>
      <c r="LG28" s="97">
        <v>2</v>
      </c>
      <c r="LH28" s="97">
        <v>0</v>
      </c>
      <c r="LI28" s="97">
        <v>1</v>
      </c>
      <c r="LJ28" s="95" t="s">
        <v>420</v>
      </c>
      <c r="LK28" s="97">
        <v>1</v>
      </c>
      <c r="LL28" s="97">
        <v>1</v>
      </c>
      <c r="LM28" s="97">
        <v>0</v>
      </c>
      <c r="LN28" s="96">
        <f t="shared" si="25"/>
        <v>16</v>
      </c>
      <c r="LO28" s="97">
        <f t="shared" si="26"/>
        <v>3</v>
      </c>
      <c r="LP28" s="97">
        <f t="shared" si="27"/>
        <v>40</v>
      </c>
    </row>
    <row r="29" spans="1:328" s="98" customFormat="1" ht="13.8">
      <c r="A29" s="55" t="s">
        <v>613</v>
      </c>
      <c r="B29" s="110">
        <v>45953</v>
      </c>
      <c r="C29" s="61">
        <v>10</v>
      </c>
      <c r="D29" s="62"/>
      <c r="E29" s="62" t="s">
        <v>764</v>
      </c>
      <c r="F29" s="61">
        <v>1</v>
      </c>
      <c r="G29" s="61">
        <v>1</v>
      </c>
      <c r="H29" s="61">
        <v>1</v>
      </c>
      <c r="I29" s="164">
        <v>2</v>
      </c>
      <c r="J29" s="164">
        <v>2</v>
      </c>
      <c r="K29" s="63">
        <v>0.11527777777777778</v>
      </c>
      <c r="L29" s="63">
        <v>2.361111111111111E-2</v>
      </c>
      <c r="M29" s="63">
        <v>2.361111111111111E-2</v>
      </c>
      <c r="N29" s="64" t="s">
        <v>1040</v>
      </c>
      <c r="O29" s="101" t="s">
        <v>1003</v>
      </c>
      <c r="P29" s="102" t="s">
        <v>614</v>
      </c>
      <c r="Q29" s="95">
        <v>1</v>
      </c>
      <c r="R29" s="103">
        <v>17511</v>
      </c>
      <c r="S29" s="102">
        <v>77</v>
      </c>
      <c r="T29" s="102" t="s">
        <v>310</v>
      </c>
      <c r="U29" s="102" t="s">
        <v>298</v>
      </c>
      <c r="V29" s="150">
        <v>4116345</v>
      </c>
      <c r="W29" s="102" t="s">
        <v>595</v>
      </c>
      <c r="X29" s="102" t="s">
        <v>596</v>
      </c>
      <c r="Y29" s="102" t="s">
        <v>288</v>
      </c>
      <c r="Z29" s="102" t="s">
        <v>262</v>
      </c>
      <c r="AA29" s="102" t="s">
        <v>421</v>
      </c>
      <c r="AB29" s="102" t="s">
        <v>264</v>
      </c>
      <c r="AC29" s="102" t="s">
        <v>597</v>
      </c>
      <c r="AD29" s="102" t="s">
        <v>599</v>
      </c>
      <c r="AE29" s="102" t="s">
        <v>615</v>
      </c>
      <c r="AF29" s="102" t="s">
        <v>597</v>
      </c>
      <c r="AG29" s="102" t="s">
        <v>616</v>
      </c>
      <c r="AH29" s="102" t="s">
        <v>599</v>
      </c>
      <c r="AI29" s="102" t="s">
        <v>599</v>
      </c>
      <c r="AJ29" s="103">
        <v>44958</v>
      </c>
      <c r="AK29" s="104" t="s">
        <v>617</v>
      </c>
      <c r="AL29" s="115">
        <v>1</v>
      </c>
      <c r="AM29" s="115">
        <v>1</v>
      </c>
      <c r="AN29" s="115">
        <v>1</v>
      </c>
      <c r="AO29" s="115">
        <v>1</v>
      </c>
      <c r="AP29" s="115">
        <v>1</v>
      </c>
      <c r="AQ29" s="115">
        <v>1</v>
      </c>
      <c r="AR29" s="115">
        <v>1</v>
      </c>
      <c r="AS29" s="115">
        <v>1</v>
      </c>
      <c r="AT29" s="70">
        <f t="shared" si="0"/>
        <v>8</v>
      </c>
      <c r="AU29" s="71">
        <v>1</v>
      </c>
      <c r="AV29" s="71">
        <v>1</v>
      </c>
      <c r="AW29" s="71">
        <v>1</v>
      </c>
      <c r="AX29" s="71">
        <v>1</v>
      </c>
      <c r="AY29" s="70">
        <f t="shared" si="1"/>
        <v>4</v>
      </c>
      <c r="AZ29" s="115">
        <v>0</v>
      </c>
      <c r="BA29" s="115">
        <v>0</v>
      </c>
      <c r="BB29" s="115">
        <v>0</v>
      </c>
      <c r="BC29" s="115">
        <v>0</v>
      </c>
      <c r="BD29" s="115">
        <v>0</v>
      </c>
      <c r="BE29" s="71">
        <v>1</v>
      </c>
      <c r="BF29" s="115">
        <v>0</v>
      </c>
      <c r="BG29" s="115">
        <v>0</v>
      </c>
      <c r="BH29" s="70">
        <f t="shared" si="2"/>
        <v>1</v>
      </c>
      <c r="BI29" s="69">
        <v>0</v>
      </c>
      <c r="BJ29" s="69">
        <v>0</v>
      </c>
      <c r="BK29" s="70">
        <f t="shared" si="3"/>
        <v>0</v>
      </c>
      <c r="BL29" s="92">
        <v>1</v>
      </c>
      <c r="BM29" s="72">
        <v>0</v>
      </c>
      <c r="BN29" s="72">
        <v>0</v>
      </c>
      <c r="BO29" s="72">
        <v>0</v>
      </c>
      <c r="BP29" s="92">
        <v>1</v>
      </c>
      <c r="BQ29" s="72">
        <v>0</v>
      </c>
      <c r="BR29" s="72">
        <v>0</v>
      </c>
      <c r="BS29" s="72">
        <v>0</v>
      </c>
      <c r="BT29" s="70">
        <f t="shared" si="4"/>
        <v>1</v>
      </c>
      <c r="BU29" s="70">
        <f t="shared" si="5"/>
        <v>14</v>
      </c>
      <c r="BV29" s="126">
        <v>1</v>
      </c>
      <c r="BW29" s="126">
        <v>2</v>
      </c>
      <c r="BX29" s="126">
        <v>2</v>
      </c>
      <c r="BY29" s="126">
        <v>1</v>
      </c>
      <c r="BZ29" s="74">
        <v>1</v>
      </c>
      <c r="CA29" s="126">
        <v>5</v>
      </c>
      <c r="CB29" s="74">
        <v>2</v>
      </c>
      <c r="CC29" s="126">
        <v>2</v>
      </c>
      <c r="CD29" s="126">
        <v>1</v>
      </c>
      <c r="CE29" s="126">
        <v>1</v>
      </c>
      <c r="CF29" s="126">
        <v>5</v>
      </c>
      <c r="CG29" s="126">
        <v>5</v>
      </c>
      <c r="CH29" s="74">
        <v>5</v>
      </c>
      <c r="CI29" s="126">
        <v>5</v>
      </c>
      <c r="CJ29" s="126">
        <v>2</v>
      </c>
      <c r="CK29" s="127">
        <f t="shared" si="96"/>
        <v>40</v>
      </c>
      <c r="CL29" s="118">
        <v>1</v>
      </c>
      <c r="CM29" s="118">
        <v>5</v>
      </c>
      <c r="CN29" s="118">
        <v>5</v>
      </c>
      <c r="CO29" s="118">
        <v>5</v>
      </c>
      <c r="CP29" s="118">
        <v>1</v>
      </c>
      <c r="CQ29" s="123">
        <v>5</v>
      </c>
      <c r="CR29" s="118">
        <v>1</v>
      </c>
      <c r="CS29" s="118">
        <v>3</v>
      </c>
      <c r="CT29" s="118">
        <v>3</v>
      </c>
      <c r="CU29" s="118">
        <v>1</v>
      </c>
      <c r="CV29" s="118">
        <v>5</v>
      </c>
      <c r="CW29" s="118">
        <v>1</v>
      </c>
      <c r="CX29" s="118">
        <v>1</v>
      </c>
      <c r="CY29" s="118">
        <v>4</v>
      </c>
      <c r="CZ29" s="118">
        <v>5</v>
      </c>
      <c r="DA29" s="118">
        <v>1</v>
      </c>
      <c r="DB29" s="118">
        <v>5</v>
      </c>
      <c r="DC29" s="118">
        <v>5</v>
      </c>
      <c r="DD29" s="118">
        <v>2</v>
      </c>
      <c r="DE29" s="118">
        <v>4</v>
      </c>
      <c r="DF29" s="118">
        <v>5</v>
      </c>
      <c r="DG29" s="118">
        <v>5</v>
      </c>
      <c r="DH29" s="118">
        <v>3</v>
      </c>
      <c r="DI29" s="118">
        <v>5</v>
      </c>
      <c r="DJ29" s="118">
        <v>2</v>
      </c>
      <c r="DK29" s="118">
        <v>2</v>
      </c>
      <c r="DL29" s="118">
        <v>3</v>
      </c>
      <c r="DM29" s="118">
        <v>1</v>
      </c>
      <c r="DN29" s="118">
        <f t="shared" si="7"/>
        <v>89</v>
      </c>
      <c r="DO29" s="106">
        <v>22</v>
      </c>
      <c r="DP29" s="97">
        <v>0</v>
      </c>
      <c r="DQ29" s="97">
        <v>0</v>
      </c>
      <c r="DR29" s="97">
        <v>0</v>
      </c>
      <c r="DS29" s="97">
        <v>0</v>
      </c>
      <c r="DT29" s="97">
        <v>1</v>
      </c>
      <c r="DU29" s="97">
        <v>0</v>
      </c>
      <c r="DV29" s="97">
        <v>0</v>
      </c>
      <c r="DW29" s="97">
        <v>0</v>
      </c>
      <c r="DX29" s="97">
        <v>0</v>
      </c>
      <c r="DY29" s="97">
        <v>0</v>
      </c>
      <c r="DZ29" s="97">
        <v>0</v>
      </c>
      <c r="EA29" s="97">
        <v>0</v>
      </c>
      <c r="EB29" s="97">
        <v>0</v>
      </c>
      <c r="EC29" s="97">
        <v>0</v>
      </c>
      <c r="ED29" s="97">
        <v>0</v>
      </c>
      <c r="EE29" s="77">
        <f t="shared" si="31"/>
        <v>1</v>
      </c>
      <c r="EF29" s="77" t="s">
        <v>265</v>
      </c>
      <c r="EG29" s="78">
        <f t="shared" si="8"/>
        <v>1</v>
      </c>
      <c r="EH29" s="97">
        <v>0.5</v>
      </c>
      <c r="EI29" s="97">
        <v>0</v>
      </c>
      <c r="EJ29" s="97">
        <v>0</v>
      </c>
      <c r="EK29" s="97">
        <v>0.5</v>
      </c>
      <c r="EL29" s="97">
        <v>0.5</v>
      </c>
      <c r="EM29" s="97">
        <v>0</v>
      </c>
      <c r="EN29" s="97">
        <v>0</v>
      </c>
      <c r="EO29" s="97">
        <v>1</v>
      </c>
      <c r="EP29" s="97">
        <v>1</v>
      </c>
      <c r="EQ29" s="97">
        <v>0</v>
      </c>
      <c r="ER29" s="97">
        <v>0</v>
      </c>
      <c r="ES29" s="97">
        <v>0</v>
      </c>
      <c r="ET29" s="97">
        <v>0</v>
      </c>
      <c r="EU29" s="97">
        <v>1</v>
      </c>
      <c r="EV29" s="97">
        <v>1</v>
      </c>
      <c r="EW29" s="97">
        <v>1</v>
      </c>
      <c r="EX29" s="97">
        <v>1</v>
      </c>
      <c r="EY29" s="97">
        <v>0</v>
      </c>
      <c r="EZ29" s="97">
        <v>0</v>
      </c>
      <c r="FA29" s="97">
        <v>0</v>
      </c>
      <c r="FB29" s="97">
        <v>1</v>
      </c>
      <c r="FC29" s="97">
        <v>0</v>
      </c>
      <c r="FD29" s="79">
        <f t="shared" si="9"/>
        <v>8.5</v>
      </c>
      <c r="FE29" s="79">
        <v>2</v>
      </c>
      <c r="FF29" s="97">
        <v>1</v>
      </c>
      <c r="FG29" s="97">
        <v>1</v>
      </c>
      <c r="FH29" s="97">
        <v>0</v>
      </c>
      <c r="FI29" s="97">
        <v>1</v>
      </c>
      <c r="FJ29" s="97">
        <v>1</v>
      </c>
      <c r="FK29" s="97">
        <v>1</v>
      </c>
      <c r="FL29" s="97">
        <v>1</v>
      </c>
      <c r="FM29" s="97">
        <v>1</v>
      </c>
      <c r="FN29" s="81">
        <f t="shared" si="10"/>
        <v>7</v>
      </c>
      <c r="FO29" s="82">
        <v>2</v>
      </c>
      <c r="FP29" s="97">
        <v>10</v>
      </c>
      <c r="FQ29" s="97">
        <v>5</v>
      </c>
      <c r="FR29" s="97">
        <v>10</v>
      </c>
      <c r="FS29" s="97">
        <v>5</v>
      </c>
      <c r="FT29" s="97">
        <v>10</v>
      </c>
      <c r="FU29" s="97">
        <v>10</v>
      </c>
      <c r="FV29" s="97">
        <v>10</v>
      </c>
      <c r="FW29" s="97">
        <v>15</v>
      </c>
      <c r="FX29" s="97">
        <v>15</v>
      </c>
      <c r="FY29" s="97">
        <v>5</v>
      </c>
      <c r="FZ29" s="83">
        <f t="shared" si="11"/>
        <v>95</v>
      </c>
      <c r="GA29" s="84">
        <v>2</v>
      </c>
      <c r="GB29" s="55">
        <v>0.5</v>
      </c>
      <c r="GC29" s="85">
        <v>1</v>
      </c>
      <c r="GD29" s="85">
        <v>0</v>
      </c>
      <c r="GE29" s="85">
        <v>0</v>
      </c>
      <c r="GF29" s="85">
        <v>0</v>
      </c>
      <c r="GG29" s="85">
        <v>0</v>
      </c>
      <c r="GH29" s="85">
        <v>0</v>
      </c>
      <c r="GI29" s="97">
        <v>0</v>
      </c>
      <c r="GJ29" s="97">
        <v>0</v>
      </c>
      <c r="GK29" s="97">
        <v>0</v>
      </c>
      <c r="GL29" s="97">
        <v>0</v>
      </c>
      <c r="GM29" s="97">
        <v>0</v>
      </c>
      <c r="GN29" s="97">
        <v>0</v>
      </c>
      <c r="GO29" s="97">
        <v>1</v>
      </c>
      <c r="GP29" s="97">
        <v>0</v>
      </c>
      <c r="GQ29" s="97">
        <v>1</v>
      </c>
      <c r="GR29" s="151">
        <v>1</v>
      </c>
      <c r="GS29" s="97">
        <v>0</v>
      </c>
      <c r="GT29" s="97">
        <v>0</v>
      </c>
      <c r="GU29" s="86">
        <f t="shared" si="12"/>
        <v>3</v>
      </c>
      <c r="GV29" s="87" t="s">
        <v>266</v>
      </c>
      <c r="GW29" s="87">
        <v>0</v>
      </c>
      <c r="GX29" s="88" t="s">
        <v>265</v>
      </c>
      <c r="GY29" s="55">
        <v>5</v>
      </c>
      <c r="GZ29" s="55">
        <v>5</v>
      </c>
      <c r="HA29" s="55">
        <v>3</v>
      </c>
      <c r="HB29" s="55">
        <v>1</v>
      </c>
      <c r="HC29" s="55">
        <v>5</v>
      </c>
      <c r="HD29" s="55">
        <v>5</v>
      </c>
      <c r="HE29" s="55"/>
      <c r="HF29" s="55"/>
      <c r="HG29" s="55">
        <v>0</v>
      </c>
      <c r="HH29" s="55">
        <v>7</v>
      </c>
      <c r="HI29" s="55">
        <v>7</v>
      </c>
      <c r="HJ29" s="55"/>
      <c r="HK29" s="55">
        <v>3</v>
      </c>
      <c r="HL29" s="55">
        <v>3</v>
      </c>
      <c r="HM29" s="55">
        <v>0</v>
      </c>
      <c r="HN29" s="55">
        <v>1</v>
      </c>
      <c r="HO29" s="55">
        <v>3</v>
      </c>
      <c r="HP29" s="55">
        <v>1</v>
      </c>
      <c r="HQ29" s="55">
        <v>2</v>
      </c>
      <c r="HR29" s="55">
        <v>1</v>
      </c>
      <c r="HS29" s="55">
        <v>1</v>
      </c>
      <c r="HT29" s="55">
        <v>2</v>
      </c>
      <c r="HU29" s="55">
        <v>4</v>
      </c>
      <c r="HV29" s="55">
        <v>1</v>
      </c>
      <c r="HW29" s="55">
        <v>1</v>
      </c>
      <c r="HX29" s="55">
        <v>1</v>
      </c>
      <c r="HY29" s="55">
        <v>4</v>
      </c>
      <c r="HZ29" s="55">
        <v>4</v>
      </c>
      <c r="IA29" s="55">
        <v>4</v>
      </c>
      <c r="IB29" s="55">
        <v>7</v>
      </c>
      <c r="IC29" s="55"/>
      <c r="ID29" s="55">
        <f t="shared" ref="ID29:IG29" si="109">SUM(GY29)</f>
        <v>5</v>
      </c>
      <c r="IE29" s="55">
        <f t="shared" si="109"/>
        <v>5</v>
      </c>
      <c r="IF29" s="55">
        <f t="shared" si="109"/>
        <v>3</v>
      </c>
      <c r="IG29" s="55">
        <f t="shared" si="109"/>
        <v>1</v>
      </c>
      <c r="IH29" s="55">
        <f t="shared" si="14"/>
        <v>10</v>
      </c>
      <c r="II29" s="55">
        <f t="shared" si="15"/>
        <v>0</v>
      </c>
      <c r="IJ29" s="55">
        <f t="shared" si="16"/>
        <v>14</v>
      </c>
      <c r="IK29" s="55">
        <f t="shared" ref="IK29:IQ29" si="110">SUM(HK29)</f>
        <v>3</v>
      </c>
      <c r="IL29" s="55">
        <f t="shared" si="110"/>
        <v>3</v>
      </c>
      <c r="IM29" s="55">
        <f t="shared" si="110"/>
        <v>0</v>
      </c>
      <c r="IN29" s="55">
        <f t="shared" si="110"/>
        <v>1</v>
      </c>
      <c r="IO29" s="55">
        <f t="shared" si="110"/>
        <v>3</v>
      </c>
      <c r="IP29" s="55">
        <f t="shared" si="110"/>
        <v>1</v>
      </c>
      <c r="IQ29" s="55">
        <f t="shared" si="110"/>
        <v>2</v>
      </c>
      <c r="IR29" s="55">
        <f t="shared" si="18"/>
        <v>2</v>
      </c>
      <c r="IS29" s="55">
        <f t="shared" ref="IS29:JB29" si="111">SUM(HT29)</f>
        <v>2</v>
      </c>
      <c r="IT29" s="55">
        <f t="shared" si="111"/>
        <v>4</v>
      </c>
      <c r="IU29" s="55">
        <f t="shared" si="111"/>
        <v>1</v>
      </c>
      <c r="IV29" s="55">
        <f t="shared" si="111"/>
        <v>1</v>
      </c>
      <c r="IW29" s="55">
        <f t="shared" si="111"/>
        <v>1</v>
      </c>
      <c r="IX29" s="55">
        <f t="shared" si="111"/>
        <v>4</v>
      </c>
      <c r="IY29" s="55">
        <f t="shared" si="111"/>
        <v>4</v>
      </c>
      <c r="IZ29" s="55">
        <f t="shared" si="111"/>
        <v>4</v>
      </c>
      <c r="JA29" s="55">
        <f t="shared" si="111"/>
        <v>7</v>
      </c>
      <c r="JB29" s="55">
        <f t="shared" si="111"/>
        <v>0</v>
      </c>
      <c r="JC29" s="89">
        <f t="shared" si="20"/>
        <v>80</v>
      </c>
      <c r="JD29" s="90">
        <v>1</v>
      </c>
      <c r="JE29" s="89">
        <v>1</v>
      </c>
      <c r="JF29" s="121">
        <v>11</v>
      </c>
      <c r="JG29" s="121">
        <v>2</v>
      </c>
      <c r="JH29" s="55">
        <v>2</v>
      </c>
      <c r="JI29" s="55">
        <v>2</v>
      </c>
      <c r="JJ29" s="55">
        <v>2</v>
      </c>
      <c r="JK29" s="55">
        <v>1</v>
      </c>
      <c r="JL29" s="55">
        <v>0</v>
      </c>
      <c r="JM29" s="55">
        <v>0</v>
      </c>
      <c r="JN29" s="55">
        <v>0</v>
      </c>
      <c r="JO29" s="55">
        <v>0</v>
      </c>
      <c r="JP29" s="89">
        <f t="shared" si="21"/>
        <v>7</v>
      </c>
      <c r="JQ29" s="55">
        <v>2</v>
      </c>
      <c r="JR29" s="55">
        <v>1</v>
      </c>
      <c r="JS29" s="55">
        <v>0</v>
      </c>
      <c r="JT29" s="55">
        <v>0</v>
      </c>
      <c r="JU29" s="55">
        <v>0</v>
      </c>
      <c r="JV29" s="55">
        <v>0</v>
      </c>
      <c r="JW29" s="55">
        <v>0</v>
      </c>
      <c r="JX29" s="92">
        <f t="shared" si="22"/>
        <v>3</v>
      </c>
      <c r="JY29" s="93">
        <f t="shared" si="23"/>
        <v>10</v>
      </c>
      <c r="JZ29" s="55">
        <v>1</v>
      </c>
      <c r="KA29" s="55">
        <v>1</v>
      </c>
      <c r="KB29" s="55">
        <v>0</v>
      </c>
      <c r="KC29" s="55">
        <v>0</v>
      </c>
      <c r="KD29" s="55">
        <v>0</v>
      </c>
      <c r="KE29" s="55">
        <v>0</v>
      </c>
      <c r="KF29" s="55">
        <v>0</v>
      </c>
      <c r="KG29" s="94">
        <f t="shared" si="24"/>
        <v>2</v>
      </c>
      <c r="KH29" s="95" t="s">
        <v>422</v>
      </c>
      <c r="KI29" s="55">
        <v>0</v>
      </c>
      <c r="KJ29" s="55">
        <v>2</v>
      </c>
      <c r="KK29" s="55">
        <v>0</v>
      </c>
      <c r="KL29" s="95" t="s">
        <v>423</v>
      </c>
      <c r="KM29" s="55">
        <v>2</v>
      </c>
      <c r="KN29" s="55">
        <v>0</v>
      </c>
      <c r="KO29" s="55">
        <v>0</v>
      </c>
      <c r="KP29" s="95" t="s">
        <v>268</v>
      </c>
      <c r="KQ29" s="55">
        <v>0</v>
      </c>
      <c r="KR29" s="55">
        <v>2</v>
      </c>
      <c r="KS29" s="55">
        <v>0</v>
      </c>
      <c r="KT29" s="95" t="s">
        <v>424</v>
      </c>
      <c r="KU29" s="55">
        <v>0</v>
      </c>
      <c r="KV29" s="55">
        <v>2</v>
      </c>
      <c r="KW29" s="55">
        <v>0</v>
      </c>
      <c r="KX29" s="95" t="s">
        <v>425</v>
      </c>
      <c r="KY29" s="55">
        <v>0</v>
      </c>
      <c r="KZ29" s="55">
        <v>2</v>
      </c>
      <c r="LA29" s="55">
        <v>0</v>
      </c>
      <c r="LB29" s="95" t="s">
        <v>426</v>
      </c>
      <c r="LC29" s="55">
        <v>0</v>
      </c>
      <c r="LD29" s="55">
        <v>2</v>
      </c>
      <c r="LE29" s="55">
        <v>0</v>
      </c>
      <c r="LF29" s="95" t="s">
        <v>427</v>
      </c>
      <c r="LG29" s="55">
        <v>2</v>
      </c>
      <c r="LH29" s="55">
        <v>0</v>
      </c>
      <c r="LI29" s="55">
        <v>0</v>
      </c>
      <c r="LJ29" s="152">
        <v>36678</v>
      </c>
      <c r="LK29" s="55">
        <v>1</v>
      </c>
      <c r="LL29" s="55">
        <v>1</v>
      </c>
      <c r="LM29" s="55">
        <v>0</v>
      </c>
      <c r="LN29" s="96">
        <f t="shared" si="25"/>
        <v>11</v>
      </c>
      <c r="LO29" s="97">
        <f t="shared" si="26"/>
        <v>0</v>
      </c>
      <c r="LP29" s="97">
        <f t="shared" si="27"/>
        <v>23</v>
      </c>
    </row>
    <row r="30" spans="1:328" s="98" customFormat="1" ht="13.8">
      <c r="A30" s="55" t="s">
        <v>613</v>
      </c>
      <c r="B30" s="110">
        <v>45967</v>
      </c>
      <c r="C30" s="61">
        <v>32</v>
      </c>
      <c r="D30" s="62"/>
      <c r="E30" s="62" t="s">
        <v>764</v>
      </c>
      <c r="F30" s="61">
        <v>1</v>
      </c>
      <c r="G30" s="61">
        <v>1</v>
      </c>
      <c r="H30" s="61">
        <v>1</v>
      </c>
      <c r="I30" s="164">
        <v>6</v>
      </c>
      <c r="J30" s="164">
        <v>2</v>
      </c>
      <c r="K30" s="63">
        <v>7.7777777777777779E-2</v>
      </c>
      <c r="L30" s="63">
        <v>0.11597222222222223</v>
      </c>
      <c r="M30" s="63">
        <v>2.9166666666666667E-2</v>
      </c>
      <c r="N30" s="64" t="s">
        <v>1041</v>
      </c>
      <c r="O30" s="101" t="s">
        <v>1004</v>
      </c>
      <c r="P30" s="140" t="s">
        <v>668</v>
      </c>
      <c r="Q30" s="95">
        <v>1</v>
      </c>
      <c r="R30" s="141">
        <v>21632</v>
      </c>
      <c r="S30" s="140">
        <v>66</v>
      </c>
      <c r="T30" s="140" t="s">
        <v>259</v>
      </c>
      <c r="U30" s="140" t="s">
        <v>276</v>
      </c>
      <c r="V30" s="140">
        <v>992831841</v>
      </c>
      <c r="W30" s="140" t="s">
        <v>595</v>
      </c>
      <c r="X30" s="140" t="s">
        <v>596</v>
      </c>
      <c r="Y30" s="140" t="s">
        <v>311</v>
      </c>
      <c r="Z30" s="140" t="s">
        <v>262</v>
      </c>
      <c r="AA30" s="140" t="s">
        <v>428</v>
      </c>
      <c r="AB30" s="140" t="s">
        <v>264</v>
      </c>
      <c r="AC30" s="140" t="s">
        <v>597</v>
      </c>
      <c r="AD30" s="140" t="s">
        <v>597</v>
      </c>
      <c r="AE30" s="140" t="s">
        <v>669</v>
      </c>
      <c r="AF30" s="140" t="s">
        <v>597</v>
      </c>
      <c r="AG30" s="140" t="s">
        <v>670</v>
      </c>
      <c r="AH30" s="140" t="s">
        <v>599</v>
      </c>
      <c r="AI30" s="140" t="s">
        <v>597</v>
      </c>
      <c r="AJ30" s="141">
        <v>44197</v>
      </c>
      <c r="AK30" s="144" t="s">
        <v>671</v>
      </c>
      <c r="AL30" s="115">
        <v>1</v>
      </c>
      <c r="AM30" s="115">
        <v>1</v>
      </c>
      <c r="AN30" s="115">
        <v>1</v>
      </c>
      <c r="AO30" s="115">
        <v>1</v>
      </c>
      <c r="AP30" s="115">
        <v>1</v>
      </c>
      <c r="AQ30" s="115">
        <v>1</v>
      </c>
      <c r="AR30" s="115">
        <v>1</v>
      </c>
      <c r="AS30" s="115">
        <v>1</v>
      </c>
      <c r="AT30" s="70">
        <f t="shared" si="0"/>
        <v>8</v>
      </c>
      <c r="AU30" s="71">
        <v>1</v>
      </c>
      <c r="AV30" s="71">
        <v>1</v>
      </c>
      <c r="AW30" s="71">
        <v>1</v>
      </c>
      <c r="AX30" s="71">
        <v>1</v>
      </c>
      <c r="AY30" s="70">
        <f t="shared" si="1"/>
        <v>4</v>
      </c>
      <c r="AZ30" s="69">
        <v>1</v>
      </c>
      <c r="BA30" s="69">
        <v>1</v>
      </c>
      <c r="BB30" s="69">
        <v>1</v>
      </c>
      <c r="BC30" s="69">
        <v>1</v>
      </c>
      <c r="BD30" s="69">
        <v>1</v>
      </c>
      <c r="BE30" s="69">
        <v>1</v>
      </c>
      <c r="BF30" s="69">
        <v>1</v>
      </c>
      <c r="BG30" s="69">
        <v>1</v>
      </c>
      <c r="BH30" s="70">
        <f t="shared" si="2"/>
        <v>8</v>
      </c>
      <c r="BI30" s="69">
        <v>1</v>
      </c>
      <c r="BJ30" s="69">
        <v>1</v>
      </c>
      <c r="BK30" s="70">
        <f t="shared" si="3"/>
        <v>2</v>
      </c>
      <c r="BL30" s="72">
        <v>1</v>
      </c>
      <c r="BM30" s="72">
        <v>1</v>
      </c>
      <c r="BN30" s="72">
        <v>1</v>
      </c>
      <c r="BO30" s="72">
        <v>1</v>
      </c>
      <c r="BP30" s="72">
        <v>1</v>
      </c>
      <c r="BQ30" s="72">
        <v>1</v>
      </c>
      <c r="BR30" s="72">
        <v>1</v>
      </c>
      <c r="BS30" s="72">
        <v>1</v>
      </c>
      <c r="BT30" s="70">
        <f t="shared" si="4"/>
        <v>7</v>
      </c>
      <c r="BU30" s="70">
        <f t="shared" si="5"/>
        <v>29</v>
      </c>
      <c r="BV30" s="73">
        <v>5</v>
      </c>
      <c r="BW30" s="73">
        <v>5</v>
      </c>
      <c r="BX30" s="73">
        <v>5</v>
      </c>
      <c r="BY30" s="73">
        <v>1</v>
      </c>
      <c r="BZ30" s="73">
        <v>5</v>
      </c>
      <c r="CA30" s="73">
        <v>3</v>
      </c>
      <c r="CB30" s="73">
        <v>5</v>
      </c>
      <c r="CC30" s="73">
        <v>5</v>
      </c>
      <c r="CD30" s="73">
        <v>2</v>
      </c>
      <c r="CE30" s="73">
        <v>3</v>
      </c>
      <c r="CF30" s="73">
        <v>3</v>
      </c>
      <c r="CG30" s="73">
        <v>5</v>
      </c>
      <c r="CH30" s="74">
        <v>5</v>
      </c>
      <c r="CI30" s="73">
        <v>5</v>
      </c>
      <c r="CJ30" s="73">
        <v>3</v>
      </c>
      <c r="CK30" s="75">
        <f t="shared" si="96"/>
        <v>60</v>
      </c>
      <c r="CL30" s="76">
        <v>5</v>
      </c>
      <c r="CM30" s="76">
        <v>1</v>
      </c>
      <c r="CN30" s="76">
        <v>5</v>
      </c>
      <c r="CO30" s="76">
        <v>5</v>
      </c>
      <c r="CP30" s="76">
        <v>5</v>
      </c>
      <c r="CQ30" s="76">
        <v>5</v>
      </c>
      <c r="CR30" s="76">
        <v>1</v>
      </c>
      <c r="CS30" s="76">
        <v>5</v>
      </c>
      <c r="CT30" s="76">
        <v>5</v>
      </c>
      <c r="CU30" s="76">
        <v>5</v>
      </c>
      <c r="CV30" s="76">
        <v>5</v>
      </c>
      <c r="CW30" s="76">
        <v>1</v>
      </c>
      <c r="CX30" s="76">
        <v>1</v>
      </c>
      <c r="CY30" s="76">
        <v>4</v>
      </c>
      <c r="CZ30" s="76">
        <v>5</v>
      </c>
      <c r="DA30" s="76">
        <v>5</v>
      </c>
      <c r="DB30" s="76">
        <v>5</v>
      </c>
      <c r="DC30" s="76">
        <v>4</v>
      </c>
      <c r="DD30" s="76">
        <v>5</v>
      </c>
      <c r="DE30" s="76">
        <v>5</v>
      </c>
      <c r="DF30" s="76">
        <v>5</v>
      </c>
      <c r="DG30" s="76">
        <v>5</v>
      </c>
      <c r="DH30" s="76">
        <v>5</v>
      </c>
      <c r="DI30" s="76">
        <v>5</v>
      </c>
      <c r="DJ30" s="76">
        <v>1</v>
      </c>
      <c r="DK30" s="76">
        <v>5</v>
      </c>
      <c r="DL30" s="76">
        <v>3</v>
      </c>
      <c r="DM30" s="76">
        <v>1</v>
      </c>
      <c r="DN30" s="76">
        <f t="shared" si="7"/>
        <v>112</v>
      </c>
      <c r="DO30" s="106">
        <v>28</v>
      </c>
      <c r="DP30" s="97">
        <v>0</v>
      </c>
      <c r="DQ30" s="97">
        <v>1</v>
      </c>
      <c r="DR30" s="97">
        <v>1</v>
      </c>
      <c r="DS30" s="97">
        <v>1</v>
      </c>
      <c r="DT30" s="97">
        <v>1</v>
      </c>
      <c r="DU30" s="97">
        <v>0</v>
      </c>
      <c r="DV30" s="97">
        <v>0</v>
      </c>
      <c r="DW30" s="97">
        <v>1</v>
      </c>
      <c r="DX30" s="97">
        <v>0</v>
      </c>
      <c r="DY30" s="97">
        <v>0</v>
      </c>
      <c r="DZ30" s="97">
        <v>1</v>
      </c>
      <c r="EA30" s="97">
        <v>0</v>
      </c>
      <c r="EB30" s="97">
        <v>1</v>
      </c>
      <c r="EC30" s="97">
        <v>0</v>
      </c>
      <c r="ED30" s="97">
        <v>1</v>
      </c>
      <c r="EE30" s="77">
        <f t="shared" si="31"/>
        <v>8</v>
      </c>
      <c r="EF30" s="77" t="s">
        <v>267</v>
      </c>
      <c r="EG30" s="78">
        <f t="shared" si="8"/>
        <v>8</v>
      </c>
      <c r="EH30" s="97">
        <v>0</v>
      </c>
      <c r="EI30" s="97">
        <v>0</v>
      </c>
      <c r="EJ30" s="97">
        <v>0</v>
      </c>
      <c r="EK30" s="97">
        <v>0</v>
      </c>
      <c r="EL30" s="97">
        <v>0</v>
      </c>
      <c r="EM30" s="97">
        <v>0</v>
      </c>
      <c r="EN30" s="97">
        <v>0</v>
      </c>
      <c r="EO30" s="97">
        <v>1</v>
      </c>
      <c r="EP30" s="97">
        <v>0</v>
      </c>
      <c r="EQ30" s="97">
        <v>0</v>
      </c>
      <c r="ER30" s="97">
        <v>0</v>
      </c>
      <c r="ES30" s="97">
        <v>0</v>
      </c>
      <c r="ET30" s="97">
        <v>0</v>
      </c>
      <c r="EU30" s="97">
        <v>0</v>
      </c>
      <c r="EV30" s="97">
        <v>0</v>
      </c>
      <c r="EW30" s="97">
        <v>0</v>
      </c>
      <c r="EX30" s="97">
        <v>0</v>
      </c>
      <c r="EY30" s="97">
        <v>0</v>
      </c>
      <c r="EZ30" s="97">
        <v>0</v>
      </c>
      <c r="FA30" s="97">
        <v>0</v>
      </c>
      <c r="FB30" s="97">
        <v>0</v>
      </c>
      <c r="FC30" s="97">
        <v>0</v>
      </c>
      <c r="FD30" s="79">
        <f t="shared" si="9"/>
        <v>1</v>
      </c>
      <c r="FE30" s="80">
        <v>1</v>
      </c>
      <c r="FF30" s="97">
        <v>1</v>
      </c>
      <c r="FG30" s="97">
        <v>1</v>
      </c>
      <c r="FH30" s="97">
        <v>1</v>
      </c>
      <c r="FI30" s="97">
        <v>1</v>
      </c>
      <c r="FJ30" s="97">
        <v>1</v>
      </c>
      <c r="FK30" s="97">
        <v>0</v>
      </c>
      <c r="FL30" s="97">
        <v>1</v>
      </c>
      <c r="FM30" s="97">
        <v>1</v>
      </c>
      <c r="FN30" s="81">
        <f t="shared" si="10"/>
        <v>7</v>
      </c>
      <c r="FO30" s="82">
        <v>2</v>
      </c>
      <c r="FP30" s="97">
        <v>10</v>
      </c>
      <c r="FQ30" s="97">
        <v>5</v>
      </c>
      <c r="FR30" s="97">
        <v>10</v>
      </c>
      <c r="FS30" s="97">
        <v>5</v>
      </c>
      <c r="FT30" s="97">
        <v>10</v>
      </c>
      <c r="FU30" s="97">
        <v>10</v>
      </c>
      <c r="FV30" s="97">
        <v>10</v>
      </c>
      <c r="FW30" s="97">
        <v>15</v>
      </c>
      <c r="FX30" s="97">
        <v>15</v>
      </c>
      <c r="FY30" s="97">
        <v>10</v>
      </c>
      <c r="FZ30" s="83">
        <f t="shared" si="11"/>
        <v>100</v>
      </c>
      <c r="GA30" s="84">
        <v>1</v>
      </c>
      <c r="GB30" s="55">
        <v>0</v>
      </c>
      <c r="GC30" s="85">
        <v>0</v>
      </c>
      <c r="GD30" s="85">
        <v>0</v>
      </c>
      <c r="GE30" s="85">
        <v>0</v>
      </c>
      <c r="GF30" s="85">
        <v>0</v>
      </c>
      <c r="GG30" s="85">
        <v>0</v>
      </c>
      <c r="GH30" s="85">
        <v>0</v>
      </c>
      <c r="GI30" s="97">
        <v>0</v>
      </c>
      <c r="GJ30" s="97">
        <v>0</v>
      </c>
      <c r="GK30" s="97">
        <v>0</v>
      </c>
      <c r="GL30" s="97">
        <v>2</v>
      </c>
      <c r="GM30" s="97">
        <v>2</v>
      </c>
      <c r="GN30" s="97">
        <v>0</v>
      </c>
      <c r="GO30" s="97">
        <v>0</v>
      </c>
      <c r="GP30" s="97">
        <v>0</v>
      </c>
      <c r="GQ30" s="97">
        <v>0</v>
      </c>
      <c r="GR30" s="97">
        <v>0</v>
      </c>
      <c r="GS30" s="97">
        <v>0</v>
      </c>
      <c r="GT30" s="97">
        <v>1</v>
      </c>
      <c r="GU30" s="86">
        <f t="shared" si="12"/>
        <v>5</v>
      </c>
      <c r="GV30" s="87" t="s">
        <v>266</v>
      </c>
      <c r="GW30" s="87">
        <v>0</v>
      </c>
      <c r="GX30" s="88" t="s">
        <v>267</v>
      </c>
      <c r="GY30" s="55">
        <v>5</v>
      </c>
      <c r="GZ30" s="55">
        <v>5</v>
      </c>
      <c r="HA30" s="55">
        <v>3</v>
      </c>
      <c r="HB30" s="55">
        <v>1</v>
      </c>
      <c r="HC30" s="55">
        <v>4</v>
      </c>
      <c r="HD30" s="55">
        <v>4</v>
      </c>
      <c r="HE30" s="55"/>
      <c r="HF30" s="55"/>
      <c r="HG30" s="55">
        <v>3</v>
      </c>
      <c r="HH30" s="55">
        <v>7</v>
      </c>
      <c r="HI30" s="55">
        <v>7</v>
      </c>
      <c r="HJ30" s="55"/>
      <c r="HK30" s="55">
        <v>2</v>
      </c>
      <c r="HL30" s="55">
        <v>4</v>
      </c>
      <c r="HM30" s="55">
        <v>2</v>
      </c>
      <c r="HN30" s="55">
        <v>1</v>
      </c>
      <c r="HO30" s="55">
        <v>3</v>
      </c>
      <c r="HP30" s="55">
        <v>1</v>
      </c>
      <c r="HQ30" s="55">
        <v>2</v>
      </c>
      <c r="HR30" s="55">
        <v>1</v>
      </c>
      <c r="HS30" s="55">
        <v>1</v>
      </c>
      <c r="HT30" s="55">
        <v>2</v>
      </c>
      <c r="HU30" s="55">
        <v>3</v>
      </c>
      <c r="HV30" s="55">
        <v>1</v>
      </c>
      <c r="HW30" s="55">
        <v>1</v>
      </c>
      <c r="HX30" s="55">
        <v>2</v>
      </c>
      <c r="HY30" s="55">
        <v>5</v>
      </c>
      <c r="HZ30" s="55">
        <v>4</v>
      </c>
      <c r="IA30" s="55">
        <v>4</v>
      </c>
      <c r="IB30" s="55">
        <v>5</v>
      </c>
      <c r="IC30" s="55">
        <v>5</v>
      </c>
      <c r="ID30" s="55">
        <f t="shared" ref="ID30:IG30" si="112">SUM(GY30)</f>
        <v>5</v>
      </c>
      <c r="IE30" s="55">
        <f t="shared" si="112"/>
        <v>5</v>
      </c>
      <c r="IF30" s="55">
        <f t="shared" si="112"/>
        <v>3</v>
      </c>
      <c r="IG30" s="55">
        <f t="shared" si="112"/>
        <v>1</v>
      </c>
      <c r="IH30" s="55">
        <f t="shared" si="14"/>
        <v>8</v>
      </c>
      <c r="II30" s="55">
        <f t="shared" si="15"/>
        <v>3</v>
      </c>
      <c r="IJ30" s="55">
        <f t="shared" si="16"/>
        <v>14</v>
      </c>
      <c r="IK30" s="55">
        <f t="shared" ref="IK30:IQ30" si="113">SUM(HK30)</f>
        <v>2</v>
      </c>
      <c r="IL30" s="55">
        <f t="shared" si="113"/>
        <v>4</v>
      </c>
      <c r="IM30" s="55">
        <f t="shared" si="113"/>
        <v>2</v>
      </c>
      <c r="IN30" s="55">
        <f t="shared" si="113"/>
        <v>1</v>
      </c>
      <c r="IO30" s="55">
        <f t="shared" si="113"/>
        <v>3</v>
      </c>
      <c r="IP30" s="55">
        <f t="shared" si="113"/>
        <v>1</v>
      </c>
      <c r="IQ30" s="55">
        <f t="shared" si="113"/>
        <v>2</v>
      </c>
      <c r="IR30" s="55">
        <f t="shared" si="18"/>
        <v>2</v>
      </c>
      <c r="IS30" s="55">
        <f t="shared" ref="IS30:JB30" si="114">SUM(HT30)</f>
        <v>2</v>
      </c>
      <c r="IT30" s="55">
        <f t="shared" si="114"/>
        <v>3</v>
      </c>
      <c r="IU30" s="55">
        <f t="shared" si="114"/>
        <v>1</v>
      </c>
      <c r="IV30" s="55">
        <f t="shared" si="114"/>
        <v>1</v>
      </c>
      <c r="IW30" s="55">
        <f t="shared" si="114"/>
        <v>2</v>
      </c>
      <c r="IX30" s="55">
        <f t="shared" si="114"/>
        <v>5</v>
      </c>
      <c r="IY30" s="55">
        <f t="shared" si="114"/>
        <v>4</v>
      </c>
      <c r="IZ30" s="55">
        <f t="shared" si="114"/>
        <v>4</v>
      </c>
      <c r="JA30" s="55">
        <f t="shared" si="114"/>
        <v>5</v>
      </c>
      <c r="JB30" s="55">
        <f t="shared" si="114"/>
        <v>5</v>
      </c>
      <c r="JC30" s="89">
        <f t="shared" si="20"/>
        <v>87</v>
      </c>
      <c r="JD30" s="90">
        <v>1</v>
      </c>
      <c r="JE30" s="89">
        <v>1</v>
      </c>
      <c r="JF30" s="121">
        <v>36</v>
      </c>
      <c r="JG30" s="91">
        <v>2</v>
      </c>
      <c r="JH30" s="55">
        <v>2</v>
      </c>
      <c r="JI30" s="55">
        <v>2</v>
      </c>
      <c r="JJ30" s="55">
        <v>2</v>
      </c>
      <c r="JK30" s="55">
        <v>0</v>
      </c>
      <c r="JL30" s="55">
        <v>0</v>
      </c>
      <c r="JM30" s="55">
        <v>0</v>
      </c>
      <c r="JN30" s="55">
        <v>0</v>
      </c>
      <c r="JO30" s="55">
        <v>0</v>
      </c>
      <c r="JP30" s="89">
        <f t="shared" si="21"/>
        <v>6</v>
      </c>
      <c r="JQ30" s="55">
        <v>2</v>
      </c>
      <c r="JR30" s="55">
        <v>0</v>
      </c>
      <c r="JS30" s="55">
        <v>0</v>
      </c>
      <c r="JT30" s="55">
        <v>0</v>
      </c>
      <c r="JU30" s="55">
        <v>0</v>
      </c>
      <c r="JV30" s="55">
        <v>0</v>
      </c>
      <c r="JW30" s="55">
        <v>0</v>
      </c>
      <c r="JX30" s="92">
        <f t="shared" si="22"/>
        <v>2</v>
      </c>
      <c r="JY30" s="93">
        <f t="shared" si="23"/>
        <v>8</v>
      </c>
      <c r="JZ30" s="55">
        <v>3</v>
      </c>
      <c r="KA30" s="55">
        <v>2</v>
      </c>
      <c r="KB30" s="55">
        <v>0</v>
      </c>
      <c r="KC30" s="55">
        <v>0</v>
      </c>
      <c r="KD30" s="55">
        <v>0</v>
      </c>
      <c r="KE30" s="55">
        <v>0</v>
      </c>
      <c r="KF30" s="55">
        <v>0</v>
      </c>
      <c r="KG30" s="94">
        <f t="shared" si="24"/>
        <v>5</v>
      </c>
      <c r="KH30" s="95" t="s">
        <v>322</v>
      </c>
      <c r="KI30" s="55">
        <v>0</v>
      </c>
      <c r="KJ30" s="55">
        <v>2</v>
      </c>
      <c r="KK30" s="55">
        <v>0</v>
      </c>
      <c r="KL30" s="95" t="s">
        <v>429</v>
      </c>
      <c r="KM30" s="55">
        <v>0</v>
      </c>
      <c r="KN30" s="55">
        <v>2</v>
      </c>
      <c r="KO30" s="55">
        <v>0</v>
      </c>
      <c r="KP30" s="95" t="s">
        <v>315</v>
      </c>
      <c r="KQ30" s="55">
        <v>0</v>
      </c>
      <c r="KR30" s="55">
        <v>2</v>
      </c>
      <c r="KS30" s="55">
        <v>0</v>
      </c>
      <c r="KT30" s="95" t="s">
        <v>327</v>
      </c>
      <c r="KU30" s="55">
        <v>0</v>
      </c>
      <c r="KV30" s="55">
        <v>2</v>
      </c>
      <c r="KW30" s="55">
        <v>0</v>
      </c>
      <c r="KX30" s="95" t="s">
        <v>326</v>
      </c>
      <c r="KY30" s="55">
        <v>0</v>
      </c>
      <c r="KZ30" s="55">
        <v>2</v>
      </c>
      <c r="LA30" s="55">
        <v>0</v>
      </c>
      <c r="LB30" s="95" t="s">
        <v>326</v>
      </c>
      <c r="LC30" s="55">
        <v>0</v>
      </c>
      <c r="LD30" s="55">
        <v>2</v>
      </c>
      <c r="LE30" s="55">
        <v>0</v>
      </c>
      <c r="LF30" s="95" t="s">
        <v>430</v>
      </c>
      <c r="LG30" s="55">
        <v>0</v>
      </c>
      <c r="LH30" s="55">
        <v>2</v>
      </c>
      <c r="LI30" s="55">
        <v>0</v>
      </c>
      <c r="LJ30" s="95" t="s">
        <v>431</v>
      </c>
      <c r="LK30" s="55">
        <v>0</v>
      </c>
      <c r="LL30" s="55">
        <v>2</v>
      </c>
      <c r="LM30" s="55">
        <v>0</v>
      </c>
      <c r="LN30" s="96">
        <f t="shared" si="25"/>
        <v>16</v>
      </c>
      <c r="LO30" s="97">
        <f t="shared" si="26"/>
        <v>0</v>
      </c>
      <c r="LP30" s="97">
        <f t="shared" si="27"/>
        <v>29</v>
      </c>
    </row>
    <row r="31" spans="1:328" s="98" customFormat="1" ht="13.8">
      <c r="A31" s="55" t="s">
        <v>592</v>
      </c>
      <c r="B31" s="110">
        <v>45980</v>
      </c>
      <c r="C31" s="61">
        <v>47</v>
      </c>
      <c r="D31" s="62" t="s">
        <v>781</v>
      </c>
      <c r="E31" s="62"/>
      <c r="F31" s="61">
        <v>1</v>
      </c>
      <c r="G31" s="61">
        <v>1</v>
      </c>
      <c r="H31" s="61">
        <v>1</v>
      </c>
      <c r="I31" s="164">
        <v>6</v>
      </c>
      <c r="J31" s="164">
        <v>2</v>
      </c>
      <c r="K31" s="63">
        <v>7.2916666666666671E-2</v>
      </c>
      <c r="L31" s="63">
        <v>8.8888888888888892E-2</v>
      </c>
      <c r="M31" s="63">
        <v>2.6388888888888889E-2</v>
      </c>
      <c r="N31" s="64" t="s">
        <v>1040</v>
      </c>
      <c r="O31" s="101" t="s">
        <v>1005</v>
      </c>
      <c r="P31" s="95" t="s">
        <v>707</v>
      </c>
      <c r="Q31" s="95">
        <v>1</v>
      </c>
      <c r="R31" s="125">
        <v>19430</v>
      </c>
      <c r="S31" s="95">
        <v>72</v>
      </c>
      <c r="T31" s="95" t="s">
        <v>259</v>
      </c>
      <c r="U31" s="95" t="s">
        <v>287</v>
      </c>
      <c r="V31" s="130" t="s">
        <v>708</v>
      </c>
      <c r="W31" s="95" t="s">
        <v>595</v>
      </c>
      <c r="X31" s="95" t="s">
        <v>596</v>
      </c>
      <c r="Y31" s="95" t="s">
        <v>261</v>
      </c>
      <c r="Z31" s="95" t="s">
        <v>262</v>
      </c>
      <c r="AA31" s="95" t="s">
        <v>323</v>
      </c>
      <c r="AB31" s="95" t="s">
        <v>264</v>
      </c>
      <c r="AC31" s="95" t="s">
        <v>597</v>
      </c>
      <c r="AD31" s="95" t="s">
        <v>597</v>
      </c>
      <c r="AE31" s="95" t="s">
        <v>602</v>
      </c>
      <c r="AF31" s="95" t="s">
        <v>597</v>
      </c>
      <c r="AG31" s="95" t="s">
        <v>610</v>
      </c>
      <c r="AH31" s="95" t="s">
        <v>597</v>
      </c>
      <c r="AI31" s="95" t="s">
        <v>597</v>
      </c>
      <c r="AJ31" s="125">
        <v>45945</v>
      </c>
      <c r="AK31" s="55" t="s">
        <v>709</v>
      </c>
      <c r="AL31" s="115">
        <v>1</v>
      </c>
      <c r="AM31" s="115">
        <v>1</v>
      </c>
      <c r="AN31" s="115">
        <v>1</v>
      </c>
      <c r="AO31" s="115">
        <v>1</v>
      </c>
      <c r="AP31" s="115">
        <v>1</v>
      </c>
      <c r="AQ31" s="115">
        <v>1</v>
      </c>
      <c r="AR31" s="115">
        <v>1</v>
      </c>
      <c r="AS31" s="115">
        <v>1</v>
      </c>
      <c r="AT31" s="70">
        <f t="shared" si="0"/>
        <v>8</v>
      </c>
      <c r="AU31" s="71">
        <v>1</v>
      </c>
      <c r="AV31" s="71">
        <v>1</v>
      </c>
      <c r="AW31" s="71">
        <v>1</v>
      </c>
      <c r="AX31" s="71">
        <v>1</v>
      </c>
      <c r="AY31" s="70">
        <f t="shared" si="1"/>
        <v>4</v>
      </c>
      <c r="AZ31" s="69">
        <v>1</v>
      </c>
      <c r="BA31" s="69">
        <v>1</v>
      </c>
      <c r="BB31" s="69">
        <v>1</v>
      </c>
      <c r="BC31" s="69">
        <v>1</v>
      </c>
      <c r="BD31" s="69">
        <v>1</v>
      </c>
      <c r="BE31" s="69">
        <v>1</v>
      </c>
      <c r="BF31" s="69">
        <v>1</v>
      </c>
      <c r="BG31" s="69">
        <v>1</v>
      </c>
      <c r="BH31" s="70">
        <f t="shared" si="2"/>
        <v>8</v>
      </c>
      <c r="BI31" s="69">
        <v>1</v>
      </c>
      <c r="BJ31" s="69">
        <v>1</v>
      </c>
      <c r="BK31" s="70">
        <f t="shared" si="3"/>
        <v>2</v>
      </c>
      <c r="BL31" s="72">
        <v>1</v>
      </c>
      <c r="BM31" s="72">
        <v>1</v>
      </c>
      <c r="BN31" s="72">
        <v>1</v>
      </c>
      <c r="BO31" s="72">
        <v>1</v>
      </c>
      <c r="BP31" s="72">
        <v>1</v>
      </c>
      <c r="BQ31" s="72">
        <v>1</v>
      </c>
      <c r="BR31" s="72">
        <v>1</v>
      </c>
      <c r="BS31" s="72">
        <v>1</v>
      </c>
      <c r="BT31" s="70">
        <f t="shared" si="4"/>
        <v>7</v>
      </c>
      <c r="BU31" s="70">
        <f t="shared" si="5"/>
        <v>29</v>
      </c>
      <c r="BV31" s="73">
        <v>5</v>
      </c>
      <c r="BW31" s="73">
        <v>5</v>
      </c>
      <c r="BX31" s="73">
        <v>5</v>
      </c>
      <c r="BY31" s="73">
        <v>1</v>
      </c>
      <c r="BZ31" s="105">
        <v>5</v>
      </c>
      <c r="CA31" s="73">
        <v>3</v>
      </c>
      <c r="CB31" s="105">
        <v>5</v>
      </c>
      <c r="CC31" s="73">
        <v>5</v>
      </c>
      <c r="CD31" s="73">
        <v>2</v>
      </c>
      <c r="CE31" s="73">
        <v>3</v>
      </c>
      <c r="CF31" s="73">
        <v>3</v>
      </c>
      <c r="CG31" s="73">
        <v>5</v>
      </c>
      <c r="CH31" s="74">
        <v>5</v>
      </c>
      <c r="CI31" s="73">
        <v>5</v>
      </c>
      <c r="CJ31" s="73">
        <v>3</v>
      </c>
      <c r="CK31" s="75">
        <f t="shared" si="96"/>
        <v>60</v>
      </c>
      <c r="CL31" s="76">
        <v>5</v>
      </c>
      <c r="CM31" s="76">
        <v>1</v>
      </c>
      <c r="CN31" s="76">
        <v>5</v>
      </c>
      <c r="CO31" s="76">
        <v>5</v>
      </c>
      <c r="CP31" s="76">
        <v>5</v>
      </c>
      <c r="CQ31" s="106">
        <v>5</v>
      </c>
      <c r="CR31" s="76">
        <v>1</v>
      </c>
      <c r="CS31" s="76">
        <v>5</v>
      </c>
      <c r="CT31" s="76">
        <v>5</v>
      </c>
      <c r="CU31" s="76">
        <v>5</v>
      </c>
      <c r="CV31" s="76">
        <v>5</v>
      </c>
      <c r="CW31" s="76">
        <v>1</v>
      </c>
      <c r="CX31" s="76">
        <v>1</v>
      </c>
      <c r="CY31" s="76">
        <v>4</v>
      </c>
      <c r="CZ31" s="76">
        <v>5</v>
      </c>
      <c r="DA31" s="76">
        <v>5</v>
      </c>
      <c r="DB31" s="76">
        <v>5</v>
      </c>
      <c r="DC31" s="76">
        <v>4</v>
      </c>
      <c r="DD31" s="76">
        <v>5</v>
      </c>
      <c r="DE31" s="76">
        <v>5</v>
      </c>
      <c r="DF31" s="76">
        <v>5</v>
      </c>
      <c r="DG31" s="76">
        <v>5</v>
      </c>
      <c r="DH31" s="76">
        <v>5</v>
      </c>
      <c r="DI31" s="76">
        <v>5</v>
      </c>
      <c r="DJ31" s="76">
        <v>1</v>
      </c>
      <c r="DK31" s="76">
        <v>5</v>
      </c>
      <c r="DL31" s="76">
        <v>3</v>
      </c>
      <c r="DM31" s="76">
        <v>1</v>
      </c>
      <c r="DN31" s="76">
        <f t="shared" si="7"/>
        <v>112</v>
      </c>
      <c r="DO31" s="76">
        <v>23</v>
      </c>
      <c r="DP31" s="55">
        <v>0</v>
      </c>
      <c r="DQ31" s="55">
        <v>0</v>
      </c>
      <c r="DR31" s="55">
        <v>0</v>
      </c>
      <c r="DS31" s="55">
        <v>0</v>
      </c>
      <c r="DT31" s="55">
        <v>0</v>
      </c>
      <c r="DU31" s="55">
        <v>1</v>
      </c>
      <c r="DV31" s="55">
        <v>0</v>
      </c>
      <c r="DW31" s="55">
        <v>0</v>
      </c>
      <c r="DX31" s="55">
        <v>0</v>
      </c>
      <c r="DY31" s="55">
        <v>0</v>
      </c>
      <c r="DZ31" s="55">
        <v>0</v>
      </c>
      <c r="EA31" s="55">
        <v>0</v>
      </c>
      <c r="EB31" s="55">
        <v>0</v>
      </c>
      <c r="EC31" s="55">
        <v>0</v>
      </c>
      <c r="ED31" s="55">
        <v>0</v>
      </c>
      <c r="EE31" s="77">
        <f t="shared" si="31"/>
        <v>1</v>
      </c>
      <c r="EF31" s="77" t="s">
        <v>265</v>
      </c>
      <c r="EG31" s="78">
        <f t="shared" si="8"/>
        <v>1</v>
      </c>
      <c r="EH31" s="55">
        <v>0</v>
      </c>
      <c r="EI31" s="55">
        <v>0</v>
      </c>
      <c r="EJ31" s="55">
        <v>0.5</v>
      </c>
      <c r="EK31" s="55">
        <v>0</v>
      </c>
      <c r="EL31" s="55">
        <v>0</v>
      </c>
      <c r="EM31" s="55">
        <v>0</v>
      </c>
      <c r="EN31" s="55">
        <v>0</v>
      </c>
      <c r="EO31" s="55">
        <v>0</v>
      </c>
      <c r="EP31" s="55">
        <v>0</v>
      </c>
      <c r="EQ31" s="55">
        <v>0</v>
      </c>
      <c r="ER31" s="55">
        <v>0</v>
      </c>
      <c r="ES31" s="55">
        <v>0</v>
      </c>
      <c r="ET31" s="55">
        <v>0</v>
      </c>
      <c r="EU31" s="55">
        <v>0</v>
      </c>
      <c r="EV31" s="55">
        <v>0</v>
      </c>
      <c r="EW31" s="55">
        <v>0</v>
      </c>
      <c r="EX31" s="55">
        <v>0</v>
      </c>
      <c r="EY31" s="55">
        <v>0</v>
      </c>
      <c r="EZ31" s="55">
        <v>0</v>
      </c>
      <c r="FA31" s="55">
        <v>0</v>
      </c>
      <c r="FB31" s="55">
        <v>0</v>
      </c>
      <c r="FC31" s="55">
        <v>0</v>
      </c>
      <c r="FD31" s="79">
        <f t="shared" si="9"/>
        <v>0.5</v>
      </c>
      <c r="FE31" s="80">
        <v>1</v>
      </c>
      <c r="FF31" s="55">
        <v>1</v>
      </c>
      <c r="FG31" s="55">
        <v>1</v>
      </c>
      <c r="FH31" s="55">
        <v>1</v>
      </c>
      <c r="FI31" s="55">
        <v>1</v>
      </c>
      <c r="FJ31" s="55">
        <v>1</v>
      </c>
      <c r="FK31" s="55">
        <v>1</v>
      </c>
      <c r="FL31" s="55">
        <v>1</v>
      </c>
      <c r="FM31" s="55">
        <v>1</v>
      </c>
      <c r="FN31" s="81">
        <f t="shared" si="10"/>
        <v>8</v>
      </c>
      <c r="FO31" s="82">
        <v>1</v>
      </c>
      <c r="FP31" s="55">
        <v>10</v>
      </c>
      <c r="FQ31" s="55">
        <v>5</v>
      </c>
      <c r="FR31" s="55">
        <v>10</v>
      </c>
      <c r="FS31" s="55">
        <v>5</v>
      </c>
      <c r="FT31" s="55">
        <v>10</v>
      </c>
      <c r="FU31" s="55">
        <v>10</v>
      </c>
      <c r="FV31" s="55">
        <v>10</v>
      </c>
      <c r="FW31" s="55">
        <v>15</v>
      </c>
      <c r="FX31" s="55">
        <v>15</v>
      </c>
      <c r="FY31" s="55">
        <v>10</v>
      </c>
      <c r="FZ31" s="83">
        <f t="shared" si="11"/>
        <v>100</v>
      </c>
      <c r="GA31" s="84">
        <v>1</v>
      </c>
      <c r="GB31" s="55">
        <v>0</v>
      </c>
      <c r="GC31" s="85">
        <v>1</v>
      </c>
      <c r="GD31" s="85">
        <v>0</v>
      </c>
      <c r="GE31" s="85">
        <v>0</v>
      </c>
      <c r="GF31" s="85">
        <v>0</v>
      </c>
      <c r="GG31" s="85">
        <v>0</v>
      </c>
      <c r="GH31" s="85">
        <v>0</v>
      </c>
      <c r="GI31" s="55">
        <v>0</v>
      </c>
      <c r="GJ31" s="55">
        <v>0</v>
      </c>
      <c r="GK31" s="55">
        <v>0</v>
      </c>
      <c r="GL31" s="55">
        <v>0</v>
      </c>
      <c r="GM31" s="55">
        <v>0</v>
      </c>
      <c r="GN31" s="55">
        <v>0</v>
      </c>
      <c r="GO31" s="55">
        <v>0</v>
      </c>
      <c r="GP31" s="55">
        <v>0</v>
      </c>
      <c r="GQ31" s="55">
        <v>0</v>
      </c>
      <c r="GR31" s="55">
        <v>0</v>
      </c>
      <c r="GS31" s="55">
        <v>3</v>
      </c>
      <c r="GT31" s="55">
        <v>0</v>
      </c>
      <c r="GU31" s="86">
        <f t="shared" si="12"/>
        <v>3</v>
      </c>
      <c r="GV31" s="87" t="s">
        <v>266</v>
      </c>
      <c r="GW31" s="87">
        <v>0</v>
      </c>
      <c r="GX31" s="88" t="s">
        <v>267</v>
      </c>
      <c r="GY31" s="55">
        <v>4</v>
      </c>
      <c r="GZ31" s="55">
        <v>4</v>
      </c>
      <c r="HA31" s="55">
        <v>3</v>
      </c>
      <c r="HB31" s="55">
        <v>1</v>
      </c>
      <c r="HC31" s="55">
        <v>2</v>
      </c>
      <c r="HD31" s="55">
        <v>3</v>
      </c>
      <c r="HE31" s="55"/>
      <c r="HF31" s="55"/>
      <c r="HG31" s="55">
        <v>3</v>
      </c>
      <c r="HH31" s="55">
        <v>7</v>
      </c>
      <c r="HI31" s="55">
        <v>7</v>
      </c>
      <c r="HJ31" s="55"/>
      <c r="HK31" s="55">
        <v>3</v>
      </c>
      <c r="HL31" s="55">
        <v>6</v>
      </c>
      <c r="HM31" s="55">
        <v>6</v>
      </c>
      <c r="HN31" s="55">
        <v>1</v>
      </c>
      <c r="HO31" s="55">
        <v>3</v>
      </c>
      <c r="HP31" s="55">
        <v>1</v>
      </c>
      <c r="HQ31" s="55">
        <v>2</v>
      </c>
      <c r="HR31" s="55">
        <v>1</v>
      </c>
      <c r="HS31" s="55">
        <v>1</v>
      </c>
      <c r="HT31" s="55">
        <v>2</v>
      </c>
      <c r="HU31" s="55">
        <v>4</v>
      </c>
      <c r="HV31" s="55">
        <v>0</v>
      </c>
      <c r="HW31" s="55">
        <v>0</v>
      </c>
      <c r="HX31" s="55">
        <v>1</v>
      </c>
      <c r="HY31" s="55">
        <v>4</v>
      </c>
      <c r="HZ31" s="55">
        <v>3</v>
      </c>
      <c r="IA31" s="55">
        <v>4</v>
      </c>
      <c r="IB31" s="55">
        <v>7</v>
      </c>
      <c r="IC31" s="55"/>
      <c r="ID31" s="55">
        <f t="shared" ref="ID31:IG31" si="115">SUM(GY31)</f>
        <v>4</v>
      </c>
      <c r="IE31" s="55">
        <f t="shared" si="115"/>
        <v>4</v>
      </c>
      <c r="IF31" s="55">
        <f t="shared" si="115"/>
        <v>3</v>
      </c>
      <c r="IG31" s="55">
        <f t="shared" si="115"/>
        <v>1</v>
      </c>
      <c r="IH31" s="55">
        <f t="shared" si="14"/>
        <v>5</v>
      </c>
      <c r="II31" s="55">
        <f t="shared" si="15"/>
        <v>3</v>
      </c>
      <c r="IJ31" s="55">
        <f t="shared" si="16"/>
        <v>14</v>
      </c>
      <c r="IK31" s="55">
        <f t="shared" ref="IK31:IQ31" si="116">SUM(HK31)</f>
        <v>3</v>
      </c>
      <c r="IL31" s="55">
        <f t="shared" si="116"/>
        <v>6</v>
      </c>
      <c r="IM31" s="55">
        <f t="shared" si="116"/>
        <v>6</v>
      </c>
      <c r="IN31" s="55">
        <f t="shared" si="116"/>
        <v>1</v>
      </c>
      <c r="IO31" s="55">
        <f t="shared" si="116"/>
        <v>3</v>
      </c>
      <c r="IP31" s="55">
        <f t="shared" si="116"/>
        <v>1</v>
      </c>
      <c r="IQ31" s="55">
        <f t="shared" si="116"/>
        <v>2</v>
      </c>
      <c r="IR31" s="55">
        <f t="shared" si="18"/>
        <v>2</v>
      </c>
      <c r="IS31" s="55">
        <f t="shared" ref="IS31:JB31" si="117">SUM(HT31)</f>
        <v>2</v>
      </c>
      <c r="IT31" s="55">
        <f t="shared" si="117"/>
        <v>4</v>
      </c>
      <c r="IU31" s="55">
        <f t="shared" si="117"/>
        <v>0</v>
      </c>
      <c r="IV31" s="55">
        <f t="shared" si="117"/>
        <v>0</v>
      </c>
      <c r="IW31" s="55">
        <f t="shared" si="117"/>
        <v>1</v>
      </c>
      <c r="IX31" s="55">
        <f t="shared" si="117"/>
        <v>4</v>
      </c>
      <c r="IY31" s="55">
        <f t="shared" si="117"/>
        <v>3</v>
      </c>
      <c r="IZ31" s="55">
        <f t="shared" si="117"/>
        <v>4</v>
      </c>
      <c r="JA31" s="55">
        <f t="shared" si="117"/>
        <v>7</v>
      </c>
      <c r="JB31" s="55">
        <f t="shared" si="117"/>
        <v>0</v>
      </c>
      <c r="JC31" s="89">
        <f t="shared" si="20"/>
        <v>82</v>
      </c>
      <c r="JD31" s="90">
        <v>1</v>
      </c>
      <c r="JE31" s="90">
        <v>1</v>
      </c>
      <c r="JF31" s="91">
        <v>22</v>
      </c>
      <c r="JG31" s="91">
        <v>2</v>
      </c>
      <c r="JH31" s="55">
        <v>2</v>
      </c>
      <c r="JI31" s="55">
        <v>2</v>
      </c>
      <c r="JJ31" s="55">
        <v>2</v>
      </c>
      <c r="JK31" s="55">
        <v>1</v>
      </c>
      <c r="JL31" s="55">
        <v>0</v>
      </c>
      <c r="JM31" s="55">
        <v>0</v>
      </c>
      <c r="JN31" s="55">
        <v>0</v>
      </c>
      <c r="JO31" s="55">
        <v>0</v>
      </c>
      <c r="JP31" s="89">
        <f t="shared" si="21"/>
        <v>7</v>
      </c>
      <c r="JQ31" s="55">
        <v>2</v>
      </c>
      <c r="JR31" s="55">
        <v>2</v>
      </c>
      <c r="JS31" s="55">
        <v>0</v>
      </c>
      <c r="JT31" s="55">
        <v>0</v>
      </c>
      <c r="JU31" s="55">
        <v>0</v>
      </c>
      <c r="JV31" s="55">
        <v>0</v>
      </c>
      <c r="JW31" s="55">
        <v>0</v>
      </c>
      <c r="JX31" s="92">
        <f t="shared" si="22"/>
        <v>4</v>
      </c>
      <c r="JY31" s="93">
        <f t="shared" si="23"/>
        <v>11</v>
      </c>
      <c r="JZ31" s="55">
        <v>3</v>
      </c>
      <c r="KA31" s="55">
        <v>0</v>
      </c>
      <c r="KB31" s="55">
        <v>0</v>
      </c>
      <c r="KC31" s="55">
        <v>0</v>
      </c>
      <c r="KD31" s="55">
        <v>0</v>
      </c>
      <c r="KE31" s="55">
        <v>0</v>
      </c>
      <c r="KF31" s="55">
        <v>0</v>
      </c>
      <c r="KG31" s="94">
        <f t="shared" si="24"/>
        <v>3</v>
      </c>
      <c r="KH31" s="95" t="s">
        <v>327</v>
      </c>
      <c r="KI31" s="55">
        <v>0</v>
      </c>
      <c r="KJ31" s="55">
        <v>2</v>
      </c>
      <c r="KK31" s="55">
        <v>0</v>
      </c>
      <c r="KL31" s="95" t="s">
        <v>331</v>
      </c>
      <c r="KM31" s="55">
        <v>0</v>
      </c>
      <c r="KN31" s="55">
        <v>2</v>
      </c>
      <c r="KO31" s="55">
        <v>0</v>
      </c>
      <c r="KP31" s="95" t="s">
        <v>320</v>
      </c>
      <c r="KQ31" s="55">
        <v>0</v>
      </c>
      <c r="KR31" s="55">
        <v>2</v>
      </c>
      <c r="KS31" s="55">
        <v>0</v>
      </c>
      <c r="KT31" s="95" t="s">
        <v>315</v>
      </c>
      <c r="KU31" s="55">
        <v>0</v>
      </c>
      <c r="KV31" s="55">
        <v>2</v>
      </c>
      <c r="KW31" s="55">
        <v>0</v>
      </c>
      <c r="KX31" s="95" t="s">
        <v>322</v>
      </c>
      <c r="KY31" s="55">
        <v>0</v>
      </c>
      <c r="KZ31" s="55">
        <v>2</v>
      </c>
      <c r="LA31" s="55">
        <v>0</v>
      </c>
      <c r="LB31" s="95" t="s">
        <v>315</v>
      </c>
      <c r="LC31" s="55">
        <v>0</v>
      </c>
      <c r="LD31" s="55">
        <v>2</v>
      </c>
      <c r="LE31" s="55">
        <v>1</v>
      </c>
      <c r="LF31" s="95" t="s">
        <v>330</v>
      </c>
      <c r="LG31" s="55">
        <v>0</v>
      </c>
      <c r="LH31" s="55">
        <v>2</v>
      </c>
      <c r="LI31" s="55">
        <v>3</v>
      </c>
      <c r="LJ31" s="95" t="s">
        <v>334</v>
      </c>
      <c r="LK31" s="55">
        <v>0</v>
      </c>
      <c r="LL31" s="55">
        <v>2</v>
      </c>
      <c r="LM31" s="55">
        <v>1</v>
      </c>
      <c r="LN31" s="96">
        <f t="shared" si="25"/>
        <v>21</v>
      </c>
      <c r="LO31" s="97">
        <f t="shared" si="26"/>
        <v>5</v>
      </c>
      <c r="LP31" s="97">
        <f t="shared" si="27"/>
        <v>35</v>
      </c>
    </row>
    <row r="32" spans="1:328" s="98" customFormat="1" ht="13.8">
      <c r="A32" s="55" t="s">
        <v>592</v>
      </c>
      <c r="B32" s="40"/>
      <c r="C32" s="40">
        <v>64</v>
      </c>
      <c r="D32" s="49" t="s">
        <v>763</v>
      </c>
      <c r="E32" s="49"/>
      <c r="F32" s="40">
        <v>1</v>
      </c>
      <c r="G32" s="40">
        <v>1</v>
      </c>
      <c r="H32" s="40">
        <v>1</v>
      </c>
      <c r="I32" s="164">
        <v>4</v>
      </c>
      <c r="J32" s="164">
        <v>4</v>
      </c>
      <c r="K32" s="63">
        <v>8.819444444444445E-2</v>
      </c>
      <c r="L32" s="63">
        <v>5.2083333333333336E-2</v>
      </c>
      <c r="M32" s="63">
        <v>5.4166666666666669E-2</v>
      </c>
      <c r="N32" s="64" t="s">
        <v>1041</v>
      </c>
      <c r="O32" s="101" t="s">
        <v>1006</v>
      </c>
      <c r="P32" s="111" t="s">
        <v>734</v>
      </c>
      <c r="Q32" s="95">
        <v>1</v>
      </c>
      <c r="R32" s="112" t="s">
        <v>735</v>
      </c>
      <c r="S32" s="111">
        <v>90</v>
      </c>
      <c r="T32" s="111" t="s">
        <v>259</v>
      </c>
      <c r="U32" s="111" t="s">
        <v>287</v>
      </c>
      <c r="V32" s="111">
        <v>24096410</v>
      </c>
      <c r="W32" s="111" t="s">
        <v>595</v>
      </c>
      <c r="X32" s="111" t="s">
        <v>596</v>
      </c>
      <c r="Y32" s="111" t="s">
        <v>311</v>
      </c>
      <c r="Z32" s="111" t="s">
        <v>262</v>
      </c>
      <c r="AA32" s="111" t="s">
        <v>432</v>
      </c>
      <c r="AB32" s="111" t="s">
        <v>264</v>
      </c>
      <c r="AC32" s="111" t="s">
        <v>597</v>
      </c>
      <c r="AD32" s="111" t="s">
        <v>597</v>
      </c>
      <c r="AE32" s="111" t="s">
        <v>736</v>
      </c>
      <c r="AF32" s="111" t="s">
        <v>597</v>
      </c>
      <c r="AG32" s="111" t="s">
        <v>597</v>
      </c>
      <c r="AH32" s="111" t="s">
        <v>597</v>
      </c>
      <c r="AI32" s="111" t="s">
        <v>597</v>
      </c>
      <c r="AJ32" s="112" t="s">
        <v>603</v>
      </c>
      <c r="AK32" s="97"/>
      <c r="AL32" s="115">
        <v>1</v>
      </c>
      <c r="AM32" s="115">
        <v>1</v>
      </c>
      <c r="AN32" s="115">
        <v>1</v>
      </c>
      <c r="AO32" s="115">
        <v>1</v>
      </c>
      <c r="AP32" s="115">
        <v>1</v>
      </c>
      <c r="AQ32" s="115">
        <v>1</v>
      </c>
      <c r="AR32" s="115">
        <v>1</v>
      </c>
      <c r="AS32" s="115">
        <v>1</v>
      </c>
      <c r="AT32" s="70">
        <f t="shared" si="0"/>
        <v>8</v>
      </c>
      <c r="AU32" s="71">
        <v>1</v>
      </c>
      <c r="AV32" s="71">
        <v>1</v>
      </c>
      <c r="AW32" s="71">
        <v>1</v>
      </c>
      <c r="AX32" s="71">
        <v>1</v>
      </c>
      <c r="AY32" s="70">
        <f t="shared" si="1"/>
        <v>4</v>
      </c>
      <c r="AZ32" s="69">
        <v>1</v>
      </c>
      <c r="BA32" s="69">
        <v>1</v>
      </c>
      <c r="BB32" s="69">
        <v>1</v>
      </c>
      <c r="BC32" s="69">
        <v>1</v>
      </c>
      <c r="BD32" s="69">
        <v>1</v>
      </c>
      <c r="BE32" s="69">
        <v>1</v>
      </c>
      <c r="BF32" s="69">
        <v>1</v>
      </c>
      <c r="BG32" s="69">
        <v>1</v>
      </c>
      <c r="BH32" s="70">
        <f t="shared" si="2"/>
        <v>8</v>
      </c>
      <c r="BI32" s="69">
        <v>1</v>
      </c>
      <c r="BJ32" s="69">
        <v>1</v>
      </c>
      <c r="BK32" s="70">
        <f t="shared" si="3"/>
        <v>2</v>
      </c>
      <c r="BL32" s="72">
        <v>1</v>
      </c>
      <c r="BM32" s="72">
        <v>1</v>
      </c>
      <c r="BN32" s="72">
        <v>1</v>
      </c>
      <c r="BO32" s="72">
        <v>1</v>
      </c>
      <c r="BP32" s="72">
        <v>1</v>
      </c>
      <c r="BQ32" s="72">
        <v>1</v>
      </c>
      <c r="BR32" s="72">
        <v>1</v>
      </c>
      <c r="BS32" s="72">
        <v>1</v>
      </c>
      <c r="BT32" s="70">
        <f t="shared" si="4"/>
        <v>7</v>
      </c>
      <c r="BU32" s="70">
        <f t="shared" si="5"/>
        <v>29</v>
      </c>
      <c r="BV32" s="105">
        <v>5</v>
      </c>
      <c r="BW32" s="105">
        <v>5</v>
      </c>
      <c r="BX32" s="105">
        <v>5</v>
      </c>
      <c r="BY32" s="73">
        <v>1</v>
      </c>
      <c r="BZ32" s="105">
        <v>5</v>
      </c>
      <c r="CA32" s="73">
        <v>3</v>
      </c>
      <c r="CB32" s="105">
        <v>5</v>
      </c>
      <c r="CC32" s="73">
        <v>5</v>
      </c>
      <c r="CD32" s="73">
        <v>2</v>
      </c>
      <c r="CE32" s="73">
        <v>3</v>
      </c>
      <c r="CF32" s="73">
        <v>3</v>
      </c>
      <c r="CG32" s="73">
        <v>5</v>
      </c>
      <c r="CH32" s="74">
        <v>5</v>
      </c>
      <c r="CI32" s="105">
        <v>5</v>
      </c>
      <c r="CJ32" s="73">
        <v>3</v>
      </c>
      <c r="CK32" s="75">
        <f t="shared" si="96"/>
        <v>60</v>
      </c>
      <c r="CL32" s="76">
        <v>5</v>
      </c>
      <c r="CM32" s="76">
        <v>1</v>
      </c>
      <c r="CN32" s="76">
        <v>5</v>
      </c>
      <c r="CO32" s="76">
        <v>5</v>
      </c>
      <c r="CP32" s="76">
        <v>5</v>
      </c>
      <c r="CQ32" s="106">
        <v>5</v>
      </c>
      <c r="CR32" s="76">
        <v>1</v>
      </c>
      <c r="CS32" s="76">
        <v>5</v>
      </c>
      <c r="CT32" s="76">
        <v>5</v>
      </c>
      <c r="CU32" s="76">
        <v>5</v>
      </c>
      <c r="CV32" s="76">
        <v>5</v>
      </c>
      <c r="CW32" s="76">
        <v>1</v>
      </c>
      <c r="CX32" s="76">
        <v>1</v>
      </c>
      <c r="CY32" s="76">
        <v>4</v>
      </c>
      <c r="CZ32" s="76">
        <v>5</v>
      </c>
      <c r="DA32" s="76">
        <v>5</v>
      </c>
      <c r="DB32" s="76">
        <v>5</v>
      </c>
      <c r="DC32" s="76">
        <v>4</v>
      </c>
      <c r="DD32" s="76">
        <v>5</v>
      </c>
      <c r="DE32" s="76">
        <v>5</v>
      </c>
      <c r="DF32" s="76">
        <v>5</v>
      </c>
      <c r="DG32" s="76">
        <v>5</v>
      </c>
      <c r="DH32" s="76">
        <v>5</v>
      </c>
      <c r="DI32" s="76">
        <v>5</v>
      </c>
      <c r="DJ32" s="76">
        <v>1</v>
      </c>
      <c r="DK32" s="76">
        <v>5</v>
      </c>
      <c r="DL32" s="76">
        <v>3</v>
      </c>
      <c r="DM32" s="76">
        <v>1</v>
      </c>
      <c r="DN32" s="76">
        <f t="shared" si="7"/>
        <v>112</v>
      </c>
      <c r="DO32" s="118">
        <v>30</v>
      </c>
      <c r="DP32" s="97">
        <v>1</v>
      </c>
      <c r="DQ32" s="97">
        <v>0</v>
      </c>
      <c r="DR32" s="97">
        <v>0</v>
      </c>
      <c r="DS32" s="97">
        <v>0</v>
      </c>
      <c r="DT32" s="97">
        <v>0</v>
      </c>
      <c r="DU32" s="97">
        <v>0</v>
      </c>
      <c r="DV32" s="97">
        <v>0</v>
      </c>
      <c r="DW32" s="97">
        <v>0</v>
      </c>
      <c r="DX32" s="97">
        <v>0</v>
      </c>
      <c r="DY32" s="97">
        <v>0</v>
      </c>
      <c r="DZ32" s="97">
        <v>0</v>
      </c>
      <c r="EA32" s="97">
        <v>0</v>
      </c>
      <c r="EB32" s="97">
        <v>0</v>
      </c>
      <c r="EC32" s="97">
        <v>0</v>
      </c>
      <c r="ED32" s="97">
        <v>0</v>
      </c>
      <c r="EE32" s="77">
        <f t="shared" si="31"/>
        <v>1</v>
      </c>
      <c r="EF32" s="77" t="s">
        <v>265</v>
      </c>
      <c r="EG32" s="78">
        <f t="shared" si="8"/>
        <v>1</v>
      </c>
      <c r="EH32" s="97">
        <v>0</v>
      </c>
      <c r="EI32" s="97">
        <v>0</v>
      </c>
      <c r="EJ32" s="97">
        <v>0</v>
      </c>
      <c r="EK32" s="97">
        <v>0</v>
      </c>
      <c r="EL32" s="97">
        <v>0</v>
      </c>
      <c r="EM32" s="97">
        <v>0</v>
      </c>
      <c r="EN32" s="97">
        <v>0</v>
      </c>
      <c r="EO32" s="97">
        <v>0</v>
      </c>
      <c r="EP32" s="97">
        <v>0</v>
      </c>
      <c r="EQ32" s="97">
        <v>0</v>
      </c>
      <c r="ER32" s="97">
        <v>0</v>
      </c>
      <c r="ES32" s="97">
        <v>0</v>
      </c>
      <c r="ET32" s="97">
        <v>0</v>
      </c>
      <c r="EU32" s="97">
        <v>0</v>
      </c>
      <c r="EV32" s="97">
        <v>0</v>
      </c>
      <c r="EW32" s="97">
        <v>0</v>
      </c>
      <c r="EX32" s="97">
        <v>0</v>
      </c>
      <c r="EY32" s="97">
        <v>0</v>
      </c>
      <c r="EZ32" s="97">
        <v>0</v>
      </c>
      <c r="FA32" s="97">
        <v>0</v>
      </c>
      <c r="FB32" s="97">
        <v>0</v>
      </c>
      <c r="FC32" s="97">
        <v>0</v>
      </c>
      <c r="FD32" s="79">
        <f t="shared" si="9"/>
        <v>0</v>
      </c>
      <c r="FE32" s="80">
        <v>1</v>
      </c>
      <c r="FF32" s="97">
        <v>1</v>
      </c>
      <c r="FG32" s="97">
        <v>1</v>
      </c>
      <c r="FH32" s="97">
        <v>0</v>
      </c>
      <c r="FI32" s="97">
        <v>1</v>
      </c>
      <c r="FJ32" s="97">
        <v>1</v>
      </c>
      <c r="FK32" s="97">
        <v>1</v>
      </c>
      <c r="FL32" s="97">
        <v>1</v>
      </c>
      <c r="FM32" s="97">
        <v>1</v>
      </c>
      <c r="FN32" s="81">
        <f t="shared" si="10"/>
        <v>7</v>
      </c>
      <c r="FO32" s="82">
        <v>2</v>
      </c>
      <c r="FP32" s="97">
        <v>10</v>
      </c>
      <c r="FQ32" s="97">
        <v>5</v>
      </c>
      <c r="FR32" s="97">
        <v>10</v>
      </c>
      <c r="FS32" s="97">
        <v>5</v>
      </c>
      <c r="FT32" s="97">
        <v>10</v>
      </c>
      <c r="FU32" s="97">
        <v>10</v>
      </c>
      <c r="FV32" s="97">
        <v>10</v>
      </c>
      <c r="FW32" s="97">
        <v>15</v>
      </c>
      <c r="FX32" s="97">
        <v>15</v>
      </c>
      <c r="FY32" s="97">
        <v>10</v>
      </c>
      <c r="FZ32" s="83">
        <f t="shared" si="11"/>
        <v>100</v>
      </c>
      <c r="GA32" s="84">
        <v>1</v>
      </c>
      <c r="GB32" s="55">
        <v>0.5</v>
      </c>
      <c r="GC32" s="85">
        <v>0.5</v>
      </c>
      <c r="GD32" s="85">
        <v>0</v>
      </c>
      <c r="GE32" s="85">
        <v>0</v>
      </c>
      <c r="GF32" s="85">
        <v>0</v>
      </c>
      <c r="GG32" s="85">
        <v>0</v>
      </c>
      <c r="GH32" s="85">
        <v>0</v>
      </c>
      <c r="GI32" s="55">
        <v>0</v>
      </c>
      <c r="GJ32" s="55">
        <v>0</v>
      </c>
      <c r="GK32" s="55">
        <v>0</v>
      </c>
      <c r="GL32" s="55">
        <v>0</v>
      </c>
      <c r="GM32" s="55">
        <v>0</v>
      </c>
      <c r="GN32" s="55">
        <v>0</v>
      </c>
      <c r="GO32" s="55">
        <v>0</v>
      </c>
      <c r="GP32" s="55">
        <v>0</v>
      </c>
      <c r="GQ32" s="55">
        <v>0</v>
      </c>
      <c r="GR32" s="55">
        <v>0</v>
      </c>
      <c r="GS32" s="55">
        <v>0</v>
      </c>
      <c r="GT32" s="55">
        <v>0</v>
      </c>
      <c r="GU32" s="86">
        <f t="shared" si="12"/>
        <v>0</v>
      </c>
      <c r="GV32" s="87" t="s">
        <v>301</v>
      </c>
      <c r="GW32" s="87">
        <v>0</v>
      </c>
      <c r="GX32" s="88" t="s">
        <v>267</v>
      </c>
      <c r="GY32" s="55">
        <v>5</v>
      </c>
      <c r="GZ32" s="55">
        <v>5</v>
      </c>
      <c r="HA32" s="55">
        <v>3</v>
      </c>
      <c r="HB32" s="55">
        <v>3</v>
      </c>
      <c r="HC32" s="55">
        <v>4</v>
      </c>
      <c r="HD32" s="55">
        <v>4</v>
      </c>
      <c r="HE32" s="55"/>
      <c r="HF32" s="55"/>
      <c r="HG32" s="55">
        <v>3</v>
      </c>
      <c r="HH32" s="55">
        <v>7</v>
      </c>
      <c r="HI32" s="55">
        <v>7</v>
      </c>
      <c r="HJ32" s="55"/>
      <c r="HK32" s="55">
        <v>4</v>
      </c>
      <c r="HL32" s="55">
        <v>6</v>
      </c>
      <c r="HM32" s="55">
        <v>4</v>
      </c>
      <c r="HN32" s="55">
        <v>1</v>
      </c>
      <c r="HO32" s="55">
        <v>3</v>
      </c>
      <c r="HP32" s="55">
        <v>1</v>
      </c>
      <c r="HQ32" s="55">
        <v>2</v>
      </c>
      <c r="HR32" s="55">
        <v>1</v>
      </c>
      <c r="HS32" s="55">
        <v>1</v>
      </c>
      <c r="HT32" s="55">
        <v>2</v>
      </c>
      <c r="HU32" s="55">
        <v>3</v>
      </c>
      <c r="HV32" s="55">
        <v>1</v>
      </c>
      <c r="HW32" s="55">
        <v>1</v>
      </c>
      <c r="HX32" s="55">
        <v>1</v>
      </c>
      <c r="HY32" s="55">
        <v>3</v>
      </c>
      <c r="HZ32" s="55">
        <v>3</v>
      </c>
      <c r="IA32" s="55">
        <v>4</v>
      </c>
      <c r="IB32" s="55">
        <v>7</v>
      </c>
      <c r="IC32" s="55"/>
      <c r="ID32" s="55">
        <f t="shared" ref="ID32:IG32" si="118">SUM(GY32)</f>
        <v>5</v>
      </c>
      <c r="IE32" s="55">
        <f t="shared" si="118"/>
        <v>5</v>
      </c>
      <c r="IF32" s="55">
        <f t="shared" si="118"/>
        <v>3</v>
      </c>
      <c r="IG32" s="55">
        <f t="shared" si="118"/>
        <v>3</v>
      </c>
      <c r="IH32" s="55">
        <f t="shared" si="14"/>
        <v>8</v>
      </c>
      <c r="II32" s="55">
        <f t="shared" si="15"/>
        <v>3</v>
      </c>
      <c r="IJ32" s="55">
        <f t="shared" si="16"/>
        <v>14</v>
      </c>
      <c r="IK32" s="55">
        <f t="shared" ref="IK32:IQ32" si="119">SUM(HK32)</f>
        <v>4</v>
      </c>
      <c r="IL32" s="55">
        <f t="shared" si="119"/>
        <v>6</v>
      </c>
      <c r="IM32" s="55">
        <f t="shared" si="119"/>
        <v>4</v>
      </c>
      <c r="IN32" s="55">
        <f t="shared" si="119"/>
        <v>1</v>
      </c>
      <c r="IO32" s="55">
        <f t="shared" si="119"/>
        <v>3</v>
      </c>
      <c r="IP32" s="55">
        <f t="shared" si="119"/>
        <v>1</v>
      </c>
      <c r="IQ32" s="55">
        <f t="shared" si="119"/>
        <v>2</v>
      </c>
      <c r="IR32" s="55">
        <f t="shared" si="18"/>
        <v>2</v>
      </c>
      <c r="IS32" s="55">
        <f t="shared" ref="IS32:JB32" si="120">SUM(HT32)</f>
        <v>2</v>
      </c>
      <c r="IT32" s="55">
        <f t="shared" si="120"/>
        <v>3</v>
      </c>
      <c r="IU32" s="55">
        <f t="shared" si="120"/>
        <v>1</v>
      </c>
      <c r="IV32" s="55">
        <f t="shared" si="120"/>
        <v>1</v>
      </c>
      <c r="IW32" s="55">
        <f t="shared" si="120"/>
        <v>1</v>
      </c>
      <c r="IX32" s="55">
        <f t="shared" si="120"/>
        <v>3</v>
      </c>
      <c r="IY32" s="55">
        <f t="shared" si="120"/>
        <v>3</v>
      </c>
      <c r="IZ32" s="55">
        <f t="shared" si="120"/>
        <v>4</v>
      </c>
      <c r="JA32" s="55">
        <f t="shared" si="120"/>
        <v>7</v>
      </c>
      <c r="JB32" s="55">
        <f t="shared" si="120"/>
        <v>0</v>
      </c>
      <c r="JC32" s="89">
        <f t="shared" si="20"/>
        <v>86</v>
      </c>
      <c r="JD32" s="90">
        <v>1</v>
      </c>
      <c r="JE32" s="90">
        <v>1</v>
      </c>
      <c r="JF32" s="91">
        <v>16</v>
      </c>
      <c r="JG32" s="91">
        <v>2</v>
      </c>
      <c r="JH32" s="97">
        <v>2</v>
      </c>
      <c r="JI32" s="97">
        <v>1</v>
      </c>
      <c r="JJ32" s="97">
        <v>0</v>
      </c>
      <c r="JK32" s="97">
        <v>0</v>
      </c>
      <c r="JL32" s="97">
        <v>0</v>
      </c>
      <c r="JM32" s="97">
        <v>0</v>
      </c>
      <c r="JN32" s="97">
        <v>0</v>
      </c>
      <c r="JO32" s="97">
        <v>0</v>
      </c>
      <c r="JP32" s="89">
        <f t="shared" si="21"/>
        <v>3</v>
      </c>
      <c r="JQ32" s="97">
        <v>2</v>
      </c>
      <c r="JR32" s="97">
        <v>1</v>
      </c>
      <c r="JS32" s="97">
        <v>2</v>
      </c>
      <c r="JT32" s="97">
        <v>0</v>
      </c>
      <c r="JU32" s="97">
        <v>0</v>
      </c>
      <c r="JV32" s="97">
        <v>0</v>
      </c>
      <c r="JW32" s="97">
        <v>0</v>
      </c>
      <c r="JX32" s="92">
        <f t="shared" si="22"/>
        <v>5</v>
      </c>
      <c r="JY32" s="93">
        <f t="shared" si="23"/>
        <v>8</v>
      </c>
      <c r="JZ32" s="97">
        <v>3</v>
      </c>
      <c r="KA32" s="97">
        <v>0</v>
      </c>
      <c r="KB32" s="97">
        <v>0</v>
      </c>
      <c r="KC32" s="97">
        <v>0</v>
      </c>
      <c r="KD32" s="97">
        <v>0</v>
      </c>
      <c r="KE32" s="97">
        <v>0</v>
      </c>
      <c r="KF32" s="97">
        <v>0</v>
      </c>
      <c r="KG32" s="94">
        <f t="shared" si="24"/>
        <v>3</v>
      </c>
      <c r="KH32" s="95" t="s">
        <v>319</v>
      </c>
      <c r="KI32" s="97">
        <v>0</v>
      </c>
      <c r="KJ32" s="97">
        <v>2</v>
      </c>
      <c r="KK32" s="97">
        <v>0</v>
      </c>
      <c r="KL32" s="95" t="s">
        <v>319</v>
      </c>
      <c r="KM32" s="97">
        <v>0</v>
      </c>
      <c r="KN32" s="97">
        <v>2</v>
      </c>
      <c r="KO32" s="97">
        <v>0</v>
      </c>
      <c r="KP32" s="95" t="s">
        <v>320</v>
      </c>
      <c r="KQ32" s="97">
        <v>0</v>
      </c>
      <c r="KR32" s="97">
        <v>2</v>
      </c>
      <c r="KS32" s="97">
        <v>0</v>
      </c>
      <c r="KT32" s="95" t="s">
        <v>315</v>
      </c>
      <c r="KU32" s="97">
        <v>0</v>
      </c>
      <c r="KV32" s="97">
        <v>2</v>
      </c>
      <c r="KW32" s="97">
        <v>0</v>
      </c>
      <c r="KX32" s="95" t="s">
        <v>321</v>
      </c>
      <c r="KY32" s="97">
        <v>0</v>
      </c>
      <c r="KZ32" s="97">
        <v>2</v>
      </c>
      <c r="LA32" s="97">
        <v>0</v>
      </c>
      <c r="LB32" s="95" t="s">
        <v>333</v>
      </c>
      <c r="LC32" s="97">
        <v>0</v>
      </c>
      <c r="LD32" s="97">
        <v>2</v>
      </c>
      <c r="LE32" s="97">
        <v>0</v>
      </c>
      <c r="LF32" s="95" t="s">
        <v>334</v>
      </c>
      <c r="LG32" s="97">
        <v>2</v>
      </c>
      <c r="LH32" s="97">
        <v>0</v>
      </c>
      <c r="LI32" s="97">
        <v>0</v>
      </c>
      <c r="LJ32" s="95" t="s">
        <v>335</v>
      </c>
      <c r="LK32" s="97">
        <v>2</v>
      </c>
      <c r="LL32" s="97">
        <v>0</v>
      </c>
      <c r="LM32" s="97">
        <v>0</v>
      </c>
      <c r="LN32" s="96">
        <f t="shared" si="25"/>
        <v>12</v>
      </c>
      <c r="LO32" s="97">
        <f t="shared" si="26"/>
        <v>0</v>
      </c>
      <c r="LP32" s="97">
        <f t="shared" si="27"/>
        <v>23</v>
      </c>
    </row>
    <row r="33" spans="1:328" s="98" customFormat="1" ht="13.8">
      <c r="A33" s="55" t="s">
        <v>592</v>
      </c>
      <c r="B33" s="61"/>
      <c r="C33" s="61">
        <v>1</v>
      </c>
      <c r="D33" s="62" t="s">
        <v>782</v>
      </c>
      <c r="E33" s="62"/>
      <c r="F33" s="61">
        <v>1</v>
      </c>
      <c r="G33" s="61">
        <v>1</v>
      </c>
      <c r="H33" s="61">
        <v>0</v>
      </c>
      <c r="I33" s="164">
        <v>6</v>
      </c>
      <c r="J33" s="164">
        <v>0</v>
      </c>
      <c r="K33" s="63">
        <v>0</v>
      </c>
      <c r="L33" s="63">
        <v>8.1944444444444445E-2</v>
      </c>
      <c r="M33" s="63">
        <v>0</v>
      </c>
      <c r="N33" s="64" t="s">
        <v>1040</v>
      </c>
      <c r="O33" s="101" t="s">
        <v>1007</v>
      </c>
      <c r="P33" s="111" t="s">
        <v>593</v>
      </c>
      <c r="Q33" s="95">
        <v>1</v>
      </c>
      <c r="R33" s="112" t="s">
        <v>594</v>
      </c>
      <c r="S33" s="111">
        <v>75</v>
      </c>
      <c r="T33" s="111" t="s">
        <v>259</v>
      </c>
      <c r="U33" s="111" t="s">
        <v>287</v>
      </c>
      <c r="V33" s="111">
        <v>987299049</v>
      </c>
      <c r="W33" s="111" t="s">
        <v>595</v>
      </c>
      <c r="X33" s="111" t="s">
        <v>596</v>
      </c>
      <c r="Y33" s="111" t="s">
        <v>277</v>
      </c>
      <c r="Z33" s="111" t="s">
        <v>262</v>
      </c>
      <c r="AA33" s="111" t="s">
        <v>433</v>
      </c>
      <c r="AB33" s="111" t="s">
        <v>300</v>
      </c>
      <c r="AC33" s="111" t="s">
        <v>597</v>
      </c>
      <c r="AD33" s="111" t="s">
        <v>597</v>
      </c>
      <c r="AE33" s="111" t="s">
        <v>598</v>
      </c>
      <c r="AF33" s="111" t="s">
        <v>597</v>
      </c>
      <c r="AG33" s="111" t="s">
        <v>597</v>
      </c>
      <c r="AH33" s="111" t="s">
        <v>597</v>
      </c>
      <c r="AI33" s="111" t="s">
        <v>599</v>
      </c>
      <c r="AJ33" s="111" t="s">
        <v>600</v>
      </c>
      <c r="AK33" s="97"/>
      <c r="AL33" s="115">
        <v>1</v>
      </c>
      <c r="AM33" s="115">
        <v>1</v>
      </c>
      <c r="AN33" s="115">
        <v>1</v>
      </c>
      <c r="AO33" s="115">
        <v>1</v>
      </c>
      <c r="AP33" s="115">
        <v>1</v>
      </c>
      <c r="AQ33" s="115">
        <v>1</v>
      </c>
      <c r="AR33" s="115">
        <v>1</v>
      </c>
      <c r="AS33" s="115">
        <v>1</v>
      </c>
      <c r="AT33" s="70">
        <f t="shared" si="0"/>
        <v>8</v>
      </c>
      <c r="AU33" s="71">
        <v>1</v>
      </c>
      <c r="AV33" s="71">
        <v>1</v>
      </c>
      <c r="AW33" s="71">
        <v>1</v>
      </c>
      <c r="AX33" s="71">
        <v>1</v>
      </c>
      <c r="AY33" s="70">
        <f t="shared" si="1"/>
        <v>4</v>
      </c>
      <c r="AZ33" s="69">
        <v>1</v>
      </c>
      <c r="BA33" s="69">
        <v>1</v>
      </c>
      <c r="BB33" s="69">
        <v>1</v>
      </c>
      <c r="BC33" s="69">
        <v>1</v>
      </c>
      <c r="BD33" s="69">
        <v>1</v>
      </c>
      <c r="BE33" s="69">
        <v>1</v>
      </c>
      <c r="BF33" s="69">
        <v>1</v>
      </c>
      <c r="BG33" s="69">
        <v>1</v>
      </c>
      <c r="BH33" s="70">
        <f t="shared" si="2"/>
        <v>8</v>
      </c>
      <c r="BI33" s="69">
        <v>1</v>
      </c>
      <c r="BJ33" s="69">
        <v>1</v>
      </c>
      <c r="BK33" s="70">
        <f t="shared" si="3"/>
        <v>2</v>
      </c>
      <c r="BL33" s="72">
        <v>1</v>
      </c>
      <c r="BM33" s="72">
        <v>1</v>
      </c>
      <c r="BN33" s="72">
        <v>1</v>
      </c>
      <c r="BO33" s="72">
        <v>1</v>
      </c>
      <c r="BP33" s="72">
        <v>1</v>
      </c>
      <c r="BQ33" s="72">
        <v>1</v>
      </c>
      <c r="BR33" s="72">
        <v>1</v>
      </c>
      <c r="BS33" s="72">
        <v>1</v>
      </c>
      <c r="BT33" s="70">
        <f t="shared" si="4"/>
        <v>7</v>
      </c>
      <c r="BU33" s="70">
        <f t="shared" si="5"/>
        <v>29</v>
      </c>
      <c r="BV33" s="73">
        <v>5</v>
      </c>
      <c r="BW33" s="73">
        <v>5</v>
      </c>
      <c r="BX33" s="73">
        <v>5</v>
      </c>
      <c r="BY33" s="73">
        <v>1</v>
      </c>
      <c r="BZ33" s="105">
        <v>5</v>
      </c>
      <c r="CA33" s="73">
        <v>3</v>
      </c>
      <c r="CB33" s="105">
        <v>5</v>
      </c>
      <c r="CC33" s="73">
        <v>5</v>
      </c>
      <c r="CD33" s="73">
        <v>2</v>
      </c>
      <c r="CE33" s="73">
        <v>3</v>
      </c>
      <c r="CF33" s="73">
        <v>3</v>
      </c>
      <c r="CG33" s="73">
        <v>5</v>
      </c>
      <c r="CH33" s="74">
        <v>5</v>
      </c>
      <c r="CI33" s="73">
        <v>5</v>
      </c>
      <c r="CJ33" s="73">
        <v>3</v>
      </c>
      <c r="CK33" s="75">
        <f t="shared" si="96"/>
        <v>60</v>
      </c>
      <c r="CL33" s="76">
        <v>5</v>
      </c>
      <c r="CM33" s="76">
        <v>1</v>
      </c>
      <c r="CN33" s="76">
        <v>5</v>
      </c>
      <c r="CO33" s="76">
        <v>5</v>
      </c>
      <c r="CP33" s="76">
        <v>5</v>
      </c>
      <c r="CQ33" s="106">
        <v>5</v>
      </c>
      <c r="CR33" s="76">
        <v>1</v>
      </c>
      <c r="CS33" s="76">
        <v>5</v>
      </c>
      <c r="CT33" s="76">
        <v>5</v>
      </c>
      <c r="CU33" s="76">
        <v>5</v>
      </c>
      <c r="CV33" s="76">
        <v>5</v>
      </c>
      <c r="CW33" s="76">
        <v>1</v>
      </c>
      <c r="CX33" s="76">
        <v>1</v>
      </c>
      <c r="CY33" s="76">
        <v>5</v>
      </c>
      <c r="CZ33" s="76">
        <v>5</v>
      </c>
      <c r="DA33" s="76">
        <v>5</v>
      </c>
      <c r="DB33" s="76">
        <v>5</v>
      </c>
      <c r="DC33" s="76">
        <v>4</v>
      </c>
      <c r="DD33" s="76">
        <v>5</v>
      </c>
      <c r="DE33" s="76">
        <v>5</v>
      </c>
      <c r="DF33" s="76">
        <v>5</v>
      </c>
      <c r="DG33" s="76">
        <v>5</v>
      </c>
      <c r="DH33" s="76">
        <v>5</v>
      </c>
      <c r="DI33" s="76">
        <v>5</v>
      </c>
      <c r="DJ33" s="76">
        <v>1</v>
      </c>
      <c r="DK33" s="76">
        <v>5</v>
      </c>
      <c r="DL33" s="76">
        <v>3</v>
      </c>
      <c r="DM33" s="76">
        <v>1</v>
      </c>
      <c r="DN33" s="76">
        <f t="shared" si="7"/>
        <v>113</v>
      </c>
      <c r="DO33" s="118">
        <v>29</v>
      </c>
      <c r="DP33" s="55">
        <v>0</v>
      </c>
      <c r="DQ33" s="55">
        <v>0</v>
      </c>
      <c r="DR33" s="55">
        <v>0</v>
      </c>
      <c r="DS33" s="55">
        <v>0</v>
      </c>
      <c r="DT33" s="55">
        <v>0</v>
      </c>
      <c r="DU33" s="55">
        <v>0</v>
      </c>
      <c r="DV33" s="55">
        <v>0</v>
      </c>
      <c r="DW33" s="55">
        <v>0</v>
      </c>
      <c r="DX33" s="55">
        <v>0</v>
      </c>
      <c r="DY33" s="55">
        <v>0</v>
      </c>
      <c r="DZ33" s="55">
        <v>0</v>
      </c>
      <c r="EA33" s="55">
        <v>0</v>
      </c>
      <c r="EB33" s="55">
        <v>0</v>
      </c>
      <c r="EC33" s="55">
        <v>0</v>
      </c>
      <c r="ED33" s="55">
        <v>0</v>
      </c>
      <c r="EE33" s="77">
        <v>0</v>
      </c>
      <c r="EF33" s="77" t="s">
        <v>265</v>
      </c>
      <c r="EG33" s="78">
        <f t="shared" si="8"/>
        <v>0</v>
      </c>
      <c r="EH33" s="55">
        <v>0</v>
      </c>
      <c r="EI33" s="55">
        <v>0</v>
      </c>
      <c r="EJ33" s="55">
        <v>0.5</v>
      </c>
      <c r="EK33" s="55">
        <v>0</v>
      </c>
      <c r="EL33" s="55">
        <v>0</v>
      </c>
      <c r="EM33" s="55">
        <v>0</v>
      </c>
      <c r="EN33" s="55">
        <v>0</v>
      </c>
      <c r="EO33" s="55">
        <v>0</v>
      </c>
      <c r="EP33" s="55">
        <v>0</v>
      </c>
      <c r="EQ33" s="55">
        <v>0</v>
      </c>
      <c r="ER33" s="55">
        <v>0</v>
      </c>
      <c r="ES33" s="55">
        <v>0</v>
      </c>
      <c r="ET33" s="55">
        <v>0</v>
      </c>
      <c r="EU33" s="55">
        <v>0</v>
      </c>
      <c r="EV33" s="55">
        <v>0</v>
      </c>
      <c r="EW33" s="55">
        <v>0</v>
      </c>
      <c r="EX33" s="55">
        <v>0</v>
      </c>
      <c r="EY33" s="55">
        <v>0</v>
      </c>
      <c r="EZ33" s="55">
        <v>0</v>
      </c>
      <c r="FA33" s="55">
        <v>0</v>
      </c>
      <c r="FB33" s="55">
        <v>0</v>
      </c>
      <c r="FC33" s="55">
        <v>0</v>
      </c>
      <c r="FD33" s="79">
        <f t="shared" si="9"/>
        <v>0.5</v>
      </c>
      <c r="FE33" s="80">
        <v>1</v>
      </c>
      <c r="FF33" s="55">
        <v>1</v>
      </c>
      <c r="FG33" s="55">
        <v>0</v>
      </c>
      <c r="FH33" s="55">
        <v>1</v>
      </c>
      <c r="FI33" s="55">
        <v>1</v>
      </c>
      <c r="FJ33" s="55">
        <v>1</v>
      </c>
      <c r="FK33" s="55">
        <v>1</v>
      </c>
      <c r="FL33" s="55">
        <v>1</v>
      </c>
      <c r="FM33" s="55">
        <v>1</v>
      </c>
      <c r="FN33" s="81">
        <f t="shared" si="10"/>
        <v>7</v>
      </c>
      <c r="FO33" s="82">
        <v>2</v>
      </c>
      <c r="FP33" s="55">
        <v>10</v>
      </c>
      <c r="FQ33" s="55">
        <v>5</v>
      </c>
      <c r="FR33" s="55">
        <v>10</v>
      </c>
      <c r="FS33" s="55">
        <v>5</v>
      </c>
      <c r="FT33" s="55">
        <v>10</v>
      </c>
      <c r="FU33" s="55">
        <v>10</v>
      </c>
      <c r="FV33" s="55">
        <v>10</v>
      </c>
      <c r="FW33" s="55">
        <v>15</v>
      </c>
      <c r="FX33" s="55">
        <v>15</v>
      </c>
      <c r="FY33" s="55">
        <v>10</v>
      </c>
      <c r="FZ33" s="83">
        <f t="shared" si="11"/>
        <v>100</v>
      </c>
      <c r="GA33" s="84">
        <v>1</v>
      </c>
      <c r="GB33" s="55">
        <v>0</v>
      </c>
      <c r="GC33" s="85">
        <v>0</v>
      </c>
      <c r="GD33" s="85">
        <v>0</v>
      </c>
      <c r="GE33" s="85">
        <v>0</v>
      </c>
      <c r="GF33" s="85">
        <v>0</v>
      </c>
      <c r="GG33" s="85">
        <v>0</v>
      </c>
      <c r="GH33" s="85">
        <v>0</v>
      </c>
      <c r="GI33" s="55">
        <v>0</v>
      </c>
      <c r="GJ33" s="55">
        <v>0</v>
      </c>
      <c r="GK33" s="55">
        <v>0</v>
      </c>
      <c r="GL33" s="55">
        <v>0</v>
      </c>
      <c r="GM33" s="55">
        <v>0</v>
      </c>
      <c r="GN33" s="55">
        <v>0</v>
      </c>
      <c r="GO33" s="55">
        <v>0</v>
      </c>
      <c r="GP33" s="55">
        <v>0</v>
      </c>
      <c r="GQ33" s="55">
        <v>0</v>
      </c>
      <c r="GR33" s="55">
        <v>0</v>
      </c>
      <c r="GS33" s="55">
        <v>0</v>
      </c>
      <c r="GT33" s="55">
        <v>0</v>
      </c>
      <c r="GU33" s="86">
        <f t="shared" si="12"/>
        <v>0</v>
      </c>
      <c r="GV33" s="87" t="s">
        <v>301</v>
      </c>
      <c r="GW33" s="87">
        <v>0</v>
      </c>
      <c r="GX33" s="88" t="s">
        <v>267</v>
      </c>
      <c r="GY33" s="55">
        <v>5</v>
      </c>
      <c r="GZ33" s="55">
        <v>5</v>
      </c>
      <c r="HA33" s="55">
        <v>3</v>
      </c>
      <c r="HB33" s="55">
        <v>1</v>
      </c>
      <c r="HC33" s="55">
        <v>2</v>
      </c>
      <c r="HD33" s="55">
        <v>5</v>
      </c>
      <c r="HE33" s="55"/>
      <c r="HF33" s="55"/>
      <c r="HG33" s="55">
        <v>2</v>
      </c>
      <c r="HH33" s="55">
        <v>7</v>
      </c>
      <c r="HI33" s="55">
        <v>7</v>
      </c>
      <c r="HJ33" s="55"/>
      <c r="HK33" s="55">
        <v>4</v>
      </c>
      <c r="HL33" s="55">
        <v>5</v>
      </c>
      <c r="HM33" s="55">
        <v>5</v>
      </c>
      <c r="HN33" s="55">
        <v>1</v>
      </c>
      <c r="HO33" s="55">
        <v>3</v>
      </c>
      <c r="HP33" s="55">
        <v>0</v>
      </c>
      <c r="HQ33" s="55">
        <v>2</v>
      </c>
      <c r="HR33" s="55">
        <v>1</v>
      </c>
      <c r="HS33" s="55">
        <v>1</v>
      </c>
      <c r="HT33" s="55">
        <v>2</v>
      </c>
      <c r="HU33" s="55">
        <v>4</v>
      </c>
      <c r="HV33" s="55">
        <v>1</v>
      </c>
      <c r="HW33" s="55">
        <v>1</v>
      </c>
      <c r="HX33" s="55">
        <v>2</v>
      </c>
      <c r="HY33" s="55">
        <v>5</v>
      </c>
      <c r="HZ33" s="55">
        <v>2</v>
      </c>
      <c r="IA33" s="55">
        <v>4</v>
      </c>
      <c r="IB33" s="55">
        <v>4</v>
      </c>
      <c r="IC33" s="55">
        <v>7</v>
      </c>
      <c r="ID33" s="55">
        <f t="shared" ref="ID33:IG33" si="121">SUM(GY33)</f>
        <v>5</v>
      </c>
      <c r="IE33" s="55">
        <f t="shared" si="121"/>
        <v>5</v>
      </c>
      <c r="IF33" s="55">
        <f t="shared" si="121"/>
        <v>3</v>
      </c>
      <c r="IG33" s="55">
        <f t="shared" si="121"/>
        <v>1</v>
      </c>
      <c r="IH33" s="55">
        <f t="shared" si="14"/>
        <v>7</v>
      </c>
      <c r="II33" s="55">
        <f t="shared" si="15"/>
        <v>2</v>
      </c>
      <c r="IJ33" s="55">
        <f t="shared" si="16"/>
        <v>14</v>
      </c>
      <c r="IK33" s="55">
        <f t="shared" ref="IK33:IQ33" si="122">SUM(HK33)</f>
        <v>4</v>
      </c>
      <c r="IL33" s="55">
        <f t="shared" si="122"/>
        <v>5</v>
      </c>
      <c r="IM33" s="55">
        <f t="shared" si="122"/>
        <v>5</v>
      </c>
      <c r="IN33" s="55">
        <f t="shared" si="122"/>
        <v>1</v>
      </c>
      <c r="IO33" s="55">
        <f t="shared" si="122"/>
        <v>3</v>
      </c>
      <c r="IP33" s="55">
        <f t="shared" si="122"/>
        <v>0</v>
      </c>
      <c r="IQ33" s="55">
        <f t="shared" si="122"/>
        <v>2</v>
      </c>
      <c r="IR33" s="55">
        <f t="shared" si="18"/>
        <v>2</v>
      </c>
      <c r="IS33" s="55">
        <f t="shared" ref="IS33:JB33" si="123">SUM(HT33)</f>
        <v>2</v>
      </c>
      <c r="IT33" s="55">
        <f t="shared" si="123"/>
        <v>4</v>
      </c>
      <c r="IU33" s="55">
        <f t="shared" si="123"/>
        <v>1</v>
      </c>
      <c r="IV33" s="55">
        <f t="shared" si="123"/>
        <v>1</v>
      </c>
      <c r="IW33" s="55">
        <f t="shared" si="123"/>
        <v>2</v>
      </c>
      <c r="IX33" s="55">
        <f t="shared" si="123"/>
        <v>5</v>
      </c>
      <c r="IY33" s="55">
        <f t="shared" si="123"/>
        <v>2</v>
      </c>
      <c r="IZ33" s="55">
        <f t="shared" si="123"/>
        <v>4</v>
      </c>
      <c r="JA33" s="55">
        <f t="shared" si="123"/>
        <v>4</v>
      </c>
      <c r="JB33" s="55">
        <f t="shared" si="123"/>
        <v>7</v>
      </c>
      <c r="JC33" s="89">
        <f t="shared" si="20"/>
        <v>90</v>
      </c>
      <c r="JD33" s="90">
        <v>1</v>
      </c>
      <c r="JE33" s="90"/>
      <c r="JF33" s="91">
        <v>32</v>
      </c>
      <c r="JG33" s="91">
        <v>2</v>
      </c>
      <c r="JH33" s="55">
        <v>2</v>
      </c>
      <c r="JI33" s="55">
        <v>2</v>
      </c>
      <c r="JJ33" s="55">
        <v>2</v>
      </c>
      <c r="JK33" s="55">
        <v>1</v>
      </c>
      <c r="JL33" s="55">
        <v>2</v>
      </c>
      <c r="JM33" s="55">
        <v>0</v>
      </c>
      <c r="JN33" s="55">
        <v>0</v>
      </c>
      <c r="JO33" s="55">
        <v>0</v>
      </c>
      <c r="JP33" s="89">
        <f t="shared" si="21"/>
        <v>9</v>
      </c>
      <c r="JQ33" s="55">
        <v>2</v>
      </c>
      <c r="JR33" s="55">
        <v>2</v>
      </c>
      <c r="JS33" s="55">
        <v>0</v>
      </c>
      <c r="JT33" s="55">
        <v>0</v>
      </c>
      <c r="JU33" s="55">
        <v>0</v>
      </c>
      <c r="JV33" s="55">
        <v>0</v>
      </c>
      <c r="JW33" s="55">
        <v>0</v>
      </c>
      <c r="JX33" s="92">
        <f t="shared" si="22"/>
        <v>4</v>
      </c>
      <c r="JY33" s="93">
        <f t="shared" si="23"/>
        <v>13</v>
      </c>
      <c r="JZ33" s="55">
        <v>3</v>
      </c>
      <c r="KA33" s="55">
        <v>3</v>
      </c>
      <c r="KB33" s="55">
        <v>2</v>
      </c>
      <c r="KC33" s="55">
        <v>0</v>
      </c>
      <c r="KD33" s="55">
        <v>0</v>
      </c>
      <c r="KE33" s="55">
        <v>0</v>
      </c>
      <c r="KF33" s="55">
        <v>0</v>
      </c>
      <c r="KG33" s="94">
        <f t="shared" si="24"/>
        <v>8</v>
      </c>
      <c r="KH33" s="108">
        <v>45757</v>
      </c>
      <c r="KI33" s="55">
        <v>0</v>
      </c>
      <c r="KJ33" s="55">
        <v>2</v>
      </c>
      <c r="KK33" s="55">
        <v>0</v>
      </c>
      <c r="KL33" s="95" t="s">
        <v>434</v>
      </c>
      <c r="KM33" s="55">
        <v>0</v>
      </c>
      <c r="KN33" s="55">
        <v>2</v>
      </c>
      <c r="KO33" s="55">
        <v>0</v>
      </c>
      <c r="KP33" s="95" t="s">
        <v>435</v>
      </c>
      <c r="KQ33" s="55">
        <v>0</v>
      </c>
      <c r="KR33" s="55">
        <v>2</v>
      </c>
      <c r="KS33" s="55">
        <v>0</v>
      </c>
      <c r="KT33" s="95" t="s">
        <v>436</v>
      </c>
      <c r="KU33" s="55">
        <v>0</v>
      </c>
      <c r="KV33" s="55">
        <v>2</v>
      </c>
      <c r="KW33" s="55">
        <v>0</v>
      </c>
      <c r="KX33" s="95" t="s">
        <v>437</v>
      </c>
      <c r="KY33" s="55">
        <v>0</v>
      </c>
      <c r="KZ33" s="55">
        <v>2</v>
      </c>
      <c r="LA33" s="55">
        <v>1</v>
      </c>
      <c r="LB33" s="95" t="s">
        <v>438</v>
      </c>
      <c r="LC33" s="55">
        <v>0</v>
      </c>
      <c r="LD33" s="55">
        <v>2</v>
      </c>
      <c r="LE33" s="55">
        <v>1</v>
      </c>
      <c r="LF33" s="108">
        <v>45759</v>
      </c>
      <c r="LG33" s="55">
        <v>0</v>
      </c>
      <c r="LH33" s="55">
        <v>2</v>
      </c>
      <c r="LI33" s="55">
        <v>1</v>
      </c>
      <c r="LJ33" s="95" t="s">
        <v>439</v>
      </c>
      <c r="LK33" s="55">
        <v>0</v>
      </c>
      <c r="LL33" s="55">
        <v>2</v>
      </c>
      <c r="LM33" s="55">
        <v>3</v>
      </c>
      <c r="LN33" s="96">
        <f t="shared" si="25"/>
        <v>22</v>
      </c>
      <c r="LO33" s="97">
        <f t="shared" si="26"/>
        <v>6</v>
      </c>
      <c r="LP33" s="97">
        <f t="shared" si="27"/>
        <v>43</v>
      </c>
    </row>
    <row r="34" spans="1:328" s="98" customFormat="1" ht="13.2">
      <c r="A34" s="55" t="s">
        <v>592</v>
      </c>
      <c r="B34" s="40"/>
      <c r="C34" s="40"/>
      <c r="D34" s="49"/>
      <c r="E34" s="49"/>
      <c r="F34" s="40"/>
      <c r="G34" s="40"/>
      <c r="H34" s="40"/>
      <c r="I34" s="164">
        <v>6</v>
      </c>
      <c r="J34" s="164">
        <v>0</v>
      </c>
      <c r="K34" s="40"/>
      <c r="L34" s="40"/>
      <c r="M34" s="40"/>
      <c r="N34" s="64" t="s">
        <v>1041</v>
      </c>
      <c r="O34" s="101" t="s">
        <v>1008</v>
      </c>
      <c r="P34" s="111" t="s">
        <v>783</v>
      </c>
      <c r="Q34" s="95">
        <v>1</v>
      </c>
      <c r="R34" s="111" t="s">
        <v>784</v>
      </c>
      <c r="S34" s="111">
        <v>66</v>
      </c>
      <c r="T34" s="111" t="s">
        <v>310</v>
      </c>
      <c r="U34" s="111" t="s">
        <v>298</v>
      </c>
      <c r="V34" s="111">
        <v>994840864</v>
      </c>
      <c r="W34" s="111" t="s">
        <v>595</v>
      </c>
      <c r="X34" s="111" t="s">
        <v>596</v>
      </c>
      <c r="Y34" s="111" t="s">
        <v>311</v>
      </c>
      <c r="Z34" s="111" t="s">
        <v>262</v>
      </c>
      <c r="AA34" s="111" t="s">
        <v>785</v>
      </c>
      <c r="AB34" s="111" t="s">
        <v>264</v>
      </c>
      <c r="AC34" s="111" t="s">
        <v>597</v>
      </c>
      <c r="AD34" s="111" t="s">
        <v>597</v>
      </c>
      <c r="AE34" s="111" t="s">
        <v>597</v>
      </c>
      <c r="AF34" s="111" t="s">
        <v>597</v>
      </c>
      <c r="AG34" s="111" t="s">
        <v>597</v>
      </c>
      <c r="AH34" s="111" t="s">
        <v>597</v>
      </c>
      <c r="AI34" s="111" t="s">
        <v>597</v>
      </c>
      <c r="AJ34" s="112">
        <v>45939</v>
      </c>
      <c r="AK34" s="97"/>
      <c r="AL34" s="115">
        <v>1</v>
      </c>
      <c r="AM34" s="115">
        <v>1</v>
      </c>
      <c r="AN34" s="115">
        <v>1</v>
      </c>
      <c r="AO34" s="115">
        <v>1</v>
      </c>
      <c r="AP34" s="115">
        <v>1</v>
      </c>
      <c r="AQ34" s="115">
        <v>1</v>
      </c>
      <c r="AR34" s="115">
        <v>1</v>
      </c>
      <c r="AS34" s="115">
        <v>1</v>
      </c>
      <c r="AT34" s="70">
        <f t="shared" si="0"/>
        <v>8</v>
      </c>
      <c r="AU34" s="71">
        <v>1</v>
      </c>
      <c r="AV34" s="71">
        <v>1</v>
      </c>
      <c r="AW34" s="71">
        <v>1</v>
      </c>
      <c r="AX34" s="71">
        <v>1</v>
      </c>
      <c r="AY34" s="70">
        <f t="shared" si="1"/>
        <v>4</v>
      </c>
      <c r="AZ34" s="115">
        <v>0</v>
      </c>
      <c r="BA34" s="115">
        <v>0</v>
      </c>
      <c r="BB34" s="115">
        <v>0</v>
      </c>
      <c r="BC34" s="115">
        <v>0</v>
      </c>
      <c r="BD34" s="115">
        <v>0</v>
      </c>
      <c r="BE34" s="115">
        <v>1</v>
      </c>
      <c r="BF34" s="115">
        <v>0</v>
      </c>
      <c r="BG34" s="115">
        <v>0</v>
      </c>
      <c r="BH34" s="70">
        <f t="shared" si="2"/>
        <v>1</v>
      </c>
      <c r="BI34" s="69">
        <v>0</v>
      </c>
      <c r="BJ34" s="69">
        <v>0</v>
      </c>
      <c r="BK34" s="70">
        <f t="shared" si="3"/>
        <v>0</v>
      </c>
      <c r="BL34" s="92">
        <v>1</v>
      </c>
      <c r="BM34" s="72">
        <v>0</v>
      </c>
      <c r="BN34" s="72">
        <v>0</v>
      </c>
      <c r="BO34" s="72">
        <v>0</v>
      </c>
      <c r="BP34" s="120">
        <v>1</v>
      </c>
      <c r="BQ34" s="72">
        <v>0</v>
      </c>
      <c r="BR34" s="72">
        <v>0</v>
      </c>
      <c r="BS34" s="72">
        <v>0</v>
      </c>
      <c r="BT34" s="70">
        <f t="shared" si="4"/>
        <v>1</v>
      </c>
      <c r="BU34" s="70">
        <f t="shared" si="5"/>
        <v>14</v>
      </c>
      <c r="BV34" s="73">
        <v>5</v>
      </c>
      <c r="BW34" s="73">
        <v>5</v>
      </c>
      <c r="BX34" s="73">
        <v>5</v>
      </c>
      <c r="BY34" s="73">
        <v>1</v>
      </c>
      <c r="BZ34" s="105">
        <v>5</v>
      </c>
      <c r="CA34" s="73">
        <v>3</v>
      </c>
      <c r="CB34" s="105">
        <v>5</v>
      </c>
      <c r="CC34" s="73">
        <v>5</v>
      </c>
      <c r="CD34" s="73">
        <v>2</v>
      </c>
      <c r="CE34" s="73">
        <v>3</v>
      </c>
      <c r="CF34" s="73">
        <v>3</v>
      </c>
      <c r="CG34" s="73">
        <v>5</v>
      </c>
      <c r="CH34" s="74">
        <v>5</v>
      </c>
      <c r="CI34" s="73">
        <v>5</v>
      </c>
      <c r="CJ34" s="73">
        <v>3</v>
      </c>
      <c r="CK34" s="75">
        <f t="shared" si="96"/>
        <v>60</v>
      </c>
      <c r="CL34" s="76"/>
      <c r="CM34" s="76"/>
      <c r="CN34" s="76"/>
      <c r="CO34" s="76"/>
      <c r="CP34" s="76"/>
      <c r="CQ34" s="10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>
        <f t="shared" si="7"/>
        <v>0</v>
      </c>
      <c r="DO34" s="118">
        <v>27</v>
      </c>
      <c r="DP34" s="55">
        <v>0</v>
      </c>
      <c r="DQ34" s="55">
        <v>0</v>
      </c>
      <c r="DR34" s="55">
        <v>0</v>
      </c>
      <c r="DS34" s="55">
        <v>0</v>
      </c>
      <c r="DT34" s="55">
        <v>0</v>
      </c>
      <c r="DU34" s="55">
        <v>0</v>
      </c>
      <c r="DV34" s="55">
        <v>0</v>
      </c>
      <c r="DW34" s="55">
        <v>0</v>
      </c>
      <c r="DX34" s="55">
        <v>0</v>
      </c>
      <c r="DY34" s="55">
        <v>0</v>
      </c>
      <c r="DZ34" s="55">
        <v>0</v>
      </c>
      <c r="EA34" s="55">
        <v>0</v>
      </c>
      <c r="EB34" s="55">
        <v>0</v>
      </c>
      <c r="EC34" s="55">
        <v>0</v>
      </c>
      <c r="ED34" s="55">
        <v>0</v>
      </c>
      <c r="EE34" s="77">
        <f t="shared" ref="EE34:EE65" si="124">SUM(DP34:ED34)</f>
        <v>0</v>
      </c>
      <c r="EF34" s="77" t="s">
        <v>265</v>
      </c>
      <c r="EG34" s="78">
        <f t="shared" si="8"/>
        <v>0</v>
      </c>
      <c r="EH34" s="55">
        <v>0</v>
      </c>
      <c r="EI34" s="55">
        <v>0</v>
      </c>
      <c r="EJ34" s="55">
        <v>0.5</v>
      </c>
      <c r="EK34" s="55">
        <v>0</v>
      </c>
      <c r="EL34" s="55">
        <v>0</v>
      </c>
      <c r="EM34" s="55">
        <v>0</v>
      </c>
      <c r="EN34" s="55">
        <v>0</v>
      </c>
      <c r="EO34" s="55">
        <v>0</v>
      </c>
      <c r="EP34" s="55">
        <v>0</v>
      </c>
      <c r="EQ34" s="55">
        <v>0</v>
      </c>
      <c r="ER34" s="55">
        <v>0</v>
      </c>
      <c r="ES34" s="55">
        <v>0</v>
      </c>
      <c r="ET34" s="55">
        <v>0</v>
      </c>
      <c r="EU34" s="55">
        <v>0</v>
      </c>
      <c r="EV34" s="55">
        <v>1</v>
      </c>
      <c r="EW34" s="55">
        <v>1</v>
      </c>
      <c r="EX34" s="55">
        <v>0</v>
      </c>
      <c r="EY34" s="55">
        <v>1</v>
      </c>
      <c r="EZ34" s="55">
        <v>0</v>
      </c>
      <c r="FA34" s="55">
        <v>1</v>
      </c>
      <c r="FB34" s="55">
        <v>0</v>
      </c>
      <c r="FC34" s="55">
        <v>0</v>
      </c>
      <c r="FD34" s="79">
        <f t="shared" si="9"/>
        <v>4.5</v>
      </c>
      <c r="FE34" s="79">
        <v>2</v>
      </c>
      <c r="FF34" s="55">
        <v>1</v>
      </c>
      <c r="FG34" s="55">
        <v>1</v>
      </c>
      <c r="FH34" s="55">
        <v>1</v>
      </c>
      <c r="FI34" s="55">
        <v>1</v>
      </c>
      <c r="FJ34" s="55">
        <v>1</v>
      </c>
      <c r="FK34" s="55">
        <v>1</v>
      </c>
      <c r="FL34" s="55">
        <v>1</v>
      </c>
      <c r="FM34" s="55">
        <v>1</v>
      </c>
      <c r="FN34" s="81">
        <f t="shared" si="10"/>
        <v>8</v>
      </c>
      <c r="FO34" s="82">
        <v>1</v>
      </c>
      <c r="FP34" s="55">
        <v>10</v>
      </c>
      <c r="FQ34" s="55">
        <v>5</v>
      </c>
      <c r="FR34" s="55">
        <v>10</v>
      </c>
      <c r="FS34" s="55">
        <v>5</v>
      </c>
      <c r="FT34" s="55">
        <v>10</v>
      </c>
      <c r="FU34" s="55">
        <v>10</v>
      </c>
      <c r="FV34" s="55">
        <v>10</v>
      </c>
      <c r="FW34" s="55">
        <v>15</v>
      </c>
      <c r="FX34" s="55">
        <v>15</v>
      </c>
      <c r="FY34" s="55">
        <v>10</v>
      </c>
      <c r="FZ34" s="83">
        <f t="shared" si="11"/>
        <v>100</v>
      </c>
      <c r="GA34" s="84">
        <v>1</v>
      </c>
      <c r="GB34" s="55">
        <v>0</v>
      </c>
      <c r="GC34" s="85">
        <v>0</v>
      </c>
      <c r="GD34" s="85">
        <v>0</v>
      </c>
      <c r="GE34" s="85">
        <v>0</v>
      </c>
      <c r="GF34" s="85">
        <v>0</v>
      </c>
      <c r="GG34" s="85">
        <v>0</v>
      </c>
      <c r="GH34" s="85">
        <v>0</v>
      </c>
      <c r="GI34" s="55">
        <v>0</v>
      </c>
      <c r="GJ34" s="55">
        <v>0</v>
      </c>
      <c r="GK34" s="55">
        <v>0</v>
      </c>
      <c r="GL34" s="55">
        <v>0</v>
      </c>
      <c r="GM34" s="55">
        <v>0</v>
      </c>
      <c r="GN34" s="55">
        <v>0</v>
      </c>
      <c r="GO34" s="55">
        <v>0</v>
      </c>
      <c r="GP34" s="55">
        <v>0</v>
      </c>
      <c r="GQ34" s="55">
        <v>0</v>
      </c>
      <c r="GR34" s="55">
        <v>0</v>
      </c>
      <c r="GS34" s="55">
        <v>0</v>
      </c>
      <c r="GT34" s="55">
        <v>0</v>
      </c>
      <c r="GU34" s="86">
        <f t="shared" si="12"/>
        <v>0</v>
      </c>
      <c r="GV34" s="87" t="s">
        <v>301</v>
      </c>
      <c r="GW34" s="87">
        <v>0</v>
      </c>
      <c r="GX34" s="88" t="s">
        <v>267</v>
      </c>
      <c r="GY34" s="55">
        <v>5</v>
      </c>
      <c r="GZ34" s="55">
        <v>5</v>
      </c>
      <c r="HA34" s="55">
        <v>3</v>
      </c>
      <c r="HB34" s="55">
        <v>1</v>
      </c>
      <c r="HC34" s="55">
        <v>2</v>
      </c>
      <c r="HD34" s="55">
        <v>3</v>
      </c>
      <c r="HE34" s="55"/>
      <c r="HF34" s="55"/>
      <c r="HG34" s="55">
        <v>3</v>
      </c>
      <c r="HH34" s="55">
        <v>7</v>
      </c>
      <c r="HI34" s="55">
        <v>7</v>
      </c>
      <c r="HJ34" s="55"/>
      <c r="HK34" s="55">
        <v>3</v>
      </c>
      <c r="HL34" s="55">
        <v>6</v>
      </c>
      <c r="HM34" s="55">
        <v>5</v>
      </c>
      <c r="HN34" s="55">
        <v>1</v>
      </c>
      <c r="HO34" s="55">
        <v>3</v>
      </c>
      <c r="HP34" s="55">
        <v>1</v>
      </c>
      <c r="HQ34" s="55">
        <v>2</v>
      </c>
      <c r="HR34" s="55">
        <v>1</v>
      </c>
      <c r="HS34" s="55">
        <v>0</v>
      </c>
      <c r="HT34" s="55">
        <v>2</v>
      </c>
      <c r="HU34" s="55">
        <v>3</v>
      </c>
      <c r="HV34" s="55">
        <v>1</v>
      </c>
      <c r="HW34" s="55">
        <v>1</v>
      </c>
      <c r="HX34" s="55">
        <v>0</v>
      </c>
      <c r="HY34" s="55">
        <v>5</v>
      </c>
      <c r="HZ34" s="55">
        <v>4</v>
      </c>
      <c r="IA34" s="55">
        <v>4</v>
      </c>
      <c r="IB34" s="55">
        <v>7</v>
      </c>
      <c r="IC34" s="55"/>
      <c r="ID34" s="55">
        <f t="shared" ref="ID34:IG34" si="125">SUM(GY34)</f>
        <v>5</v>
      </c>
      <c r="IE34" s="55">
        <f t="shared" si="125"/>
        <v>5</v>
      </c>
      <c r="IF34" s="55">
        <f t="shared" si="125"/>
        <v>3</v>
      </c>
      <c r="IG34" s="55">
        <f t="shared" si="125"/>
        <v>1</v>
      </c>
      <c r="IH34" s="55">
        <f t="shared" si="14"/>
        <v>5</v>
      </c>
      <c r="II34" s="55">
        <f t="shared" si="15"/>
        <v>3</v>
      </c>
      <c r="IJ34" s="55">
        <f t="shared" si="16"/>
        <v>14</v>
      </c>
      <c r="IK34" s="55">
        <f t="shared" ref="IK34:IQ34" si="126">SUM(HK34)</f>
        <v>3</v>
      </c>
      <c r="IL34" s="55">
        <f t="shared" si="126"/>
        <v>6</v>
      </c>
      <c r="IM34" s="55">
        <f t="shared" si="126"/>
        <v>5</v>
      </c>
      <c r="IN34" s="55">
        <f t="shared" si="126"/>
        <v>1</v>
      </c>
      <c r="IO34" s="55">
        <f t="shared" si="126"/>
        <v>3</v>
      </c>
      <c r="IP34" s="55">
        <f t="shared" si="126"/>
        <v>1</v>
      </c>
      <c r="IQ34" s="55">
        <f t="shared" si="126"/>
        <v>2</v>
      </c>
      <c r="IR34" s="55">
        <f t="shared" si="18"/>
        <v>1</v>
      </c>
      <c r="IS34" s="55">
        <f t="shared" ref="IS34:JB34" si="127">SUM(HT34)</f>
        <v>2</v>
      </c>
      <c r="IT34" s="55">
        <f t="shared" si="127"/>
        <v>3</v>
      </c>
      <c r="IU34" s="55">
        <f t="shared" si="127"/>
        <v>1</v>
      </c>
      <c r="IV34" s="55">
        <f t="shared" si="127"/>
        <v>1</v>
      </c>
      <c r="IW34" s="55">
        <f t="shared" si="127"/>
        <v>0</v>
      </c>
      <c r="IX34" s="55">
        <f t="shared" si="127"/>
        <v>5</v>
      </c>
      <c r="IY34" s="55">
        <f t="shared" si="127"/>
        <v>4</v>
      </c>
      <c r="IZ34" s="55">
        <f t="shared" si="127"/>
        <v>4</v>
      </c>
      <c r="JA34" s="55">
        <f t="shared" si="127"/>
        <v>7</v>
      </c>
      <c r="JB34" s="55">
        <f t="shared" si="127"/>
        <v>0</v>
      </c>
      <c r="JC34" s="89">
        <f t="shared" si="20"/>
        <v>84</v>
      </c>
      <c r="JD34" s="90">
        <v>1</v>
      </c>
      <c r="JE34" s="90">
        <v>1</v>
      </c>
      <c r="JF34" s="91">
        <v>27</v>
      </c>
      <c r="JG34" s="91">
        <v>2</v>
      </c>
      <c r="JH34" s="55">
        <v>2</v>
      </c>
      <c r="JI34" s="55">
        <v>2</v>
      </c>
      <c r="JJ34" s="55">
        <v>2</v>
      </c>
      <c r="JK34" s="55">
        <v>1</v>
      </c>
      <c r="JL34" s="55">
        <v>0</v>
      </c>
      <c r="JM34" s="55">
        <v>0</v>
      </c>
      <c r="JN34" s="55">
        <v>0</v>
      </c>
      <c r="JO34" s="55">
        <v>0</v>
      </c>
      <c r="JP34" s="89">
        <f t="shared" si="21"/>
        <v>7</v>
      </c>
      <c r="JQ34" s="55">
        <v>2</v>
      </c>
      <c r="JR34" s="55">
        <v>0</v>
      </c>
      <c r="JS34" s="55">
        <v>0</v>
      </c>
      <c r="JT34" s="55">
        <v>0</v>
      </c>
      <c r="JU34" s="55">
        <v>0</v>
      </c>
      <c r="JV34" s="55">
        <v>0</v>
      </c>
      <c r="JW34" s="55">
        <v>0</v>
      </c>
      <c r="JX34" s="92">
        <f t="shared" si="22"/>
        <v>2</v>
      </c>
      <c r="JY34" s="93">
        <f t="shared" si="23"/>
        <v>9</v>
      </c>
      <c r="JZ34" s="55">
        <v>3</v>
      </c>
      <c r="KA34" s="55">
        <v>3</v>
      </c>
      <c r="KB34" s="55">
        <v>0</v>
      </c>
      <c r="KC34" s="55">
        <v>0</v>
      </c>
      <c r="KD34" s="55">
        <v>0</v>
      </c>
      <c r="KE34" s="55">
        <v>0</v>
      </c>
      <c r="KF34" s="55">
        <v>0</v>
      </c>
      <c r="KG34" s="94">
        <f t="shared" si="24"/>
        <v>6</v>
      </c>
      <c r="KH34" s="95" t="s">
        <v>380</v>
      </c>
      <c r="KI34" s="55">
        <v>0</v>
      </c>
      <c r="KJ34" s="55">
        <v>2</v>
      </c>
      <c r="KK34" s="55">
        <v>0</v>
      </c>
      <c r="KL34" s="95" t="s">
        <v>319</v>
      </c>
      <c r="KM34" s="55">
        <v>0</v>
      </c>
      <c r="KN34" s="55">
        <v>2</v>
      </c>
      <c r="KO34" s="55">
        <v>0</v>
      </c>
      <c r="KP34" s="95" t="s">
        <v>332</v>
      </c>
      <c r="KQ34" s="55">
        <v>0</v>
      </c>
      <c r="KR34" s="55">
        <v>2</v>
      </c>
      <c r="KS34" s="55">
        <v>1</v>
      </c>
      <c r="KT34" s="95" t="s">
        <v>315</v>
      </c>
      <c r="KU34" s="55">
        <v>0</v>
      </c>
      <c r="KV34" s="55">
        <v>2</v>
      </c>
      <c r="KW34" s="55">
        <v>0</v>
      </c>
      <c r="KX34" s="95" t="s">
        <v>327</v>
      </c>
      <c r="KY34" s="55">
        <v>0</v>
      </c>
      <c r="KZ34" s="55">
        <v>2</v>
      </c>
      <c r="LA34" s="55">
        <v>1</v>
      </c>
      <c r="LB34" s="95" t="s">
        <v>320</v>
      </c>
      <c r="LC34" s="55"/>
      <c r="LD34" s="55">
        <v>2</v>
      </c>
      <c r="LE34" s="55">
        <v>2</v>
      </c>
      <c r="LF34" s="95" t="s">
        <v>331</v>
      </c>
      <c r="LG34" s="55">
        <v>0</v>
      </c>
      <c r="LH34" s="55">
        <v>2</v>
      </c>
      <c r="LI34" s="55">
        <v>3</v>
      </c>
      <c r="LJ34" s="95" t="s">
        <v>321</v>
      </c>
      <c r="LK34" s="55">
        <v>0</v>
      </c>
      <c r="LL34" s="55">
        <v>2</v>
      </c>
      <c r="LM34" s="55">
        <v>3</v>
      </c>
      <c r="LN34" s="96">
        <f t="shared" si="25"/>
        <v>26</v>
      </c>
      <c r="LO34" s="97">
        <f t="shared" si="26"/>
        <v>10</v>
      </c>
      <c r="LP34" s="97">
        <f t="shared" si="27"/>
        <v>41</v>
      </c>
    </row>
    <row r="35" spans="1:328" s="98" customFormat="1" ht="13.8">
      <c r="A35" s="55" t="s">
        <v>592</v>
      </c>
      <c r="B35" s="110">
        <v>45966</v>
      </c>
      <c r="C35" s="61">
        <v>26</v>
      </c>
      <c r="D35" s="62" t="s">
        <v>763</v>
      </c>
      <c r="E35" s="62"/>
      <c r="F35" s="61">
        <v>1</v>
      </c>
      <c r="G35" s="61">
        <v>1</v>
      </c>
      <c r="H35" s="61">
        <v>1</v>
      </c>
      <c r="I35" s="164">
        <v>4</v>
      </c>
      <c r="J35" s="164">
        <v>2</v>
      </c>
      <c r="K35" s="63">
        <v>9.583333333333334E-2</v>
      </c>
      <c r="L35" s="63">
        <v>0.11319444444444444</v>
      </c>
      <c r="M35" s="63">
        <v>7.8472222222222221E-2</v>
      </c>
      <c r="N35" s="64" t="s">
        <v>1040</v>
      </c>
      <c r="O35" s="101" t="s">
        <v>1009</v>
      </c>
      <c r="P35" s="111" t="s">
        <v>650</v>
      </c>
      <c r="Q35" s="95">
        <v>1</v>
      </c>
      <c r="R35" s="112" t="s">
        <v>651</v>
      </c>
      <c r="S35" s="111">
        <v>75</v>
      </c>
      <c r="T35" s="111" t="s">
        <v>259</v>
      </c>
      <c r="U35" s="111" t="s">
        <v>276</v>
      </c>
      <c r="V35" s="111">
        <v>984549496</v>
      </c>
      <c r="W35" s="111" t="s">
        <v>595</v>
      </c>
      <c r="X35" s="111" t="s">
        <v>596</v>
      </c>
      <c r="Y35" s="111" t="s">
        <v>311</v>
      </c>
      <c r="Z35" s="111" t="s">
        <v>262</v>
      </c>
      <c r="AA35" s="111" t="s">
        <v>440</v>
      </c>
      <c r="AB35" s="111" t="s">
        <v>264</v>
      </c>
      <c r="AC35" s="111" t="s">
        <v>597</v>
      </c>
      <c r="AD35" s="111" t="s">
        <v>597</v>
      </c>
      <c r="AE35" s="111" t="s">
        <v>602</v>
      </c>
      <c r="AF35" s="111" t="s">
        <v>597</v>
      </c>
      <c r="AG35" s="111" t="s">
        <v>652</v>
      </c>
      <c r="AH35" s="111" t="s">
        <v>597</v>
      </c>
      <c r="AI35" s="111" t="s">
        <v>597</v>
      </c>
      <c r="AJ35" s="112">
        <v>45658</v>
      </c>
      <c r="AK35" s="97"/>
      <c r="AL35" s="115">
        <v>1</v>
      </c>
      <c r="AM35" s="115">
        <v>1</v>
      </c>
      <c r="AN35" s="115">
        <v>1</v>
      </c>
      <c r="AO35" s="115">
        <v>1</v>
      </c>
      <c r="AP35" s="115">
        <v>1</v>
      </c>
      <c r="AQ35" s="115">
        <v>1</v>
      </c>
      <c r="AR35" s="115">
        <v>1</v>
      </c>
      <c r="AS35" s="115">
        <v>1</v>
      </c>
      <c r="AT35" s="70">
        <f t="shared" si="0"/>
        <v>8</v>
      </c>
      <c r="AU35" s="71">
        <v>1</v>
      </c>
      <c r="AV35" s="71">
        <v>1</v>
      </c>
      <c r="AW35" s="71">
        <v>1</v>
      </c>
      <c r="AX35" s="71">
        <v>1</v>
      </c>
      <c r="AY35" s="70">
        <f t="shared" si="1"/>
        <v>4</v>
      </c>
      <c r="AZ35" s="69">
        <v>1</v>
      </c>
      <c r="BA35" s="69">
        <v>1</v>
      </c>
      <c r="BB35" s="69">
        <v>1</v>
      </c>
      <c r="BC35" s="69">
        <v>1</v>
      </c>
      <c r="BD35" s="69">
        <v>1</v>
      </c>
      <c r="BE35" s="69">
        <v>1</v>
      </c>
      <c r="BF35" s="69">
        <v>1</v>
      </c>
      <c r="BG35" s="69">
        <v>1</v>
      </c>
      <c r="BH35" s="70">
        <f t="shared" si="2"/>
        <v>8</v>
      </c>
      <c r="BI35" s="69">
        <v>1</v>
      </c>
      <c r="BJ35" s="69">
        <v>1</v>
      </c>
      <c r="BK35" s="70">
        <f t="shared" si="3"/>
        <v>2</v>
      </c>
      <c r="BL35" s="72">
        <v>1</v>
      </c>
      <c r="BM35" s="72">
        <v>1</v>
      </c>
      <c r="BN35" s="72">
        <v>1</v>
      </c>
      <c r="BO35" s="72">
        <v>1</v>
      </c>
      <c r="BP35" s="72">
        <v>1</v>
      </c>
      <c r="BQ35" s="72">
        <v>1</v>
      </c>
      <c r="BR35" s="72">
        <v>1</v>
      </c>
      <c r="BS35" s="72">
        <v>1</v>
      </c>
      <c r="BT35" s="70">
        <f t="shared" si="4"/>
        <v>7</v>
      </c>
      <c r="BU35" s="70">
        <f t="shared" si="5"/>
        <v>29</v>
      </c>
      <c r="BV35" s="105">
        <v>5</v>
      </c>
      <c r="BW35" s="105">
        <v>5</v>
      </c>
      <c r="BX35" s="105">
        <v>5</v>
      </c>
      <c r="BY35" s="73">
        <v>1</v>
      </c>
      <c r="BZ35" s="105">
        <v>5</v>
      </c>
      <c r="CA35" s="73">
        <v>3</v>
      </c>
      <c r="CB35" s="105">
        <v>5</v>
      </c>
      <c r="CC35" s="73">
        <v>5</v>
      </c>
      <c r="CD35" s="73">
        <v>2</v>
      </c>
      <c r="CE35" s="73">
        <v>3</v>
      </c>
      <c r="CF35" s="73">
        <v>3</v>
      </c>
      <c r="CG35" s="73">
        <v>5</v>
      </c>
      <c r="CH35" s="74">
        <v>5</v>
      </c>
      <c r="CI35" s="105">
        <v>5</v>
      </c>
      <c r="CJ35" s="73">
        <v>3</v>
      </c>
      <c r="CK35" s="75">
        <f t="shared" si="96"/>
        <v>60</v>
      </c>
      <c r="CL35" s="76">
        <v>5</v>
      </c>
      <c r="CM35" s="76">
        <v>1</v>
      </c>
      <c r="CN35" s="76">
        <v>5</v>
      </c>
      <c r="CO35" s="76">
        <v>5</v>
      </c>
      <c r="CP35" s="76">
        <v>5</v>
      </c>
      <c r="CQ35" s="106">
        <v>5</v>
      </c>
      <c r="CR35" s="76">
        <v>1</v>
      </c>
      <c r="CS35" s="76">
        <v>5</v>
      </c>
      <c r="CT35" s="76">
        <v>5</v>
      </c>
      <c r="CU35" s="76">
        <v>5</v>
      </c>
      <c r="CV35" s="76">
        <v>5</v>
      </c>
      <c r="CW35" s="76">
        <v>1</v>
      </c>
      <c r="CX35" s="76">
        <v>1</v>
      </c>
      <c r="CY35" s="76">
        <v>5</v>
      </c>
      <c r="CZ35" s="76">
        <v>5</v>
      </c>
      <c r="DA35" s="76">
        <v>5</v>
      </c>
      <c r="DB35" s="76">
        <v>5</v>
      </c>
      <c r="DC35" s="76">
        <v>4</v>
      </c>
      <c r="DD35" s="76">
        <v>5</v>
      </c>
      <c r="DE35" s="76">
        <v>5</v>
      </c>
      <c r="DF35" s="76">
        <v>5</v>
      </c>
      <c r="DG35" s="76">
        <v>5</v>
      </c>
      <c r="DH35" s="76">
        <v>5</v>
      </c>
      <c r="DI35" s="76">
        <v>5</v>
      </c>
      <c r="DJ35" s="76">
        <v>1</v>
      </c>
      <c r="DK35" s="76">
        <v>5</v>
      </c>
      <c r="DL35" s="76">
        <v>3</v>
      </c>
      <c r="DM35" s="76">
        <v>1</v>
      </c>
      <c r="DN35" s="76">
        <f t="shared" si="7"/>
        <v>113</v>
      </c>
      <c r="DO35" s="118">
        <v>30</v>
      </c>
      <c r="DP35" s="97">
        <v>0</v>
      </c>
      <c r="DQ35" s="97">
        <v>0</v>
      </c>
      <c r="DR35" s="97">
        <v>0</v>
      </c>
      <c r="DS35" s="97">
        <v>0</v>
      </c>
      <c r="DT35" s="97">
        <v>0</v>
      </c>
      <c r="DU35" s="97">
        <v>0</v>
      </c>
      <c r="DV35" s="97">
        <v>0</v>
      </c>
      <c r="DW35" s="97">
        <v>0</v>
      </c>
      <c r="DX35" s="97">
        <v>0</v>
      </c>
      <c r="DY35" s="97">
        <v>0</v>
      </c>
      <c r="DZ35" s="97">
        <v>0</v>
      </c>
      <c r="EA35" s="97">
        <v>0</v>
      </c>
      <c r="EB35" s="97">
        <v>0</v>
      </c>
      <c r="EC35" s="97">
        <v>0</v>
      </c>
      <c r="ED35" s="97">
        <v>0</v>
      </c>
      <c r="EE35" s="77">
        <f t="shared" si="124"/>
        <v>0</v>
      </c>
      <c r="EF35" s="77" t="s">
        <v>265</v>
      </c>
      <c r="EG35" s="78">
        <f t="shared" si="8"/>
        <v>0</v>
      </c>
      <c r="EH35" s="97">
        <v>0</v>
      </c>
      <c r="EI35" s="97">
        <v>0</v>
      </c>
      <c r="EJ35" s="97">
        <v>0.5</v>
      </c>
      <c r="EK35" s="97">
        <v>0</v>
      </c>
      <c r="EL35" s="97">
        <v>0</v>
      </c>
      <c r="EM35" s="97">
        <v>0</v>
      </c>
      <c r="EN35" s="97">
        <v>0</v>
      </c>
      <c r="EO35" s="97">
        <v>0</v>
      </c>
      <c r="EP35" s="97">
        <v>0</v>
      </c>
      <c r="EQ35" s="97">
        <v>0</v>
      </c>
      <c r="ER35" s="97">
        <v>0</v>
      </c>
      <c r="ES35" s="97">
        <v>0</v>
      </c>
      <c r="ET35" s="97">
        <v>1</v>
      </c>
      <c r="EU35" s="97">
        <v>0</v>
      </c>
      <c r="EV35" s="97">
        <v>0</v>
      </c>
      <c r="EW35" s="97">
        <v>0</v>
      </c>
      <c r="EX35" s="97">
        <v>0</v>
      </c>
      <c r="EY35" s="97">
        <v>0</v>
      </c>
      <c r="EZ35" s="97">
        <v>0</v>
      </c>
      <c r="FA35" s="97">
        <v>0</v>
      </c>
      <c r="FB35" s="97">
        <v>0</v>
      </c>
      <c r="FC35" s="97">
        <v>0</v>
      </c>
      <c r="FD35" s="79">
        <f t="shared" si="9"/>
        <v>1.5</v>
      </c>
      <c r="FE35" s="80">
        <v>1</v>
      </c>
      <c r="FF35" s="97">
        <v>1</v>
      </c>
      <c r="FG35" s="97">
        <v>1</v>
      </c>
      <c r="FH35" s="97">
        <v>1</v>
      </c>
      <c r="FI35" s="97">
        <v>1</v>
      </c>
      <c r="FJ35" s="97">
        <v>1</v>
      </c>
      <c r="FK35" s="97">
        <v>1</v>
      </c>
      <c r="FL35" s="97">
        <v>1</v>
      </c>
      <c r="FM35" s="97">
        <v>1</v>
      </c>
      <c r="FN35" s="81">
        <f t="shared" si="10"/>
        <v>8</v>
      </c>
      <c r="FO35" s="82">
        <v>1</v>
      </c>
      <c r="FP35" s="97">
        <v>10</v>
      </c>
      <c r="FQ35" s="97">
        <v>5</v>
      </c>
      <c r="FR35" s="97">
        <v>10</v>
      </c>
      <c r="FS35" s="97">
        <v>5</v>
      </c>
      <c r="FT35" s="97">
        <v>10</v>
      </c>
      <c r="FU35" s="97">
        <v>10</v>
      </c>
      <c r="FV35" s="97">
        <v>10</v>
      </c>
      <c r="FW35" s="97">
        <v>15</v>
      </c>
      <c r="FX35" s="97">
        <v>15</v>
      </c>
      <c r="FY35" s="97">
        <v>10</v>
      </c>
      <c r="FZ35" s="83">
        <f t="shared" si="11"/>
        <v>100</v>
      </c>
      <c r="GA35" s="84">
        <v>1</v>
      </c>
      <c r="GB35" s="55">
        <v>0</v>
      </c>
      <c r="GC35" s="85">
        <v>0</v>
      </c>
      <c r="GD35" s="85">
        <v>0</v>
      </c>
      <c r="GE35" s="85">
        <v>0</v>
      </c>
      <c r="GF35" s="85">
        <v>0</v>
      </c>
      <c r="GG35" s="85">
        <v>0</v>
      </c>
      <c r="GH35" s="85">
        <v>0</v>
      </c>
      <c r="GI35" s="55">
        <v>0</v>
      </c>
      <c r="GJ35" s="55">
        <v>0</v>
      </c>
      <c r="GK35" s="55">
        <v>1</v>
      </c>
      <c r="GL35" s="55">
        <v>0</v>
      </c>
      <c r="GM35" s="55">
        <v>1</v>
      </c>
      <c r="GN35" s="55">
        <v>0</v>
      </c>
      <c r="GO35" s="55">
        <v>0</v>
      </c>
      <c r="GP35" s="55">
        <v>0</v>
      </c>
      <c r="GQ35" s="55">
        <v>0</v>
      </c>
      <c r="GR35" s="55">
        <v>0</v>
      </c>
      <c r="GS35" s="55">
        <v>2</v>
      </c>
      <c r="GT35" s="55">
        <v>1</v>
      </c>
      <c r="GU35" s="86">
        <f t="shared" si="12"/>
        <v>5</v>
      </c>
      <c r="GV35" s="87" t="s">
        <v>266</v>
      </c>
      <c r="GW35" s="87">
        <v>0</v>
      </c>
      <c r="GX35" s="88" t="s">
        <v>267</v>
      </c>
      <c r="GY35" s="55">
        <v>5</v>
      </c>
      <c r="GZ35" s="55">
        <v>5</v>
      </c>
      <c r="HA35" s="55">
        <v>3</v>
      </c>
      <c r="HB35" s="55">
        <v>1</v>
      </c>
      <c r="HC35" s="55">
        <v>5</v>
      </c>
      <c r="HD35" s="55">
        <v>5</v>
      </c>
      <c r="HE35" s="55"/>
      <c r="HF35" s="55"/>
      <c r="HG35" s="55">
        <v>3</v>
      </c>
      <c r="HH35" s="55">
        <v>7</v>
      </c>
      <c r="HI35" s="55">
        <v>7</v>
      </c>
      <c r="HJ35" s="55"/>
      <c r="HK35" s="55">
        <v>3</v>
      </c>
      <c r="HL35" s="55">
        <v>7</v>
      </c>
      <c r="HM35" s="55">
        <v>7</v>
      </c>
      <c r="HN35" s="55">
        <v>1</v>
      </c>
      <c r="HO35" s="55">
        <v>3</v>
      </c>
      <c r="HP35" s="55">
        <v>1</v>
      </c>
      <c r="HQ35" s="55">
        <v>2</v>
      </c>
      <c r="HR35" s="55">
        <v>1</v>
      </c>
      <c r="HS35" s="55">
        <v>1</v>
      </c>
      <c r="HT35" s="55">
        <v>2</v>
      </c>
      <c r="HU35" s="55">
        <v>4</v>
      </c>
      <c r="HV35" s="55">
        <v>1</v>
      </c>
      <c r="HW35" s="55">
        <v>1</v>
      </c>
      <c r="HX35" s="55">
        <v>2</v>
      </c>
      <c r="HY35" s="55">
        <v>5</v>
      </c>
      <c r="HZ35" s="55">
        <v>4</v>
      </c>
      <c r="IA35" s="55">
        <v>4</v>
      </c>
      <c r="IB35" s="55">
        <v>7</v>
      </c>
      <c r="IC35" s="55"/>
      <c r="ID35" s="55">
        <f t="shared" ref="ID35:IG35" si="128">SUM(GY35)</f>
        <v>5</v>
      </c>
      <c r="IE35" s="55">
        <f t="shared" si="128"/>
        <v>5</v>
      </c>
      <c r="IF35" s="55">
        <f t="shared" si="128"/>
        <v>3</v>
      </c>
      <c r="IG35" s="55">
        <f t="shared" si="128"/>
        <v>1</v>
      </c>
      <c r="IH35" s="55">
        <f t="shared" si="14"/>
        <v>10</v>
      </c>
      <c r="II35" s="55">
        <f t="shared" si="15"/>
        <v>3</v>
      </c>
      <c r="IJ35" s="55">
        <f t="shared" si="16"/>
        <v>14</v>
      </c>
      <c r="IK35" s="55">
        <f t="shared" ref="IK35:IQ35" si="129">SUM(HK35)</f>
        <v>3</v>
      </c>
      <c r="IL35" s="55">
        <f t="shared" si="129"/>
        <v>7</v>
      </c>
      <c r="IM35" s="55">
        <f t="shared" si="129"/>
        <v>7</v>
      </c>
      <c r="IN35" s="55">
        <f t="shared" si="129"/>
        <v>1</v>
      </c>
      <c r="IO35" s="55">
        <f t="shared" si="129"/>
        <v>3</v>
      </c>
      <c r="IP35" s="55">
        <f t="shared" si="129"/>
        <v>1</v>
      </c>
      <c r="IQ35" s="55">
        <f t="shared" si="129"/>
        <v>2</v>
      </c>
      <c r="IR35" s="55">
        <f t="shared" si="18"/>
        <v>2</v>
      </c>
      <c r="IS35" s="55">
        <f t="shared" ref="IS35:JB35" si="130">SUM(HT35)</f>
        <v>2</v>
      </c>
      <c r="IT35" s="55">
        <f t="shared" si="130"/>
        <v>4</v>
      </c>
      <c r="IU35" s="55">
        <f t="shared" si="130"/>
        <v>1</v>
      </c>
      <c r="IV35" s="55">
        <f t="shared" si="130"/>
        <v>1</v>
      </c>
      <c r="IW35" s="55">
        <f t="shared" si="130"/>
        <v>2</v>
      </c>
      <c r="IX35" s="55">
        <f t="shared" si="130"/>
        <v>5</v>
      </c>
      <c r="IY35" s="55">
        <f t="shared" si="130"/>
        <v>4</v>
      </c>
      <c r="IZ35" s="55">
        <f t="shared" si="130"/>
        <v>4</v>
      </c>
      <c r="JA35" s="55">
        <f t="shared" si="130"/>
        <v>7</v>
      </c>
      <c r="JB35" s="55">
        <f t="shared" si="130"/>
        <v>0</v>
      </c>
      <c r="JC35" s="89">
        <f t="shared" si="20"/>
        <v>96</v>
      </c>
      <c r="JD35" s="90">
        <v>1</v>
      </c>
      <c r="JE35" s="90">
        <v>1</v>
      </c>
      <c r="JF35" s="91">
        <v>67</v>
      </c>
      <c r="JG35" s="91">
        <v>2</v>
      </c>
      <c r="JH35" s="97">
        <v>2</v>
      </c>
      <c r="JI35" s="97">
        <v>2</v>
      </c>
      <c r="JJ35" s="97">
        <v>2</v>
      </c>
      <c r="JK35" s="97">
        <v>1</v>
      </c>
      <c r="JL35" s="97">
        <v>0</v>
      </c>
      <c r="JM35" s="97">
        <v>2</v>
      </c>
      <c r="JN35" s="97">
        <v>0</v>
      </c>
      <c r="JO35" s="97">
        <v>0</v>
      </c>
      <c r="JP35" s="89">
        <f t="shared" si="21"/>
        <v>9</v>
      </c>
      <c r="JQ35" s="97">
        <v>2</v>
      </c>
      <c r="JR35" s="97">
        <v>2</v>
      </c>
      <c r="JS35" s="97">
        <v>2</v>
      </c>
      <c r="JT35" s="97">
        <v>2</v>
      </c>
      <c r="JU35" s="97">
        <v>1</v>
      </c>
      <c r="JV35" s="97">
        <v>0</v>
      </c>
      <c r="JW35" s="97">
        <v>0</v>
      </c>
      <c r="JX35" s="92">
        <f t="shared" si="22"/>
        <v>9</v>
      </c>
      <c r="JY35" s="93">
        <f t="shared" si="23"/>
        <v>18</v>
      </c>
      <c r="JZ35" s="97">
        <v>3</v>
      </c>
      <c r="KA35" s="97">
        <v>3</v>
      </c>
      <c r="KB35" s="97">
        <v>3</v>
      </c>
      <c r="KC35" s="97">
        <v>2</v>
      </c>
      <c r="KD35" s="97">
        <v>0</v>
      </c>
      <c r="KE35" s="97">
        <v>0</v>
      </c>
      <c r="KF35" s="97">
        <v>0</v>
      </c>
      <c r="KG35" s="94">
        <f t="shared" si="24"/>
        <v>11</v>
      </c>
      <c r="KH35" s="95" t="s">
        <v>441</v>
      </c>
      <c r="KI35" s="55">
        <v>0</v>
      </c>
      <c r="KJ35" s="55">
        <v>2</v>
      </c>
      <c r="KK35" s="55">
        <v>1</v>
      </c>
      <c r="KL35" s="95" t="s">
        <v>442</v>
      </c>
      <c r="KM35" s="55">
        <v>0</v>
      </c>
      <c r="KN35" s="55">
        <v>2</v>
      </c>
      <c r="KO35" s="55">
        <v>0</v>
      </c>
      <c r="KP35" s="108">
        <v>45842</v>
      </c>
      <c r="KQ35" s="55">
        <v>0</v>
      </c>
      <c r="KR35" s="55">
        <v>2</v>
      </c>
      <c r="KS35" s="55">
        <v>0</v>
      </c>
      <c r="KT35" s="108">
        <v>45661</v>
      </c>
      <c r="KU35" s="55">
        <v>0</v>
      </c>
      <c r="KV35" s="55">
        <v>2</v>
      </c>
      <c r="KW35" s="55">
        <v>1</v>
      </c>
      <c r="KX35" s="95" t="s">
        <v>443</v>
      </c>
      <c r="KY35" s="55">
        <v>0</v>
      </c>
      <c r="KZ35" s="55">
        <v>2</v>
      </c>
      <c r="LA35" s="55">
        <v>2</v>
      </c>
      <c r="LB35" s="108">
        <v>45719</v>
      </c>
      <c r="LC35" s="55">
        <v>0</v>
      </c>
      <c r="LD35" s="55">
        <v>2</v>
      </c>
      <c r="LE35" s="55">
        <v>3</v>
      </c>
      <c r="LF35" s="95" t="s">
        <v>444</v>
      </c>
      <c r="LG35" s="55">
        <v>0</v>
      </c>
      <c r="LH35" s="55">
        <v>2</v>
      </c>
      <c r="LI35" s="55">
        <v>3</v>
      </c>
      <c r="LJ35" s="108">
        <v>45757</v>
      </c>
      <c r="LK35" s="55">
        <v>0</v>
      </c>
      <c r="LL35" s="55">
        <v>2</v>
      </c>
      <c r="LM35" s="55">
        <v>3</v>
      </c>
      <c r="LN35" s="96">
        <f t="shared" si="25"/>
        <v>29</v>
      </c>
      <c r="LO35" s="97">
        <f t="shared" si="26"/>
        <v>13</v>
      </c>
      <c r="LP35" s="97">
        <f t="shared" si="27"/>
        <v>58</v>
      </c>
    </row>
    <row r="36" spans="1:328" s="98" customFormat="1" ht="13.8">
      <c r="A36" s="55" t="s">
        <v>629</v>
      </c>
      <c r="B36" s="110">
        <v>45953</v>
      </c>
      <c r="C36" s="61">
        <v>15</v>
      </c>
      <c r="D36" s="62"/>
      <c r="E36" s="62" t="s">
        <v>764</v>
      </c>
      <c r="F36" s="61">
        <v>1</v>
      </c>
      <c r="G36" s="61">
        <v>1</v>
      </c>
      <c r="H36" s="61">
        <v>1</v>
      </c>
      <c r="I36" s="164">
        <v>4</v>
      </c>
      <c r="J36" s="164">
        <v>2</v>
      </c>
      <c r="K36" s="63">
        <v>0.13750000000000001</v>
      </c>
      <c r="L36" s="63">
        <v>0.05</v>
      </c>
      <c r="M36" s="63">
        <v>2.4305555555555556E-2</v>
      </c>
      <c r="N36" s="64" t="s">
        <v>1041</v>
      </c>
      <c r="O36" s="101" t="s">
        <v>1010</v>
      </c>
      <c r="P36" s="95" t="s">
        <v>630</v>
      </c>
      <c r="Q36" s="95">
        <v>1</v>
      </c>
      <c r="R36" s="125">
        <v>18611</v>
      </c>
      <c r="S36" s="95">
        <v>74</v>
      </c>
      <c r="T36" s="95" t="s">
        <v>259</v>
      </c>
      <c r="U36" s="95" t="s">
        <v>287</v>
      </c>
      <c r="V36" s="130" t="s">
        <v>631</v>
      </c>
      <c r="W36" s="95" t="s">
        <v>624</v>
      </c>
      <c r="X36" s="95" t="s">
        <v>596</v>
      </c>
      <c r="Y36" s="95" t="s">
        <v>311</v>
      </c>
      <c r="Z36" s="95" t="s">
        <v>262</v>
      </c>
      <c r="AA36" s="95" t="s">
        <v>445</v>
      </c>
      <c r="AB36" s="95" t="s">
        <v>264</v>
      </c>
      <c r="AC36" s="95" t="s">
        <v>597</v>
      </c>
      <c r="AD36" s="95" t="s">
        <v>597</v>
      </c>
      <c r="AE36" s="95" t="s">
        <v>602</v>
      </c>
      <c r="AF36" s="95" t="s">
        <v>597</v>
      </c>
      <c r="AG36" s="95" t="s">
        <v>602</v>
      </c>
      <c r="AH36" s="95" t="s">
        <v>597</v>
      </c>
      <c r="AI36" s="95" t="s">
        <v>597</v>
      </c>
      <c r="AJ36" s="125"/>
      <c r="AK36" s="97"/>
      <c r="AL36" s="115">
        <v>1</v>
      </c>
      <c r="AM36" s="115">
        <v>1</v>
      </c>
      <c r="AN36" s="115">
        <v>1</v>
      </c>
      <c r="AO36" s="115">
        <v>1</v>
      </c>
      <c r="AP36" s="115">
        <v>1</v>
      </c>
      <c r="AQ36" s="115">
        <v>1</v>
      </c>
      <c r="AR36" s="115">
        <v>1</v>
      </c>
      <c r="AS36" s="115">
        <v>1</v>
      </c>
      <c r="AT36" s="70">
        <f t="shared" si="0"/>
        <v>8</v>
      </c>
      <c r="AU36" s="71">
        <v>1</v>
      </c>
      <c r="AV36" s="71">
        <v>1</v>
      </c>
      <c r="AW36" s="71">
        <v>1</v>
      </c>
      <c r="AX36" s="71">
        <v>1</v>
      </c>
      <c r="AY36" s="70">
        <f t="shared" si="1"/>
        <v>4</v>
      </c>
      <c r="AZ36" s="115">
        <v>0</v>
      </c>
      <c r="BA36" s="115">
        <v>0</v>
      </c>
      <c r="BB36" s="115">
        <v>0</v>
      </c>
      <c r="BC36" s="115">
        <v>0</v>
      </c>
      <c r="BD36" s="115">
        <v>0</v>
      </c>
      <c r="BE36" s="115">
        <v>1</v>
      </c>
      <c r="BF36" s="115">
        <v>0</v>
      </c>
      <c r="BG36" s="115">
        <v>0</v>
      </c>
      <c r="BH36" s="70">
        <f t="shared" si="2"/>
        <v>1</v>
      </c>
      <c r="BI36" s="69">
        <v>0</v>
      </c>
      <c r="BJ36" s="69">
        <v>0</v>
      </c>
      <c r="BK36" s="70">
        <f t="shared" si="3"/>
        <v>0</v>
      </c>
      <c r="BL36" s="92">
        <v>1</v>
      </c>
      <c r="BM36" s="72">
        <v>0</v>
      </c>
      <c r="BN36" s="72">
        <v>0</v>
      </c>
      <c r="BO36" s="72">
        <v>0</v>
      </c>
      <c r="BP36" s="92">
        <v>1</v>
      </c>
      <c r="BQ36" s="72">
        <v>0</v>
      </c>
      <c r="BR36" s="72">
        <v>0</v>
      </c>
      <c r="BS36" s="72">
        <v>0</v>
      </c>
      <c r="BT36" s="70">
        <f t="shared" si="4"/>
        <v>1</v>
      </c>
      <c r="BU36" s="70">
        <f t="shared" si="5"/>
        <v>14</v>
      </c>
      <c r="BV36" s="73">
        <v>5</v>
      </c>
      <c r="BW36" s="73">
        <v>5</v>
      </c>
      <c r="BX36" s="73">
        <v>5</v>
      </c>
      <c r="BY36" s="73">
        <v>1</v>
      </c>
      <c r="BZ36" s="105">
        <v>5</v>
      </c>
      <c r="CA36" s="73">
        <v>3</v>
      </c>
      <c r="CB36" s="105">
        <v>5</v>
      </c>
      <c r="CC36" s="73">
        <v>5</v>
      </c>
      <c r="CD36" s="73">
        <v>2</v>
      </c>
      <c r="CE36" s="73">
        <v>3</v>
      </c>
      <c r="CF36" s="73">
        <v>3</v>
      </c>
      <c r="CG36" s="73">
        <v>5</v>
      </c>
      <c r="CH36" s="74">
        <v>5</v>
      </c>
      <c r="CI36" s="73">
        <v>5</v>
      </c>
      <c r="CJ36" s="73">
        <v>3</v>
      </c>
      <c r="CK36" s="75">
        <f t="shared" si="96"/>
        <v>60</v>
      </c>
      <c r="CL36" s="76">
        <v>5</v>
      </c>
      <c r="CM36" s="76">
        <v>1</v>
      </c>
      <c r="CN36" s="76">
        <v>5</v>
      </c>
      <c r="CO36" s="76">
        <v>5</v>
      </c>
      <c r="CP36" s="76">
        <v>5</v>
      </c>
      <c r="CQ36" s="106">
        <v>5</v>
      </c>
      <c r="CR36" s="76">
        <v>1</v>
      </c>
      <c r="CS36" s="76">
        <v>5</v>
      </c>
      <c r="CT36" s="76">
        <v>5</v>
      </c>
      <c r="CU36" s="76">
        <v>5</v>
      </c>
      <c r="CV36" s="76">
        <v>5</v>
      </c>
      <c r="CW36" s="76">
        <v>1</v>
      </c>
      <c r="CX36" s="76">
        <v>1</v>
      </c>
      <c r="CY36" s="76">
        <v>4</v>
      </c>
      <c r="CZ36" s="76">
        <v>5</v>
      </c>
      <c r="DA36" s="76">
        <v>5</v>
      </c>
      <c r="DB36" s="76">
        <v>5</v>
      </c>
      <c r="DC36" s="76">
        <v>4</v>
      </c>
      <c r="DD36" s="76">
        <v>5</v>
      </c>
      <c r="DE36" s="76">
        <v>5</v>
      </c>
      <c r="DF36" s="76">
        <v>5</v>
      </c>
      <c r="DG36" s="76">
        <v>5</v>
      </c>
      <c r="DH36" s="76">
        <v>5</v>
      </c>
      <c r="DI36" s="76">
        <v>5</v>
      </c>
      <c r="DJ36" s="76">
        <v>1</v>
      </c>
      <c r="DK36" s="76">
        <v>5</v>
      </c>
      <c r="DL36" s="76">
        <v>3</v>
      </c>
      <c r="DM36" s="76">
        <v>1</v>
      </c>
      <c r="DN36" s="76">
        <f t="shared" si="7"/>
        <v>112</v>
      </c>
      <c r="DO36" s="118">
        <v>26</v>
      </c>
      <c r="DP36" s="97">
        <v>0</v>
      </c>
      <c r="DQ36" s="97">
        <v>0</v>
      </c>
      <c r="DR36" s="97">
        <v>1</v>
      </c>
      <c r="DS36" s="97">
        <v>0</v>
      </c>
      <c r="DT36" s="97">
        <v>0</v>
      </c>
      <c r="DU36" s="97">
        <v>0</v>
      </c>
      <c r="DV36" s="97">
        <v>0</v>
      </c>
      <c r="DW36" s="97">
        <v>1</v>
      </c>
      <c r="DX36" s="97">
        <v>1</v>
      </c>
      <c r="DY36" s="97">
        <v>0</v>
      </c>
      <c r="DZ36" s="97">
        <v>0</v>
      </c>
      <c r="EA36" s="97">
        <v>0</v>
      </c>
      <c r="EB36" s="97">
        <v>0</v>
      </c>
      <c r="EC36" s="97">
        <v>0</v>
      </c>
      <c r="ED36" s="97">
        <v>1</v>
      </c>
      <c r="EE36" s="77">
        <f t="shared" si="124"/>
        <v>4</v>
      </c>
      <c r="EF36" s="77" t="s">
        <v>265</v>
      </c>
      <c r="EG36" s="78">
        <f t="shared" si="8"/>
        <v>4</v>
      </c>
      <c r="EH36" s="97">
        <v>0</v>
      </c>
      <c r="EI36" s="97">
        <v>0.5</v>
      </c>
      <c r="EJ36" s="97">
        <v>0</v>
      </c>
      <c r="EK36" s="97">
        <v>0</v>
      </c>
      <c r="EL36" s="97">
        <v>0</v>
      </c>
      <c r="EM36" s="97">
        <v>0</v>
      </c>
      <c r="EN36" s="97">
        <v>0</v>
      </c>
      <c r="EO36" s="97">
        <v>1</v>
      </c>
      <c r="EP36" s="97">
        <v>0</v>
      </c>
      <c r="EQ36" s="97">
        <v>0</v>
      </c>
      <c r="ER36" s="97">
        <v>0</v>
      </c>
      <c r="ES36" s="97">
        <v>1</v>
      </c>
      <c r="ET36" s="97">
        <v>0</v>
      </c>
      <c r="EU36" s="97">
        <v>0</v>
      </c>
      <c r="EV36" s="97">
        <v>1</v>
      </c>
      <c r="EW36" s="97">
        <v>0</v>
      </c>
      <c r="EX36" s="97">
        <v>0</v>
      </c>
      <c r="EY36" s="97">
        <v>0</v>
      </c>
      <c r="EZ36" s="97">
        <v>0</v>
      </c>
      <c r="FA36" s="97">
        <v>0</v>
      </c>
      <c r="FB36" s="97">
        <v>0</v>
      </c>
      <c r="FC36" s="97">
        <v>1</v>
      </c>
      <c r="FD36" s="79">
        <f t="shared" si="9"/>
        <v>4.5</v>
      </c>
      <c r="FE36" s="79">
        <v>2</v>
      </c>
      <c r="FF36" s="97">
        <v>1</v>
      </c>
      <c r="FG36" s="97">
        <v>1</v>
      </c>
      <c r="FH36" s="97">
        <v>1</v>
      </c>
      <c r="FI36" s="97">
        <v>1</v>
      </c>
      <c r="FJ36" s="97">
        <v>1</v>
      </c>
      <c r="FK36" s="97">
        <v>1</v>
      </c>
      <c r="FL36" s="97">
        <v>1</v>
      </c>
      <c r="FM36" s="97">
        <v>1</v>
      </c>
      <c r="FN36" s="81">
        <f t="shared" si="10"/>
        <v>8</v>
      </c>
      <c r="FO36" s="82">
        <v>1</v>
      </c>
      <c r="FP36" s="97">
        <v>10</v>
      </c>
      <c r="FQ36" s="97">
        <v>5</v>
      </c>
      <c r="FR36" s="97">
        <v>10</v>
      </c>
      <c r="FS36" s="97">
        <v>5</v>
      </c>
      <c r="FT36" s="97">
        <v>10</v>
      </c>
      <c r="FU36" s="97">
        <v>10</v>
      </c>
      <c r="FV36" s="97">
        <v>10</v>
      </c>
      <c r="FW36" s="97">
        <v>15</v>
      </c>
      <c r="FX36" s="97">
        <v>15</v>
      </c>
      <c r="FY36" s="97">
        <v>10</v>
      </c>
      <c r="FZ36" s="83">
        <f t="shared" si="11"/>
        <v>100</v>
      </c>
      <c r="GA36" s="84">
        <v>1</v>
      </c>
      <c r="GB36" s="55">
        <v>1</v>
      </c>
      <c r="GC36" s="85">
        <v>1</v>
      </c>
      <c r="GD36" s="85">
        <v>0</v>
      </c>
      <c r="GE36" s="85">
        <v>1</v>
      </c>
      <c r="GF36" s="85">
        <v>0</v>
      </c>
      <c r="GG36" s="85">
        <v>0</v>
      </c>
      <c r="GH36" s="85">
        <v>0</v>
      </c>
      <c r="GI36" s="97">
        <v>0</v>
      </c>
      <c r="GJ36" s="97">
        <v>0</v>
      </c>
      <c r="GK36" s="97">
        <v>0</v>
      </c>
      <c r="GL36" s="97">
        <v>0</v>
      </c>
      <c r="GM36" s="97">
        <v>1</v>
      </c>
      <c r="GN36" s="97">
        <v>0</v>
      </c>
      <c r="GO36" s="97">
        <v>0</v>
      </c>
      <c r="GP36" s="97">
        <v>0</v>
      </c>
      <c r="GQ36" s="97">
        <v>0</v>
      </c>
      <c r="GR36" s="97">
        <v>0</v>
      </c>
      <c r="GS36" s="97">
        <v>2</v>
      </c>
      <c r="GT36" s="97">
        <v>1</v>
      </c>
      <c r="GU36" s="86">
        <f t="shared" si="12"/>
        <v>4</v>
      </c>
      <c r="GV36" s="128" t="s">
        <v>266</v>
      </c>
      <c r="GW36" s="87">
        <v>0</v>
      </c>
      <c r="GX36" s="88" t="s">
        <v>267</v>
      </c>
      <c r="GY36" s="97">
        <v>4</v>
      </c>
      <c r="GZ36" s="97">
        <v>5</v>
      </c>
      <c r="HA36" s="97">
        <v>3</v>
      </c>
      <c r="HB36" s="97">
        <v>3</v>
      </c>
      <c r="HC36" s="97">
        <v>4</v>
      </c>
      <c r="HD36" s="97">
        <v>1</v>
      </c>
      <c r="HE36" s="97"/>
      <c r="HF36" s="97"/>
      <c r="HG36" s="97">
        <v>0</v>
      </c>
      <c r="HH36" s="97">
        <v>7</v>
      </c>
      <c r="HI36" s="97">
        <v>7</v>
      </c>
      <c r="HJ36" s="97"/>
      <c r="HK36" s="97">
        <v>3</v>
      </c>
      <c r="HL36" s="55">
        <v>4</v>
      </c>
      <c r="HM36" s="55">
        <v>3</v>
      </c>
      <c r="HN36" s="97">
        <v>1</v>
      </c>
      <c r="HO36" s="97">
        <v>3</v>
      </c>
      <c r="HP36" s="97">
        <v>1</v>
      </c>
      <c r="HQ36" s="97">
        <v>1</v>
      </c>
      <c r="HR36" s="97">
        <v>1</v>
      </c>
      <c r="HS36" s="97">
        <v>1</v>
      </c>
      <c r="HT36" s="97">
        <v>2</v>
      </c>
      <c r="HU36" s="97">
        <v>4</v>
      </c>
      <c r="HV36" s="97">
        <v>1</v>
      </c>
      <c r="HW36" s="97">
        <v>1</v>
      </c>
      <c r="HX36" s="97">
        <v>0</v>
      </c>
      <c r="HY36" s="97">
        <v>3</v>
      </c>
      <c r="HZ36" s="97">
        <v>4</v>
      </c>
      <c r="IA36" s="97">
        <v>4</v>
      </c>
      <c r="IB36" s="97">
        <v>7</v>
      </c>
      <c r="IC36" s="55"/>
      <c r="ID36" s="55">
        <f t="shared" ref="ID36:IG36" si="131">SUM(GY36)</f>
        <v>4</v>
      </c>
      <c r="IE36" s="55">
        <f t="shared" si="131"/>
        <v>5</v>
      </c>
      <c r="IF36" s="55">
        <f t="shared" si="131"/>
        <v>3</v>
      </c>
      <c r="IG36" s="55">
        <f t="shared" si="131"/>
        <v>3</v>
      </c>
      <c r="IH36" s="55">
        <f t="shared" si="14"/>
        <v>5</v>
      </c>
      <c r="II36" s="55">
        <f t="shared" si="15"/>
        <v>0</v>
      </c>
      <c r="IJ36" s="55">
        <f t="shared" si="16"/>
        <v>14</v>
      </c>
      <c r="IK36" s="55">
        <f t="shared" ref="IK36:IQ36" si="132">SUM(HK36)</f>
        <v>3</v>
      </c>
      <c r="IL36" s="55">
        <f t="shared" si="132"/>
        <v>4</v>
      </c>
      <c r="IM36" s="55">
        <f t="shared" si="132"/>
        <v>3</v>
      </c>
      <c r="IN36" s="55">
        <f t="shared" si="132"/>
        <v>1</v>
      </c>
      <c r="IO36" s="55">
        <f t="shared" si="132"/>
        <v>3</v>
      </c>
      <c r="IP36" s="55">
        <f t="shared" si="132"/>
        <v>1</v>
      </c>
      <c r="IQ36" s="55">
        <f t="shared" si="132"/>
        <v>1</v>
      </c>
      <c r="IR36" s="55">
        <f t="shared" si="18"/>
        <v>2</v>
      </c>
      <c r="IS36" s="55">
        <f t="shared" ref="IS36:JB36" si="133">SUM(HT36)</f>
        <v>2</v>
      </c>
      <c r="IT36" s="55">
        <f t="shared" si="133"/>
        <v>4</v>
      </c>
      <c r="IU36" s="55">
        <f t="shared" si="133"/>
        <v>1</v>
      </c>
      <c r="IV36" s="55">
        <f t="shared" si="133"/>
        <v>1</v>
      </c>
      <c r="IW36" s="55">
        <f t="shared" si="133"/>
        <v>0</v>
      </c>
      <c r="IX36" s="55">
        <f t="shared" si="133"/>
        <v>3</v>
      </c>
      <c r="IY36" s="55">
        <f t="shared" si="133"/>
        <v>4</v>
      </c>
      <c r="IZ36" s="55">
        <f t="shared" si="133"/>
        <v>4</v>
      </c>
      <c r="JA36" s="55">
        <f t="shared" si="133"/>
        <v>7</v>
      </c>
      <c r="JB36" s="55">
        <f t="shared" si="133"/>
        <v>0</v>
      </c>
      <c r="JC36" s="89">
        <f t="shared" si="20"/>
        <v>75</v>
      </c>
      <c r="JD36" s="90">
        <v>1</v>
      </c>
      <c r="JE36" s="89">
        <v>1</v>
      </c>
      <c r="JF36" s="121">
        <v>8</v>
      </c>
      <c r="JG36" s="91">
        <v>2</v>
      </c>
      <c r="JH36" s="97">
        <v>2</v>
      </c>
      <c r="JI36" s="97">
        <v>2</v>
      </c>
      <c r="JJ36" s="97">
        <v>1</v>
      </c>
      <c r="JK36" s="97">
        <v>2</v>
      </c>
      <c r="JL36" s="97">
        <v>1</v>
      </c>
      <c r="JM36" s="97">
        <v>0</v>
      </c>
      <c r="JN36" s="97">
        <v>0</v>
      </c>
      <c r="JO36" s="97">
        <v>0</v>
      </c>
      <c r="JP36" s="89">
        <f t="shared" si="21"/>
        <v>8</v>
      </c>
      <c r="JQ36" s="97">
        <v>2</v>
      </c>
      <c r="JR36" s="97">
        <v>2</v>
      </c>
      <c r="JS36" s="97">
        <v>0</v>
      </c>
      <c r="JT36" s="97">
        <v>2</v>
      </c>
      <c r="JU36" s="97">
        <v>1</v>
      </c>
      <c r="JV36" s="97">
        <v>0</v>
      </c>
      <c r="JW36" s="97">
        <v>0</v>
      </c>
      <c r="JX36" s="92">
        <f t="shared" si="22"/>
        <v>7</v>
      </c>
      <c r="JY36" s="93">
        <f t="shared" si="23"/>
        <v>15</v>
      </c>
      <c r="JZ36" s="97">
        <v>3</v>
      </c>
      <c r="KA36" s="97">
        <v>2</v>
      </c>
      <c r="KB36" s="97">
        <v>3</v>
      </c>
      <c r="KC36" s="97">
        <v>1</v>
      </c>
      <c r="KD36" s="97">
        <v>0</v>
      </c>
      <c r="KE36" s="97">
        <v>0</v>
      </c>
      <c r="KF36" s="97">
        <v>0</v>
      </c>
      <c r="KG36" s="94">
        <f t="shared" si="24"/>
        <v>9</v>
      </c>
      <c r="KH36" s="95" t="s">
        <v>446</v>
      </c>
      <c r="KI36" s="97">
        <v>0</v>
      </c>
      <c r="KJ36" s="97">
        <v>2</v>
      </c>
      <c r="KK36" s="97">
        <v>0</v>
      </c>
      <c r="KL36" s="95" t="s">
        <v>447</v>
      </c>
      <c r="KM36" s="97">
        <v>0</v>
      </c>
      <c r="KN36" s="97">
        <v>2</v>
      </c>
      <c r="KO36" s="97">
        <v>0</v>
      </c>
      <c r="KP36" s="95" t="s">
        <v>448</v>
      </c>
      <c r="KQ36" s="97">
        <v>0</v>
      </c>
      <c r="KR36" s="97">
        <v>2</v>
      </c>
      <c r="KS36" s="97">
        <v>1</v>
      </c>
      <c r="KT36" s="95" t="s">
        <v>449</v>
      </c>
      <c r="KU36" s="97">
        <v>0</v>
      </c>
      <c r="KV36" s="97">
        <v>2</v>
      </c>
      <c r="KW36" s="97">
        <v>0</v>
      </c>
      <c r="KX36" s="95" t="s">
        <v>450</v>
      </c>
      <c r="KY36" s="97">
        <v>0</v>
      </c>
      <c r="KZ36" s="97">
        <v>2</v>
      </c>
      <c r="LA36" s="97">
        <v>0</v>
      </c>
      <c r="LB36" s="95" t="s">
        <v>451</v>
      </c>
      <c r="LC36" s="97">
        <v>0</v>
      </c>
      <c r="LD36" s="97">
        <v>2</v>
      </c>
      <c r="LE36" s="97">
        <v>1</v>
      </c>
      <c r="LF36" s="95" t="s">
        <v>452</v>
      </c>
      <c r="LG36" s="97">
        <v>2</v>
      </c>
      <c r="LH36" s="97">
        <v>0</v>
      </c>
      <c r="LI36" s="97">
        <v>0</v>
      </c>
      <c r="LJ36" s="95" t="s">
        <v>453</v>
      </c>
      <c r="LK36" s="97">
        <v>0</v>
      </c>
      <c r="LL36" s="97">
        <v>2</v>
      </c>
      <c r="LM36" s="97">
        <v>0</v>
      </c>
      <c r="LN36" s="96">
        <f t="shared" si="25"/>
        <v>16</v>
      </c>
      <c r="LO36" s="97">
        <f t="shared" si="26"/>
        <v>2</v>
      </c>
      <c r="LP36" s="97">
        <f t="shared" si="27"/>
        <v>40</v>
      </c>
    </row>
    <row r="37" spans="1:328" s="98" customFormat="1" ht="13.8">
      <c r="A37" s="55" t="s">
        <v>634</v>
      </c>
      <c r="B37" s="110">
        <v>45967</v>
      </c>
      <c r="C37" s="61">
        <v>37</v>
      </c>
      <c r="D37" s="62"/>
      <c r="E37" s="62" t="s">
        <v>778</v>
      </c>
      <c r="F37" s="61">
        <v>1</v>
      </c>
      <c r="G37" s="61">
        <v>1</v>
      </c>
      <c r="H37" s="61">
        <v>1</v>
      </c>
      <c r="I37" s="164">
        <v>6</v>
      </c>
      <c r="J37" s="164">
        <v>6</v>
      </c>
      <c r="K37" s="63">
        <v>0.14722222222222223</v>
      </c>
      <c r="L37" s="63">
        <v>8.9583333333333334E-2</v>
      </c>
      <c r="M37" s="63">
        <v>8.819444444444445E-2</v>
      </c>
      <c r="N37" s="64" t="s">
        <v>1040</v>
      </c>
      <c r="O37" s="101" t="s">
        <v>1011</v>
      </c>
      <c r="P37" s="95" t="s">
        <v>681</v>
      </c>
      <c r="Q37" s="95">
        <v>1</v>
      </c>
      <c r="R37" s="125">
        <v>17472</v>
      </c>
      <c r="S37" s="95">
        <v>77</v>
      </c>
      <c r="T37" s="95" t="s">
        <v>259</v>
      </c>
      <c r="U37" s="95" t="s">
        <v>287</v>
      </c>
      <c r="V37" s="130" t="s">
        <v>682</v>
      </c>
      <c r="W37" s="95" t="s">
        <v>624</v>
      </c>
      <c r="X37" s="95" t="s">
        <v>596</v>
      </c>
      <c r="Y37" s="95" t="s">
        <v>311</v>
      </c>
      <c r="Z37" s="95" t="s">
        <v>262</v>
      </c>
      <c r="AA37" s="95" t="s">
        <v>454</v>
      </c>
      <c r="AB37" s="95" t="s">
        <v>300</v>
      </c>
      <c r="AC37" s="95" t="s">
        <v>599</v>
      </c>
      <c r="AD37" s="95" t="s">
        <v>597</v>
      </c>
      <c r="AE37" s="95" t="s">
        <v>602</v>
      </c>
      <c r="AF37" s="95" t="s">
        <v>597</v>
      </c>
      <c r="AG37" s="95" t="s">
        <v>602</v>
      </c>
      <c r="AH37" s="95" t="s">
        <v>597</v>
      </c>
      <c r="AI37" s="95" t="s">
        <v>683</v>
      </c>
      <c r="AJ37" s="125">
        <v>45698</v>
      </c>
      <c r="AK37" s="97"/>
      <c r="AL37" s="115">
        <v>1</v>
      </c>
      <c r="AM37" s="115">
        <v>1</v>
      </c>
      <c r="AN37" s="115">
        <v>1</v>
      </c>
      <c r="AO37" s="115">
        <v>1</v>
      </c>
      <c r="AP37" s="115">
        <v>1</v>
      </c>
      <c r="AQ37" s="115">
        <v>1</v>
      </c>
      <c r="AR37" s="115">
        <v>1</v>
      </c>
      <c r="AS37" s="115">
        <v>1</v>
      </c>
      <c r="AT37" s="70">
        <f t="shared" si="0"/>
        <v>8</v>
      </c>
      <c r="AU37" s="71">
        <v>1</v>
      </c>
      <c r="AV37" s="71">
        <v>1</v>
      </c>
      <c r="AW37" s="71">
        <v>1</v>
      </c>
      <c r="AX37" s="71">
        <v>1</v>
      </c>
      <c r="AY37" s="70">
        <f t="shared" si="1"/>
        <v>4</v>
      </c>
      <c r="AZ37" s="115">
        <v>0</v>
      </c>
      <c r="BA37" s="115">
        <v>0</v>
      </c>
      <c r="BB37" s="115">
        <v>0</v>
      </c>
      <c r="BC37" s="115">
        <v>0</v>
      </c>
      <c r="BD37" s="115">
        <v>0</v>
      </c>
      <c r="BE37" s="115">
        <v>1</v>
      </c>
      <c r="BF37" s="115">
        <v>0</v>
      </c>
      <c r="BG37" s="115">
        <v>0</v>
      </c>
      <c r="BH37" s="70">
        <f t="shared" si="2"/>
        <v>1</v>
      </c>
      <c r="BI37" s="69">
        <v>0</v>
      </c>
      <c r="BJ37" s="69">
        <v>0</v>
      </c>
      <c r="BK37" s="70">
        <f t="shared" si="3"/>
        <v>0</v>
      </c>
      <c r="BL37" s="92">
        <v>1</v>
      </c>
      <c r="BM37" s="72">
        <v>0</v>
      </c>
      <c r="BN37" s="72">
        <v>0</v>
      </c>
      <c r="BO37" s="72">
        <v>0</v>
      </c>
      <c r="BP37" s="120">
        <v>1</v>
      </c>
      <c r="BQ37" s="72">
        <v>0</v>
      </c>
      <c r="BR37" s="72">
        <v>0</v>
      </c>
      <c r="BS37" s="72">
        <v>0</v>
      </c>
      <c r="BT37" s="70">
        <f t="shared" si="4"/>
        <v>1</v>
      </c>
      <c r="BU37" s="70">
        <f t="shared" si="5"/>
        <v>14</v>
      </c>
      <c r="BV37" s="73">
        <v>5</v>
      </c>
      <c r="BW37" s="73">
        <v>5</v>
      </c>
      <c r="BX37" s="73">
        <v>5</v>
      </c>
      <c r="BY37" s="73">
        <v>1</v>
      </c>
      <c r="BZ37" s="105">
        <v>5</v>
      </c>
      <c r="CA37" s="73">
        <v>3</v>
      </c>
      <c r="CB37" s="105">
        <v>5</v>
      </c>
      <c r="CC37" s="73">
        <v>5</v>
      </c>
      <c r="CD37" s="73">
        <v>2</v>
      </c>
      <c r="CE37" s="73">
        <v>3</v>
      </c>
      <c r="CF37" s="73">
        <v>3</v>
      </c>
      <c r="CG37" s="73">
        <v>5</v>
      </c>
      <c r="CH37" s="74">
        <v>5</v>
      </c>
      <c r="CI37" s="73">
        <v>5</v>
      </c>
      <c r="CJ37" s="73">
        <v>3</v>
      </c>
      <c r="CK37" s="75">
        <f t="shared" si="96"/>
        <v>60</v>
      </c>
      <c r="CL37" s="76">
        <v>5</v>
      </c>
      <c r="CM37" s="76">
        <v>1</v>
      </c>
      <c r="CN37" s="76">
        <v>5</v>
      </c>
      <c r="CO37" s="76">
        <v>5</v>
      </c>
      <c r="CP37" s="76">
        <v>5</v>
      </c>
      <c r="CQ37" s="106">
        <v>5</v>
      </c>
      <c r="CR37" s="76">
        <v>1</v>
      </c>
      <c r="CS37" s="76">
        <v>5</v>
      </c>
      <c r="CT37" s="76">
        <v>5</v>
      </c>
      <c r="CU37" s="76">
        <v>5</v>
      </c>
      <c r="CV37" s="76">
        <v>5</v>
      </c>
      <c r="CW37" s="76">
        <v>1</v>
      </c>
      <c r="CX37" s="76">
        <v>1</v>
      </c>
      <c r="CY37" s="76">
        <v>4</v>
      </c>
      <c r="CZ37" s="76">
        <v>5</v>
      </c>
      <c r="DA37" s="76">
        <v>5</v>
      </c>
      <c r="DB37" s="76">
        <v>5</v>
      </c>
      <c r="DC37" s="76">
        <v>4</v>
      </c>
      <c r="DD37" s="76">
        <v>5</v>
      </c>
      <c r="DE37" s="76">
        <v>5</v>
      </c>
      <c r="DF37" s="76">
        <v>5</v>
      </c>
      <c r="DG37" s="76">
        <v>5</v>
      </c>
      <c r="DH37" s="76">
        <v>5</v>
      </c>
      <c r="DI37" s="76">
        <v>5</v>
      </c>
      <c r="DJ37" s="76">
        <v>1</v>
      </c>
      <c r="DK37" s="76">
        <v>5</v>
      </c>
      <c r="DL37" s="76">
        <v>3</v>
      </c>
      <c r="DM37" s="76">
        <v>1</v>
      </c>
      <c r="DN37" s="76">
        <f t="shared" si="7"/>
        <v>112</v>
      </c>
      <c r="DO37" s="118">
        <v>27</v>
      </c>
      <c r="DP37" s="97">
        <v>0</v>
      </c>
      <c r="DQ37" s="97">
        <v>0</v>
      </c>
      <c r="DR37" s="97">
        <v>0</v>
      </c>
      <c r="DS37" s="97">
        <v>0</v>
      </c>
      <c r="DT37" s="97">
        <v>0</v>
      </c>
      <c r="DU37" s="97">
        <v>0</v>
      </c>
      <c r="DV37" s="97">
        <v>0</v>
      </c>
      <c r="DW37" s="97">
        <v>0</v>
      </c>
      <c r="DX37" s="97">
        <v>0</v>
      </c>
      <c r="DY37" s="97">
        <v>0</v>
      </c>
      <c r="DZ37" s="97">
        <v>0</v>
      </c>
      <c r="EA37" s="97">
        <v>0</v>
      </c>
      <c r="EB37" s="97">
        <v>0</v>
      </c>
      <c r="EC37" s="97">
        <v>0</v>
      </c>
      <c r="ED37" s="97">
        <v>0</v>
      </c>
      <c r="EE37" s="77">
        <f t="shared" si="124"/>
        <v>0</v>
      </c>
      <c r="EF37" s="77" t="s">
        <v>265</v>
      </c>
      <c r="EG37" s="78">
        <f t="shared" si="8"/>
        <v>0</v>
      </c>
      <c r="EH37" s="97">
        <v>1</v>
      </c>
      <c r="EI37" s="97">
        <v>1</v>
      </c>
      <c r="EJ37" s="97">
        <v>1</v>
      </c>
      <c r="EK37" s="97">
        <v>1</v>
      </c>
      <c r="EL37" s="97">
        <v>1</v>
      </c>
      <c r="EM37" s="97">
        <v>1</v>
      </c>
      <c r="EN37" s="97">
        <v>0.5</v>
      </c>
      <c r="EO37" s="97">
        <v>1</v>
      </c>
      <c r="EP37" s="97">
        <v>0</v>
      </c>
      <c r="EQ37" s="97">
        <v>0</v>
      </c>
      <c r="ER37" s="97">
        <v>1</v>
      </c>
      <c r="ES37" s="97">
        <v>0</v>
      </c>
      <c r="ET37" s="97">
        <v>0</v>
      </c>
      <c r="EU37" s="97">
        <v>0</v>
      </c>
      <c r="EV37" s="97">
        <v>0</v>
      </c>
      <c r="EW37" s="97">
        <v>0</v>
      </c>
      <c r="EX37" s="97">
        <v>0</v>
      </c>
      <c r="EY37" s="97">
        <v>0</v>
      </c>
      <c r="EZ37" s="97">
        <v>0</v>
      </c>
      <c r="FA37" s="97">
        <v>0</v>
      </c>
      <c r="FB37" s="97">
        <v>0</v>
      </c>
      <c r="FC37" s="97">
        <v>0</v>
      </c>
      <c r="FD37" s="79">
        <f t="shared" si="9"/>
        <v>8.5</v>
      </c>
      <c r="FE37" s="79">
        <v>2</v>
      </c>
      <c r="FF37" s="97">
        <v>1</v>
      </c>
      <c r="FG37" s="97">
        <v>1</v>
      </c>
      <c r="FH37" s="97">
        <v>1</v>
      </c>
      <c r="FI37" s="97">
        <v>1</v>
      </c>
      <c r="FJ37" s="97">
        <v>1</v>
      </c>
      <c r="FK37" s="97">
        <v>1</v>
      </c>
      <c r="FL37" s="97">
        <v>1</v>
      </c>
      <c r="FM37" s="97">
        <v>1</v>
      </c>
      <c r="FN37" s="81">
        <f t="shared" si="10"/>
        <v>8</v>
      </c>
      <c r="FO37" s="82">
        <v>1</v>
      </c>
      <c r="FP37" s="97">
        <v>10</v>
      </c>
      <c r="FQ37" s="97">
        <v>5</v>
      </c>
      <c r="FR37" s="97">
        <v>10</v>
      </c>
      <c r="FS37" s="97">
        <v>5</v>
      </c>
      <c r="FT37" s="97">
        <v>10</v>
      </c>
      <c r="FU37" s="97">
        <v>10</v>
      </c>
      <c r="FV37" s="97">
        <v>10</v>
      </c>
      <c r="FW37" s="97">
        <v>15</v>
      </c>
      <c r="FX37" s="97">
        <v>15</v>
      </c>
      <c r="FY37" s="97">
        <v>10</v>
      </c>
      <c r="FZ37" s="83">
        <f t="shared" si="11"/>
        <v>100</v>
      </c>
      <c r="GA37" s="84">
        <v>1</v>
      </c>
      <c r="GB37" s="55">
        <v>0.5</v>
      </c>
      <c r="GC37" s="85">
        <v>0</v>
      </c>
      <c r="GD37" s="85">
        <v>1</v>
      </c>
      <c r="GE37" s="85">
        <v>0</v>
      </c>
      <c r="GF37" s="85">
        <v>0</v>
      </c>
      <c r="GG37" s="85">
        <v>0</v>
      </c>
      <c r="GH37" s="85">
        <v>0</v>
      </c>
      <c r="GI37" s="55">
        <v>0</v>
      </c>
      <c r="GJ37" s="55">
        <v>0</v>
      </c>
      <c r="GK37" s="55">
        <v>0</v>
      </c>
      <c r="GL37" s="55">
        <v>0</v>
      </c>
      <c r="GM37" s="55">
        <v>0</v>
      </c>
      <c r="GN37" s="55">
        <v>0</v>
      </c>
      <c r="GO37" s="55">
        <v>0</v>
      </c>
      <c r="GP37" s="55">
        <v>0</v>
      </c>
      <c r="GQ37" s="55">
        <v>0</v>
      </c>
      <c r="GR37" s="55">
        <v>0</v>
      </c>
      <c r="GS37" s="55">
        <v>0</v>
      </c>
      <c r="GT37" s="55">
        <v>0</v>
      </c>
      <c r="GU37" s="86">
        <f t="shared" si="12"/>
        <v>0</v>
      </c>
      <c r="GV37" s="87" t="s">
        <v>301</v>
      </c>
      <c r="GW37" s="87">
        <v>0</v>
      </c>
      <c r="GX37" s="88" t="s">
        <v>267</v>
      </c>
      <c r="GY37" s="55">
        <v>4</v>
      </c>
      <c r="GZ37" s="55">
        <v>5</v>
      </c>
      <c r="HA37" s="55">
        <v>3</v>
      </c>
      <c r="HB37" s="55">
        <v>1</v>
      </c>
      <c r="HC37" s="55">
        <v>5</v>
      </c>
      <c r="HD37" s="55">
        <v>5</v>
      </c>
      <c r="HE37" s="55"/>
      <c r="HF37" s="55"/>
      <c r="HG37" s="55">
        <v>3</v>
      </c>
      <c r="HH37" s="55">
        <v>2</v>
      </c>
      <c r="HI37" s="55">
        <v>2</v>
      </c>
      <c r="HJ37" s="55"/>
      <c r="HK37" s="55">
        <v>4</v>
      </c>
      <c r="HL37" s="55">
        <v>7</v>
      </c>
      <c r="HM37" s="55">
        <v>7</v>
      </c>
      <c r="HN37" s="55">
        <v>1</v>
      </c>
      <c r="HO37" s="55">
        <v>3</v>
      </c>
      <c r="HP37" s="55">
        <v>1</v>
      </c>
      <c r="HQ37" s="55">
        <v>2</v>
      </c>
      <c r="HR37" s="55">
        <v>1</v>
      </c>
      <c r="HS37" s="55">
        <v>1</v>
      </c>
      <c r="HT37" s="55">
        <v>2</v>
      </c>
      <c r="HU37" s="55">
        <v>4</v>
      </c>
      <c r="HV37" s="55">
        <v>1</v>
      </c>
      <c r="HW37" s="55">
        <v>1</v>
      </c>
      <c r="HX37" s="55">
        <v>2</v>
      </c>
      <c r="HY37" s="55">
        <v>5</v>
      </c>
      <c r="HZ37" s="55">
        <v>4</v>
      </c>
      <c r="IA37" s="55">
        <v>4</v>
      </c>
      <c r="IB37" s="55">
        <v>7</v>
      </c>
      <c r="IC37" s="55"/>
      <c r="ID37" s="55">
        <f t="shared" ref="ID37:IG37" si="134">SUM(GY37)</f>
        <v>4</v>
      </c>
      <c r="IE37" s="55">
        <f t="shared" si="134"/>
        <v>5</v>
      </c>
      <c r="IF37" s="55">
        <f t="shared" si="134"/>
        <v>3</v>
      </c>
      <c r="IG37" s="55">
        <f t="shared" si="134"/>
        <v>1</v>
      </c>
      <c r="IH37" s="55">
        <f t="shared" si="14"/>
        <v>10</v>
      </c>
      <c r="II37" s="55">
        <f t="shared" si="15"/>
        <v>3</v>
      </c>
      <c r="IJ37" s="55">
        <f t="shared" si="16"/>
        <v>4</v>
      </c>
      <c r="IK37" s="55">
        <f t="shared" ref="IK37:IQ37" si="135">SUM(HK37)</f>
        <v>4</v>
      </c>
      <c r="IL37" s="55">
        <f t="shared" si="135"/>
        <v>7</v>
      </c>
      <c r="IM37" s="55">
        <f t="shared" si="135"/>
        <v>7</v>
      </c>
      <c r="IN37" s="55">
        <f t="shared" si="135"/>
        <v>1</v>
      </c>
      <c r="IO37" s="55">
        <f t="shared" si="135"/>
        <v>3</v>
      </c>
      <c r="IP37" s="55">
        <f t="shared" si="135"/>
        <v>1</v>
      </c>
      <c r="IQ37" s="55">
        <f t="shared" si="135"/>
        <v>2</v>
      </c>
      <c r="IR37" s="55">
        <f t="shared" si="18"/>
        <v>2</v>
      </c>
      <c r="IS37" s="55">
        <f t="shared" ref="IS37:JB37" si="136">SUM(HT37)</f>
        <v>2</v>
      </c>
      <c r="IT37" s="55">
        <f t="shared" si="136"/>
        <v>4</v>
      </c>
      <c r="IU37" s="55">
        <f t="shared" si="136"/>
        <v>1</v>
      </c>
      <c r="IV37" s="55">
        <f t="shared" si="136"/>
        <v>1</v>
      </c>
      <c r="IW37" s="55">
        <f t="shared" si="136"/>
        <v>2</v>
      </c>
      <c r="IX37" s="55">
        <f t="shared" si="136"/>
        <v>5</v>
      </c>
      <c r="IY37" s="55">
        <f t="shared" si="136"/>
        <v>4</v>
      </c>
      <c r="IZ37" s="55">
        <f t="shared" si="136"/>
        <v>4</v>
      </c>
      <c r="JA37" s="55">
        <f t="shared" si="136"/>
        <v>7</v>
      </c>
      <c r="JB37" s="55">
        <f t="shared" si="136"/>
        <v>0</v>
      </c>
      <c r="JC37" s="89">
        <f t="shared" si="20"/>
        <v>86</v>
      </c>
      <c r="JD37" s="90">
        <v>1</v>
      </c>
      <c r="JE37" s="90">
        <v>1</v>
      </c>
      <c r="JF37" s="91">
        <v>28</v>
      </c>
      <c r="JG37" s="91">
        <v>2</v>
      </c>
      <c r="JH37" s="55">
        <v>2</v>
      </c>
      <c r="JI37" s="55">
        <v>2</v>
      </c>
      <c r="JJ37" s="55">
        <v>1</v>
      </c>
      <c r="JK37" s="55">
        <v>2</v>
      </c>
      <c r="JL37" s="55">
        <v>1</v>
      </c>
      <c r="JM37" s="55">
        <v>0</v>
      </c>
      <c r="JN37" s="55">
        <v>0</v>
      </c>
      <c r="JO37" s="55">
        <v>0</v>
      </c>
      <c r="JP37" s="89">
        <f t="shared" si="21"/>
        <v>8</v>
      </c>
      <c r="JQ37" s="55">
        <v>2</v>
      </c>
      <c r="JR37" s="55">
        <v>2</v>
      </c>
      <c r="JS37" s="55">
        <v>0</v>
      </c>
      <c r="JT37" s="55">
        <v>0</v>
      </c>
      <c r="JU37" s="55">
        <v>0</v>
      </c>
      <c r="JV37" s="55">
        <v>0</v>
      </c>
      <c r="JW37" s="55">
        <v>0</v>
      </c>
      <c r="JX37" s="92">
        <f t="shared" si="22"/>
        <v>4</v>
      </c>
      <c r="JY37" s="93">
        <f t="shared" si="23"/>
        <v>12</v>
      </c>
      <c r="JZ37" s="55">
        <v>3</v>
      </c>
      <c r="KA37" s="55">
        <v>1</v>
      </c>
      <c r="KB37" s="55">
        <v>2</v>
      </c>
      <c r="KC37" s="55">
        <v>0</v>
      </c>
      <c r="KD37" s="55">
        <v>0</v>
      </c>
      <c r="KE37" s="55">
        <v>0</v>
      </c>
      <c r="KF37" s="55">
        <v>0</v>
      </c>
      <c r="KG37" s="94">
        <f t="shared" si="24"/>
        <v>6</v>
      </c>
      <c r="KH37" s="95" t="s">
        <v>330</v>
      </c>
      <c r="KI37" s="55">
        <v>0</v>
      </c>
      <c r="KJ37" s="55">
        <v>2</v>
      </c>
      <c r="KK37" s="55">
        <v>0</v>
      </c>
      <c r="KL37" s="95" t="s">
        <v>330</v>
      </c>
      <c r="KM37" s="55">
        <v>0</v>
      </c>
      <c r="KN37" s="55">
        <v>2</v>
      </c>
      <c r="KO37" s="55">
        <v>0</v>
      </c>
      <c r="KP37" s="95" t="s">
        <v>332</v>
      </c>
      <c r="KQ37" s="55">
        <v>0</v>
      </c>
      <c r="KR37" s="55">
        <v>2</v>
      </c>
      <c r="KS37" s="55">
        <v>1</v>
      </c>
      <c r="KT37" s="95" t="s">
        <v>320</v>
      </c>
      <c r="KU37" s="55">
        <v>0</v>
      </c>
      <c r="KV37" s="55">
        <v>2</v>
      </c>
      <c r="KW37" s="55">
        <v>1</v>
      </c>
      <c r="KX37" s="95" t="s">
        <v>330</v>
      </c>
      <c r="KY37" s="55">
        <v>0</v>
      </c>
      <c r="KZ37" s="55">
        <v>2</v>
      </c>
      <c r="LA37" s="55">
        <v>1</v>
      </c>
      <c r="LB37" s="95" t="s">
        <v>320</v>
      </c>
      <c r="LC37" s="55">
        <v>0</v>
      </c>
      <c r="LD37" s="55">
        <v>2</v>
      </c>
      <c r="LE37" s="55">
        <v>2</v>
      </c>
      <c r="LF37" s="95" t="s">
        <v>319</v>
      </c>
      <c r="LG37" s="55">
        <v>0</v>
      </c>
      <c r="LH37" s="55">
        <v>2</v>
      </c>
      <c r="LI37" s="55">
        <v>3</v>
      </c>
      <c r="LJ37" s="95" t="s">
        <v>333</v>
      </c>
      <c r="LK37" s="55">
        <v>0</v>
      </c>
      <c r="LL37" s="55">
        <v>2</v>
      </c>
      <c r="LM37" s="55">
        <v>3</v>
      </c>
      <c r="LN37" s="96">
        <f t="shared" si="25"/>
        <v>27</v>
      </c>
      <c r="LO37" s="97">
        <f t="shared" si="26"/>
        <v>11</v>
      </c>
      <c r="LP37" s="97">
        <f t="shared" si="27"/>
        <v>45</v>
      </c>
    </row>
    <row r="38" spans="1:328" s="98" customFormat="1" ht="13.8">
      <c r="A38" s="55" t="s">
        <v>613</v>
      </c>
      <c r="B38" s="110">
        <v>45967</v>
      </c>
      <c r="C38" s="61">
        <v>31</v>
      </c>
      <c r="D38" s="62"/>
      <c r="E38" s="62" t="s">
        <v>764</v>
      </c>
      <c r="F38" s="61">
        <v>1</v>
      </c>
      <c r="G38" s="61">
        <v>1</v>
      </c>
      <c r="H38" s="61">
        <v>1</v>
      </c>
      <c r="I38" s="164">
        <v>0</v>
      </c>
      <c r="J38" s="164">
        <v>4</v>
      </c>
      <c r="K38" s="63">
        <v>0.30833333333333335</v>
      </c>
      <c r="L38" s="63">
        <v>9.166666666666666E-2</v>
      </c>
      <c r="M38" s="63">
        <v>2.5000000000000001E-2</v>
      </c>
      <c r="N38" s="64" t="s">
        <v>1041</v>
      </c>
      <c r="O38" s="101" t="s">
        <v>1012</v>
      </c>
      <c r="P38" s="111" t="s">
        <v>665</v>
      </c>
      <c r="Q38" s="66">
        <v>1</v>
      </c>
      <c r="R38" s="112">
        <v>19455</v>
      </c>
      <c r="S38" s="111">
        <v>72</v>
      </c>
      <c r="T38" s="111" t="s">
        <v>259</v>
      </c>
      <c r="U38" s="111" t="s">
        <v>276</v>
      </c>
      <c r="V38" s="111">
        <v>981979688</v>
      </c>
      <c r="W38" s="111" t="s">
        <v>595</v>
      </c>
      <c r="X38" s="111" t="s">
        <v>596</v>
      </c>
      <c r="Y38" s="111" t="s">
        <v>311</v>
      </c>
      <c r="Z38" s="111" t="s">
        <v>262</v>
      </c>
      <c r="AA38" s="111" t="s">
        <v>455</v>
      </c>
      <c r="AB38" s="111" t="s">
        <v>300</v>
      </c>
      <c r="AC38" s="111" t="s">
        <v>597</v>
      </c>
      <c r="AD38" s="111" t="s">
        <v>597</v>
      </c>
      <c r="AE38" s="111" t="s">
        <v>666</v>
      </c>
      <c r="AF38" s="111" t="s">
        <v>597</v>
      </c>
      <c r="AG38" s="111" t="s">
        <v>610</v>
      </c>
      <c r="AH38" s="111" t="s">
        <v>597</v>
      </c>
      <c r="AI38" s="111" t="s">
        <v>597</v>
      </c>
      <c r="AJ38" s="112" t="s">
        <v>667</v>
      </c>
      <c r="AK38" s="40"/>
      <c r="AL38" s="115">
        <v>1</v>
      </c>
      <c r="AM38" s="115">
        <v>1</v>
      </c>
      <c r="AN38" s="115">
        <v>1</v>
      </c>
      <c r="AO38" s="115">
        <v>1</v>
      </c>
      <c r="AP38" s="115">
        <v>1</v>
      </c>
      <c r="AQ38" s="115">
        <v>1</v>
      </c>
      <c r="AR38" s="115">
        <v>1</v>
      </c>
      <c r="AS38" s="115">
        <v>1</v>
      </c>
      <c r="AT38" s="70">
        <f t="shared" si="0"/>
        <v>8</v>
      </c>
      <c r="AU38" s="71">
        <v>1</v>
      </c>
      <c r="AV38" s="71">
        <v>1</v>
      </c>
      <c r="AW38" s="71">
        <v>1</v>
      </c>
      <c r="AX38" s="71">
        <v>1</v>
      </c>
      <c r="AY38" s="70">
        <f t="shared" si="1"/>
        <v>4</v>
      </c>
      <c r="AZ38" s="69">
        <v>1</v>
      </c>
      <c r="BA38" s="69">
        <v>1</v>
      </c>
      <c r="BB38" s="69">
        <v>1</v>
      </c>
      <c r="BC38" s="69">
        <v>1</v>
      </c>
      <c r="BD38" s="69">
        <v>1</v>
      </c>
      <c r="BE38" s="69">
        <v>1</v>
      </c>
      <c r="BF38" s="69">
        <v>1</v>
      </c>
      <c r="BG38" s="69">
        <v>1</v>
      </c>
      <c r="BH38" s="70">
        <f t="shared" si="2"/>
        <v>8</v>
      </c>
      <c r="BI38" s="69">
        <v>1</v>
      </c>
      <c r="BJ38" s="69">
        <v>1</v>
      </c>
      <c r="BK38" s="70">
        <f t="shared" si="3"/>
        <v>2</v>
      </c>
      <c r="BL38" s="72">
        <v>1</v>
      </c>
      <c r="BM38" s="72">
        <v>1</v>
      </c>
      <c r="BN38" s="72">
        <v>1</v>
      </c>
      <c r="BO38" s="72">
        <v>1</v>
      </c>
      <c r="BP38" s="72">
        <v>1</v>
      </c>
      <c r="BQ38" s="72">
        <v>1</v>
      </c>
      <c r="BR38" s="72">
        <v>1</v>
      </c>
      <c r="BS38" s="72">
        <v>1</v>
      </c>
      <c r="BT38" s="70">
        <f t="shared" si="4"/>
        <v>7</v>
      </c>
      <c r="BU38" s="70">
        <f t="shared" si="5"/>
        <v>29</v>
      </c>
      <c r="BV38" s="73">
        <v>5</v>
      </c>
      <c r="BW38" s="73">
        <v>5</v>
      </c>
      <c r="BX38" s="73">
        <v>5</v>
      </c>
      <c r="BY38" s="73">
        <v>1</v>
      </c>
      <c r="BZ38" s="105">
        <v>5</v>
      </c>
      <c r="CA38" s="73">
        <v>3</v>
      </c>
      <c r="CB38" s="105">
        <v>5</v>
      </c>
      <c r="CC38" s="73">
        <v>5</v>
      </c>
      <c r="CD38" s="73">
        <v>2</v>
      </c>
      <c r="CE38" s="73">
        <v>3</v>
      </c>
      <c r="CF38" s="73">
        <v>3</v>
      </c>
      <c r="CG38" s="73">
        <v>5</v>
      </c>
      <c r="CH38" s="74">
        <v>5</v>
      </c>
      <c r="CI38" s="73">
        <v>5</v>
      </c>
      <c r="CJ38" s="73">
        <v>3</v>
      </c>
      <c r="CK38" s="75">
        <f t="shared" si="96"/>
        <v>60</v>
      </c>
      <c r="CL38" s="76">
        <v>5</v>
      </c>
      <c r="CM38" s="76">
        <v>1</v>
      </c>
      <c r="CN38" s="76">
        <v>5</v>
      </c>
      <c r="CO38" s="76">
        <v>5</v>
      </c>
      <c r="CP38" s="76">
        <v>5</v>
      </c>
      <c r="CQ38" s="106">
        <v>5</v>
      </c>
      <c r="CR38" s="76">
        <v>1</v>
      </c>
      <c r="CS38" s="76">
        <v>5</v>
      </c>
      <c r="CT38" s="76">
        <v>5</v>
      </c>
      <c r="CU38" s="76">
        <v>5</v>
      </c>
      <c r="CV38" s="76">
        <v>5</v>
      </c>
      <c r="CW38" s="76">
        <v>1</v>
      </c>
      <c r="CX38" s="76">
        <v>1</v>
      </c>
      <c r="CY38" s="76">
        <v>4</v>
      </c>
      <c r="CZ38" s="76">
        <v>5</v>
      </c>
      <c r="DA38" s="76">
        <v>5</v>
      </c>
      <c r="DB38" s="76">
        <v>5</v>
      </c>
      <c r="DC38" s="76">
        <v>4</v>
      </c>
      <c r="DD38" s="76">
        <v>5</v>
      </c>
      <c r="DE38" s="76">
        <v>5</v>
      </c>
      <c r="DF38" s="76">
        <v>5</v>
      </c>
      <c r="DG38" s="76">
        <v>5</v>
      </c>
      <c r="DH38" s="76">
        <v>5</v>
      </c>
      <c r="DI38" s="76">
        <v>5</v>
      </c>
      <c r="DJ38" s="76">
        <v>1</v>
      </c>
      <c r="DK38" s="76">
        <v>5</v>
      </c>
      <c r="DL38" s="76">
        <v>3</v>
      </c>
      <c r="DM38" s="76">
        <v>1</v>
      </c>
      <c r="DN38" s="76">
        <f t="shared" si="7"/>
        <v>112</v>
      </c>
      <c r="DO38" s="76">
        <v>27</v>
      </c>
      <c r="DP38" s="55">
        <v>0</v>
      </c>
      <c r="DQ38" s="55">
        <v>0</v>
      </c>
      <c r="DR38" s="55">
        <v>0</v>
      </c>
      <c r="DS38" s="55">
        <v>0</v>
      </c>
      <c r="DT38" s="55">
        <v>0</v>
      </c>
      <c r="DU38" s="55">
        <v>0</v>
      </c>
      <c r="DV38" s="55">
        <v>0</v>
      </c>
      <c r="DW38" s="55">
        <v>0</v>
      </c>
      <c r="DX38" s="55">
        <v>0</v>
      </c>
      <c r="DY38" s="55">
        <v>0</v>
      </c>
      <c r="DZ38" s="55">
        <v>0</v>
      </c>
      <c r="EA38" s="55">
        <v>0</v>
      </c>
      <c r="EB38" s="55">
        <v>0</v>
      </c>
      <c r="EC38" s="55">
        <v>0</v>
      </c>
      <c r="ED38" s="55">
        <v>0</v>
      </c>
      <c r="EE38" s="77">
        <f t="shared" si="124"/>
        <v>0</v>
      </c>
      <c r="EF38" s="77" t="s">
        <v>265</v>
      </c>
      <c r="EG38" s="78">
        <f t="shared" si="8"/>
        <v>0</v>
      </c>
      <c r="EH38" s="55">
        <v>0</v>
      </c>
      <c r="EI38" s="55">
        <v>0</v>
      </c>
      <c r="EJ38" s="55">
        <v>0</v>
      </c>
      <c r="EK38" s="55">
        <v>0</v>
      </c>
      <c r="EL38" s="55">
        <v>0</v>
      </c>
      <c r="EM38" s="55">
        <v>0</v>
      </c>
      <c r="EN38" s="55">
        <v>0</v>
      </c>
      <c r="EO38" s="55">
        <v>0</v>
      </c>
      <c r="EP38" s="55">
        <v>0</v>
      </c>
      <c r="EQ38" s="55">
        <v>0</v>
      </c>
      <c r="ER38" s="55">
        <v>0</v>
      </c>
      <c r="ES38" s="55">
        <v>0</v>
      </c>
      <c r="ET38" s="55">
        <v>0</v>
      </c>
      <c r="EU38" s="55">
        <v>0</v>
      </c>
      <c r="EV38" s="55">
        <v>0</v>
      </c>
      <c r="EW38" s="55">
        <v>0</v>
      </c>
      <c r="EX38" s="55">
        <v>0</v>
      </c>
      <c r="EY38" s="55">
        <v>0</v>
      </c>
      <c r="EZ38" s="55">
        <v>0</v>
      </c>
      <c r="FA38" s="55">
        <v>0</v>
      </c>
      <c r="FB38" s="55">
        <v>0</v>
      </c>
      <c r="FC38" s="55">
        <v>0</v>
      </c>
      <c r="FD38" s="79">
        <f t="shared" si="9"/>
        <v>0</v>
      </c>
      <c r="FE38" s="80">
        <v>1</v>
      </c>
      <c r="FF38" s="55">
        <v>1</v>
      </c>
      <c r="FG38" s="55">
        <v>1</v>
      </c>
      <c r="FH38" s="55">
        <v>1</v>
      </c>
      <c r="FI38" s="55">
        <v>1</v>
      </c>
      <c r="FJ38" s="55">
        <v>1</v>
      </c>
      <c r="FK38" s="55">
        <v>1</v>
      </c>
      <c r="FL38" s="55">
        <v>1</v>
      </c>
      <c r="FM38" s="55">
        <v>1</v>
      </c>
      <c r="FN38" s="81">
        <f t="shared" si="10"/>
        <v>8</v>
      </c>
      <c r="FO38" s="82">
        <v>1</v>
      </c>
      <c r="FP38" s="55">
        <v>10</v>
      </c>
      <c r="FQ38" s="55">
        <v>5</v>
      </c>
      <c r="FR38" s="55">
        <v>10</v>
      </c>
      <c r="FS38" s="55">
        <v>5</v>
      </c>
      <c r="FT38" s="55">
        <v>10</v>
      </c>
      <c r="FU38" s="55">
        <v>10</v>
      </c>
      <c r="FV38" s="55">
        <v>10</v>
      </c>
      <c r="FW38" s="55">
        <v>15</v>
      </c>
      <c r="FX38" s="55">
        <v>15</v>
      </c>
      <c r="FY38" s="55">
        <v>10</v>
      </c>
      <c r="FZ38" s="83">
        <f t="shared" si="11"/>
        <v>100</v>
      </c>
      <c r="GA38" s="84">
        <v>1</v>
      </c>
      <c r="GB38" s="55">
        <v>0</v>
      </c>
      <c r="GC38" s="85">
        <v>0</v>
      </c>
      <c r="GD38" s="85">
        <v>0</v>
      </c>
      <c r="GE38" s="85">
        <v>0</v>
      </c>
      <c r="GF38" s="85">
        <v>0</v>
      </c>
      <c r="GG38" s="85">
        <v>0</v>
      </c>
      <c r="GH38" s="85">
        <v>0</v>
      </c>
      <c r="GI38" s="55">
        <v>0</v>
      </c>
      <c r="GJ38" s="55">
        <v>0</v>
      </c>
      <c r="GK38" s="55">
        <v>0</v>
      </c>
      <c r="GL38" s="55">
        <v>0</v>
      </c>
      <c r="GM38" s="55">
        <v>0</v>
      </c>
      <c r="GN38" s="55">
        <v>0</v>
      </c>
      <c r="GO38" s="55">
        <v>0</v>
      </c>
      <c r="GP38" s="55">
        <v>0</v>
      </c>
      <c r="GQ38" s="55">
        <v>0</v>
      </c>
      <c r="GR38" s="55">
        <v>0</v>
      </c>
      <c r="GS38" s="55">
        <v>0</v>
      </c>
      <c r="GT38" s="55">
        <v>0</v>
      </c>
      <c r="GU38" s="86">
        <f t="shared" si="12"/>
        <v>0</v>
      </c>
      <c r="GV38" s="87" t="s">
        <v>301</v>
      </c>
      <c r="GW38" s="87">
        <v>0</v>
      </c>
      <c r="GX38" s="88" t="s">
        <v>267</v>
      </c>
      <c r="GY38" s="55">
        <v>5</v>
      </c>
      <c r="GZ38" s="55">
        <v>5</v>
      </c>
      <c r="HA38" s="55">
        <v>3</v>
      </c>
      <c r="HB38" s="55">
        <v>1</v>
      </c>
      <c r="HC38" s="55">
        <v>5</v>
      </c>
      <c r="HD38" s="55">
        <v>4</v>
      </c>
      <c r="HE38" s="55"/>
      <c r="HF38" s="55"/>
      <c r="HG38" s="55">
        <v>0</v>
      </c>
      <c r="HH38" s="55">
        <v>7</v>
      </c>
      <c r="HI38" s="55">
        <v>7</v>
      </c>
      <c r="HJ38" s="55"/>
      <c r="HK38" s="55">
        <v>3</v>
      </c>
      <c r="HL38" s="55">
        <v>4</v>
      </c>
      <c r="HM38" s="55">
        <v>4</v>
      </c>
      <c r="HN38" s="55">
        <v>1</v>
      </c>
      <c r="HO38" s="55">
        <v>3</v>
      </c>
      <c r="HP38" s="55">
        <v>1</v>
      </c>
      <c r="HQ38" s="55">
        <v>1</v>
      </c>
      <c r="HR38" s="55">
        <v>1</v>
      </c>
      <c r="HS38" s="55">
        <v>1</v>
      </c>
      <c r="HT38" s="55">
        <v>2</v>
      </c>
      <c r="HU38" s="55">
        <v>4</v>
      </c>
      <c r="HV38" s="55">
        <v>1</v>
      </c>
      <c r="HW38" s="55">
        <v>1</v>
      </c>
      <c r="HX38" s="55">
        <v>1</v>
      </c>
      <c r="HY38" s="55">
        <v>4</v>
      </c>
      <c r="HZ38" s="55">
        <v>4</v>
      </c>
      <c r="IA38" s="55">
        <v>3</v>
      </c>
      <c r="IB38" s="55">
        <v>7</v>
      </c>
      <c r="IC38" s="55"/>
      <c r="ID38" s="55">
        <f t="shared" ref="ID38:IG38" si="137">SUM(GY38)</f>
        <v>5</v>
      </c>
      <c r="IE38" s="55">
        <f t="shared" si="137"/>
        <v>5</v>
      </c>
      <c r="IF38" s="55">
        <f t="shared" si="137"/>
        <v>3</v>
      </c>
      <c r="IG38" s="55">
        <f t="shared" si="137"/>
        <v>1</v>
      </c>
      <c r="IH38" s="55">
        <f t="shared" si="14"/>
        <v>9</v>
      </c>
      <c r="II38" s="55">
        <f t="shared" si="15"/>
        <v>0</v>
      </c>
      <c r="IJ38" s="55">
        <f t="shared" si="16"/>
        <v>14</v>
      </c>
      <c r="IK38" s="55">
        <f t="shared" ref="IK38:IQ38" si="138">SUM(HK38)</f>
        <v>3</v>
      </c>
      <c r="IL38" s="55">
        <f t="shared" si="138"/>
        <v>4</v>
      </c>
      <c r="IM38" s="55">
        <f t="shared" si="138"/>
        <v>4</v>
      </c>
      <c r="IN38" s="55">
        <f t="shared" si="138"/>
        <v>1</v>
      </c>
      <c r="IO38" s="55">
        <f t="shared" si="138"/>
        <v>3</v>
      </c>
      <c r="IP38" s="55">
        <f t="shared" si="138"/>
        <v>1</v>
      </c>
      <c r="IQ38" s="55">
        <f t="shared" si="138"/>
        <v>1</v>
      </c>
      <c r="IR38" s="55">
        <f t="shared" si="18"/>
        <v>2</v>
      </c>
      <c r="IS38" s="55">
        <f t="shared" ref="IS38:JB38" si="139">SUM(HT38)</f>
        <v>2</v>
      </c>
      <c r="IT38" s="55">
        <f t="shared" si="139"/>
        <v>4</v>
      </c>
      <c r="IU38" s="55">
        <f t="shared" si="139"/>
        <v>1</v>
      </c>
      <c r="IV38" s="55">
        <f t="shared" si="139"/>
        <v>1</v>
      </c>
      <c r="IW38" s="55">
        <f t="shared" si="139"/>
        <v>1</v>
      </c>
      <c r="IX38" s="55">
        <f t="shared" si="139"/>
        <v>4</v>
      </c>
      <c r="IY38" s="55">
        <f t="shared" si="139"/>
        <v>4</v>
      </c>
      <c r="IZ38" s="55">
        <f t="shared" si="139"/>
        <v>3</v>
      </c>
      <c r="JA38" s="55">
        <f t="shared" si="139"/>
        <v>7</v>
      </c>
      <c r="JB38" s="55">
        <f t="shared" si="139"/>
        <v>0</v>
      </c>
      <c r="JC38" s="89">
        <f t="shared" si="20"/>
        <v>82</v>
      </c>
      <c r="JD38" s="90">
        <v>1</v>
      </c>
      <c r="JE38" s="90">
        <v>1</v>
      </c>
      <c r="JF38" s="91">
        <v>33</v>
      </c>
      <c r="JG38" s="91">
        <v>2</v>
      </c>
      <c r="JH38" s="55">
        <v>2</v>
      </c>
      <c r="JI38" s="55">
        <v>2</v>
      </c>
      <c r="JJ38" s="55">
        <v>2</v>
      </c>
      <c r="JK38" s="55">
        <v>2</v>
      </c>
      <c r="JL38" s="55">
        <v>0</v>
      </c>
      <c r="JM38" s="55">
        <v>0</v>
      </c>
      <c r="JN38" s="55">
        <v>0</v>
      </c>
      <c r="JO38" s="55">
        <v>0</v>
      </c>
      <c r="JP38" s="89">
        <f t="shared" si="21"/>
        <v>8</v>
      </c>
      <c r="JQ38" s="55">
        <v>2</v>
      </c>
      <c r="JR38" s="55">
        <v>2</v>
      </c>
      <c r="JS38" s="55">
        <v>0</v>
      </c>
      <c r="JT38" s="55">
        <v>0</v>
      </c>
      <c r="JU38" s="55">
        <v>0</v>
      </c>
      <c r="JV38" s="55">
        <v>0</v>
      </c>
      <c r="JW38" s="55">
        <v>0</v>
      </c>
      <c r="JX38" s="92">
        <f t="shared" si="22"/>
        <v>4</v>
      </c>
      <c r="JY38" s="93">
        <f t="shared" si="23"/>
        <v>12</v>
      </c>
      <c r="JZ38" s="55">
        <v>3</v>
      </c>
      <c r="KA38" s="55">
        <v>3</v>
      </c>
      <c r="KB38" s="55">
        <v>2</v>
      </c>
      <c r="KC38" s="55">
        <v>1</v>
      </c>
      <c r="KD38" s="55">
        <v>0</v>
      </c>
      <c r="KE38" s="55">
        <v>0</v>
      </c>
      <c r="KF38" s="55">
        <v>0</v>
      </c>
      <c r="KG38" s="94">
        <f t="shared" si="24"/>
        <v>9</v>
      </c>
      <c r="KH38" s="95" t="s">
        <v>456</v>
      </c>
      <c r="KI38" s="55">
        <v>0</v>
      </c>
      <c r="KJ38" s="55">
        <v>2</v>
      </c>
      <c r="KK38" s="55">
        <v>0</v>
      </c>
      <c r="KL38" s="95" t="s">
        <v>457</v>
      </c>
      <c r="KM38" s="55">
        <v>0</v>
      </c>
      <c r="KN38" s="55">
        <v>2</v>
      </c>
      <c r="KO38" s="55">
        <v>0</v>
      </c>
      <c r="KP38" s="95" t="s">
        <v>458</v>
      </c>
      <c r="KQ38" s="55">
        <v>0</v>
      </c>
      <c r="KR38" s="55">
        <v>2</v>
      </c>
      <c r="KS38" s="55">
        <v>0</v>
      </c>
      <c r="KT38" s="95" t="s">
        <v>459</v>
      </c>
      <c r="KU38" s="55">
        <v>0</v>
      </c>
      <c r="KV38" s="55">
        <v>2</v>
      </c>
      <c r="KW38" s="55">
        <v>0</v>
      </c>
      <c r="KX38" s="95" t="s">
        <v>460</v>
      </c>
      <c r="KY38" s="55">
        <v>0</v>
      </c>
      <c r="KZ38" s="55">
        <v>2</v>
      </c>
      <c r="LA38" s="55">
        <v>0</v>
      </c>
      <c r="LB38" s="95" t="s">
        <v>384</v>
      </c>
      <c r="LC38" s="55">
        <v>0</v>
      </c>
      <c r="LD38" s="55">
        <v>2</v>
      </c>
      <c r="LE38" s="55">
        <v>0</v>
      </c>
      <c r="LF38" s="95" t="s">
        <v>461</v>
      </c>
      <c r="LG38" s="55">
        <v>0</v>
      </c>
      <c r="LH38" s="55">
        <v>2</v>
      </c>
      <c r="LI38" s="55">
        <v>0</v>
      </c>
      <c r="LJ38" s="153">
        <v>36861</v>
      </c>
      <c r="LK38" s="55">
        <v>1</v>
      </c>
      <c r="LL38" s="55">
        <v>1</v>
      </c>
      <c r="LM38" s="55">
        <v>0</v>
      </c>
      <c r="LN38" s="96">
        <f t="shared" si="25"/>
        <v>15</v>
      </c>
      <c r="LO38" s="97">
        <f t="shared" si="26"/>
        <v>0</v>
      </c>
      <c r="LP38" s="97">
        <f t="shared" si="27"/>
        <v>36</v>
      </c>
    </row>
    <row r="39" spans="1:328" s="98" customFormat="1" ht="13.8">
      <c r="A39" s="55" t="s">
        <v>613</v>
      </c>
      <c r="B39" s="110">
        <v>45967</v>
      </c>
      <c r="C39" s="61">
        <v>33</v>
      </c>
      <c r="D39" s="62"/>
      <c r="E39" s="62" t="s">
        <v>764</v>
      </c>
      <c r="F39" s="61">
        <v>1</v>
      </c>
      <c r="G39" s="61">
        <v>1</v>
      </c>
      <c r="H39" s="61">
        <v>1</v>
      </c>
      <c r="I39" s="164">
        <v>4</v>
      </c>
      <c r="J39" s="164">
        <v>2</v>
      </c>
      <c r="K39" s="63">
        <v>7.5694444444444439E-2</v>
      </c>
      <c r="L39" s="63">
        <v>5.7638888888888892E-2</v>
      </c>
      <c r="M39" s="63">
        <v>2.5694444444444443E-2</v>
      </c>
      <c r="N39" s="64" t="s">
        <v>1040</v>
      </c>
      <c r="O39" s="101" t="s">
        <v>1013</v>
      </c>
      <c r="P39" s="111" t="s">
        <v>672</v>
      </c>
      <c r="Q39" s="95">
        <v>1</v>
      </c>
      <c r="R39" s="103">
        <v>19362</v>
      </c>
      <c r="S39" s="102">
        <v>72</v>
      </c>
      <c r="T39" s="102" t="s">
        <v>259</v>
      </c>
      <c r="U39" s="102" t="s">
        <v>260</v>
      </c>
      <c r="V39" s="102">
        <v>72854496</v>
      </c>
      <c r="W39" s="102" t="s">
        <v>595</v>
      </c>
      <c r="X39" s="102" t="s">
        <v>596</v>
      </c>
      <c r="Y39" s="102" t="s">
        <v>261</v>
      </c>
      <c r="Z39" s="102" t="s">
        <v>262</v>
      </c>
      <c r="AA39" s="102" t="s">
        <v>462</v>
      </c>
      <c r="AB39" s="102" t="s">
        <v>279</v>
      </c>
      <c r="AC39" s="102" t="s">
        <v>597</v>
      </c>
      <c r="AD39" s="102" t="s">
        <v>597</v>
      </c>
      <c r="AE39" s="102" t="s">
        <v>673</v>
      </c>
      <c r="AF39" s="102" t="s">
        <v>597</v>
      </c>
      <c r="AG39" s="102" t="s">
        <v>610</v>
      </c>
      <c r="AH39" s="102" t="s">
        <v>597</v>
      </c>
      <c r="AI39" s="102" t="s">
        <v>597</v>
      </c>
      <c r="AJ39" s="103">
        <v>45658</v>
      </c>
      <c r="AK39" s="104"/>
      <c r="AL39" s="115">
        <v>1</v>
      </c>
      <c r="AM39" s="115">
        <v>1</v>
      </c>
      <c r="AN39" s="115">
        <v>1</v>
      </c>
      <c r="AO39" s="115">
        <v>1</v>
      </c>
      <c r="AP39" s="115">
        <v>1</v>
      </c>
      <c r="AQ39" s="115">
        <v>1</v>
      </c>
      <c r="AR39" s="115">
        <v>1</v>
      </c>
      <c r="AS39" s="115">
        <v>1</v>
      </c>
      <c r="AT39" s="70">
        <f t="shared" si="0"/>
        <v>8</v>
      </c>
      <c r="AU39" s="71">
        <v>1</v>
      </c>
      <c r="AV39" s="71">
        <v>1</v>
      </c>
      <c r="AW39" s="71">
        <v>1</v>
      </c>
      <c r="AX39" s="71">
        <v>1</v>
      </c>
      <c r="AY39" s="70">
        <f t="shared" si="1"/>
        <v>4</v>
      </c>
      <c r="AZ39" s="115">
        <v>0</v>
      </c>
      <c r="BA39" s="115">
        <v>0</v>
      </c>
      <c r="BB39" s="115">
        <v>0</v>
      </c>
      <c r="BC39" s="115">
        <v>0</v>
      </c>
      <c r="BD39" s="115">
        <v>0</v>
      </c>
      <c r="BE39" s="71">
        <v>1</v>
      </c>
      <c r="BF39" s="115">
        <v>0</v>
      </c>
      <c r="BG39" s="115">
        <v>0</v>
      </c>
      <c r="BH39" s="70">
        <f t="shared" si="2"/>
        <v>1</v>
      </c>
      <c r="BI39" s="69">
        <v>0</v>
      </c>
      <c r="BJ39" s="69">
        <v>0</v>
      </c>
      <c r="BK39" s="70">
        <f t="shared" si="3"/>
        <v>0</v>
      </c>
      <c r="BL39" s="92">
        <v>1</v>
      </c>
      <c r="BM39" s="72">
        <v>0</v>
      </c>
      <c r="BN39" s="72">
        <v>0</v>
      </c>
      <c r="BO39" s="72">
        <v>0</v>
      </c>
      <c r="BP39" s="92">
        <v>1</v>
      </c>
      <c r="BQ39" s="72">
        <v>0</v>
      </c>
      <c r="BR39" s="72">
        <v>0</v>
      </c>
      <c r="BS39" s="72">
        <v>0</v>
      </c>
      <c r="BT39" s="70">
        <f t="shared" si="4"/>
        <v>1</v>
      </c>
      <c r="BU39" s="70">
        <f t="shared" si="5"/>
        <v>14</v>
      </c>
      <c r="BV39" s="73">
        <v>5</v>
      </c>
      <c r="BW39" s="73">
        <v>5</v>
      </c>
      <c r="BX39" s="73">
        <v>5</v>
      </c>
      <c r="BY39" s="73">
        <v>1</v>
      </c>
      <c r="BZ39" s="73">
        <v>5</v>
      </c>
      <c r="CA39" s="73">
        <v>3</v>
      </c>
      <c r="CB39" s="73">
        <v>5</v>
      </c>
      <c r="CC39" s="73">
        <v>5</v>
      </c>
      <c r="CD39" s="73">
        <v>2</v>
      </c>
      <c r="CE39" s="73">
        <v>3</v>
      </c>
      <c r="CF39" s="73">
        <v>3</v>
      </c>
      <c r="CG39" s="73">
        <v>5</v>
      </c>
      <c r="CH39" s="74">
        <v>5</v>
      </c>
      <c r="CI39" s="73">
        <v>5</v>
      </c>
      <c r="CJ39" s="73">
        <v>3</v>
      </c>
      <c r="CK39" s="75">
        <f t="shared" si="96"/>
        <v>60</v>
      </c>
      <c r="CL39" s="76">
        <v>5</v>
      </c>
      <c r="CM39" s="76">
        <v>1</v>
      </c>
      <c r="CN39" s="76">
        <v>5</v>
      </c>
      <c r="CO39" s="76">
        <v>5</v>
      </c>
      <c r="CP39" s="76">
        <v>5</v>
      </c>
      <c r="CQ39" s="76">
        <v>5</v>
      </c>
      <c r="CR39" s="76">
        <v>1</v>
      </c>
      <c r="CS39" s="76">
        <v>5</v>
      </c>
      <c r="CT39" s="76">
        <v>5</v>
      </c>
      <c r="CU39" s="76">
        <v>5</v>
      </c>
      <c r="CV39" s="76">
        <v>5</v>
      </c>
      <c r="CW39" s="76">
        <v>1</v>
      </c>
      <c r="CX39" s="76">
        <v>1</v>
      </c>
      <c r="CY39" s="76">
        <v>4</v>
      </c>
      <c r="CZ39" s="76">
        <v>5</v>
      </c>
      <c r="DA39" s="76">
        <v>5</v>
      </c>
      <c r="DB39" s="76">
        <v>5</v>
      </c>
      <c r="DC39" s="76">
        <v>4</v>
      </c>
      <c r="DD39" s="76">
        <v>5</v>
      </c>
      <c r="DE39" s="76">
        <v>5</v>
      </c>
      <c r="DF39" s="76">
        <v>5</v>
      </c>
      <c r="DG39" s="76">
        <v>5</v>
      </c>
      <c r="DH39" s="76">
        <v>5</v>
      </c>
      <c r="DI39" s="76">
        <v>5</v>
      </c>
      <c r="DJ39" s="76">
        <v>1</v>
      </c>
      <c r="DK39" s="76">
        <v>5</v>
      </c>
      <c r="DL39" s="76">
        <v>3</v>
      </c>
      <c r="DM39" s="76">
        <v>1</v>
      </c>
      <c r="DN39" s="76">
        <f t="shared" si="7"/>
        <v>112</v>
      </c>
      <c r="DO39" s="106">
        <v>20</v>
      </c>
      <c r="DP39" s="97">
        <v>1</v>
      </c>
      <c r="DQ39" s="97">
        <v>1</v>
      </c>
      <c r="DR39" s="97">
        <v>1</v>
      </c>
      <c r="DS39" s="97">
        <v>1</v>
      </c>
      <c r="DT39" s="97">
        <v>1</v>
      </c>
      <c r="DU39" s="97">
        <v>1</v>
      </c>
      <c r="DV39" s="97">
        <v>1</v>
      </c>
      <c r="DW39" s="97">
        <v>1</v>
      </c>
      <c r="DX39" s="97">
        <v>1</v>
      </c>
      <c r="DY39" s="97">
        <v>0</v>
      </c>
      <c r="DZ39" s="97">
        <v>0</v>
      </c>
      <c r="EA39" s="97">
        <v>0</v>
      </c>
      <c r="EB39" s="97">
        <v>0</v>
      </c>
      <c r="EC39" s="97">
        <v>1</v>
      </c>
      <c r="ED39" s="97">
        <v>0</v>
      </c>
      <c r="EE39" s="77">
        <f t="shared" si="124"/>
        <v>10</v>
      </c>
      <c r="EF39" s="77" t="s">
        <v>267</v>
      </c>
      <c r="EG39" s="78">
        <f t="shared" si="8"/>
        <v>10</v>
      </c>
      <c r="EH39" s="97">
        <v>1</v>
      </c>
      <c r="EI39" s="97">
        <v>1</v>
      </c>
      <c r="EJ39" s="97">
        <v>1</v>
      </c>
      <c r="EK39" s="97">
        <v>1</v>
      </c>
      <c r="EL39" s="97">
        <v>1</v>
      </c>
      <c r="EM39" s="97">
        <v>1</v>
      </c>
      <c r="EN39" s="97">
        <v>1</v>
      </c>
      <c r="EO39" s="97">
        <v>1</v>
      </c>
      <c r="EP39" s="97">
        <v>1</v>
      </c>
      <c r="EQ39" s="97">
        <v>0</v>
      </c>
      <c r="ER39" s="97">
        <v>1</v>
      </c>
      <c r="ES39" s="97">
        <v>0</v>
      </c>
      <c r="ET39" s="97">
        <v>0</v>
      </c>
      <c r="EU39" s="97">
        <v>1</v>
      </c>
      <c r="EV39" s="97">
        <v>1</v>
      </c>
      <c r="EW39" s="97">
        <v>1</v>
      </c>
      <c r="EX39" s="97">
        <v>0</v>
      </c>
      <c r="EY39" s="97">
        <v>1</v>
      </c>
      <c r="EZ39" s="97">
        <v>0</v>
      </c>
      <c r="FA39" s="97">
        <v>0</v>
      </c>
      <c r="FB39" s="97">
        <v>1</v>
      </c>
      <c r="FC39" s="97">
        <v>1</v>
      </c>
      <c r="FD39" s="79">
        <f t="shared" si="9"/>
        <v>16</v>
      </c>
      <c r="FE39" s="79">
        <v>2</v>
      </c>
      <c r="FF39" s="97">
        <v>1</v>
      </c>
      <c r="FG39" s="97">
        <v>1</v>
      </c>
      <c r="FH39" s="97">
        <v>1</v>
      </c>
      <c r="FI39" s="97">
        <v>1</v>
      </c>
      <c r="FJ39" s="97">
        <v>0</v>
      </c>
      <c r="FK39" s="97">
        <v>1</v>
      </c>
      <c r="FL39" s="97">
        <v>1</v>
      </c>
      <c r="FM39" s="97">
        <v>1</v>
      </c>
      <c r="FN39" s="81">
        <f t="shared" si="10"/>
        <v>7</v>
      </c>
      <c r="FO39" s="82">
        <v>2</v>
      </c>
      <c r="FP39" s="97">
        <v>10</v>
      </c>
      <c r="FQ39" s="97">
        <v>5</v>
      </c>
      <c r="FR39" s="97">
        <v>10</v>
      </c>
      <c r="FS39" s="97">
        <v>5</v>
      </c>
      <c r="FT39" s="97">
        <v>10</v>
      </c>
      <c r="FU39" s="97">
        <v>10</v>
      </c>
      <c r="FV39" s="97">
        <v>10</v>
      </c>
      <c r="FW39" s="97">
        <v>15</v>
      </c>
      <c r="FX39" s="97">
        <v>15</v>
      </c>
      <c r="FY39" s="97">
        <v>10</v>
      </c>
      <c r="FZ39" s="83">
        <f t="shared" si="11"/>
        <v>100</v>
      </c>
      <c r="GA39" s="84">
        <v>1</v>
      </c>
      <c r="GB39" s="55">
        <v>1</v>
      </c>
      <c r="GC39" s="85">
        <v>0.5</v>
      </c>
      <c r="GD39" s="85">
        <v>0</v>
      </c>
      <c r="GE39" s="85">
        <v>0</v>
      </c>
      <c r="GF39" s="85">
        <v>0</v>
      </c>
      <c r="GG39" s="85">
        <v>0.5</v>
      </c>
      <c r="GH39" s="85">
        <v>0.5</v>
      </c>
      <c r="GI39" s="55">
        <v>0</v>
      </c>
      <c r="GJ39" s="55">
        <v>0</v>
      </c>
      <c r="GK39" s="55">
        <v>0</v>
      </c>
      <c r="GL39" s="55">
        <v>2</v>
      </c>
      <c r="GM39" s="55">
        <v>0</v>
      </c>
      <c r="GN39" s="55">
        <v>0</v>
      </c>
      <c r="GO39" s="55">
        <v>0</v>
      </c>
      <c r="GP39" s="55">
        <v>0</v>
      </c>
      <c r="GQ39" s="55">
        <v>0</v>
      </c>
      <c r="GR39" s="55">
        <v>0</v>
      </c>
      <c r="GS39" s="55">
        <v>0</v>
      </c>
      <c r="GT39" s="55">
        <v>0</v>
      </c>
      <c r="GU39" s="86">
        <f t="shared" si="12"/>
        <v>2</v>
      </c>
      <c r="GV39" s="87" t="s">
        <v>266</v>
      </c>
      <c r="GW39" s="87">
        <v>0</v>
      </c>
      <c r="GX39" s="88" t="s">
        <v>267</v>
      </c>
      <c r="GY39" s="55">
        <v>5</v>
      </c>
      <c r="GZ39" s="55">
        <v>5</v>
      </c>
      <c r="HA39" s="55">
        <v>3</v>
      </c>
      <c r="HB39" s="55">
        <v>1</v>
      </c>
      <c r="HC39" s="55">
        <v>1</v>
      </c>
      <c r="HD39" s="55">
        <v>0</v>
      </c>
      <c r="HE39" s="55"/>
      <c r="HF39" s="55"/>
      <c r="HG39" s="55">
        <v>1</v>
      </c>
      <c r="HH39" s="55">
        <v>7</v>
      </c>
      <c r="HI39" s="55">
        <v>7</v>
      </c>
      <c r="HJ39" s="55"/>
      <c r="HK39" s="55">
        <v>2</v>
      </c>
      <c r="HL39" s="55">
        <v>4</v>
      </c>
      <c r="HM39" s="55">
        <v>4</v>
      </c>
      <c r="HN39" s="55">
        <v>1</v>
      </c>
      <c r="HO39" s="55">
        <v>3</v>
      </c>
      <c r="HP39" s="55">
        <v>1</v>
      </c>
      <c r="HQ39" s="55">
        <v>2</v>
      </c>
      <c r="HR39" s="55">
        <v>1</v>
      </c>
      <c r="HS39" s="55">
        <v>1</v>
      </c>
      <c r="HT39" s="55">
        <v>2</v>
      </c>
      <c r="HU39" s="55">
        <v>4</v>
      </c>
      <c r="HV39" s="55">
        <v>1</v>
      </c>
      <c r="HW39" s="55">
        <v>0</v>
      </c>
      <c r="HX39" s="55">
        <v>1</v>
      </c>
      <c r="HY39" s="55">
        <v>1</v>
      </c>
      <c r="HZ39" s="55">
        <v>4</v>
      </c>
      <c r="IA39" s="55">
        <v>4</v>
      </c>
      <c r="IB39" s="55">
        <v>7</v>
      </c>
      <c r="IC39" s="55"/>
      <c r="ID39" s="55">
        <f t="shared" ref="ID39:IG39" si="140">SUM(GY39)</f>
        <v>5</v>
      </c>
      <c r="IE39" s="55">
        <f t="shared" si="140"/>
        <v>5</v>
      </c>
      <c r="IF39" s="55">
        <f t="shared" si="140"/>
        <v>3</v>
      </c>
      <c r="IG39" s="55">
        <f t="shared" si="140"/>
        <v>1</v>
      </c>
      <c r="IH39" s="55">
        <f t="shared" si="14"/>
        <v>1</v>
      </c>
      <c r="II39" s="55">
        <f t="shared" si="15"/>
        <v>1</v>
      </c>
      <c r="IJ39" s="55">
        <f t="shared" si="16"/>
        <v>14</v>
      </c>
      <c r="IK39" s="55">
        <f t="shared" ref="IK39:IQ39" si="141">SUM(HK39)</f>
        <v>2</v>
      </c>
      <c r="IL39" s="55">
        <f t="shared" si="141"/>
        <v>4</v>
      </c>
      <c r="IM39" s="55">
        <f t="shared" si="141"/>
        <v>4</v>
      </c>
      <c r="IN39" s="55">
        <f t="shared" si="141"/>
        <v>1</v>
      </c>
      <c r="IO39" s="55">
        <f t="shared" si="141"/>
        <v>3</v>
      </c>
      <c r="IP39" s="55">
        <f t="shared" si="141"/>
        <v>1</v>
      </c>
      <c r="IQ39" s="55">
        <f t="shared" si="141"/>
        <v>2</v>
      </c>
      <c r="IR39" s="55">
        <f t="shared" si="18"/>
        <v>2</v>
      </c>
      <c r="IS39" s="55">
        <f t="shared" ref="IS39:JB39" si="142">SUM(HT39)</f>
        <v>2</v>
      </c>
      <c r="IT39" s="55">
        <f t="shared" si="142"/>
        <v>4</v>
      </c>
      <c r="IU39" s="55">
        <f t="shared" si="142"/>
        <v>1</v>
      </c>
      <c r="IV39" s="55">
        <f t="shared" si="142"/>
        <v>0</v>
      </c>
      <c r="IW39" s="55">
        <f t="shared" si="142"/>
        <v>1</v>
      </c>
      <c r="IX39" s="55">
        <f t="shared" si="142"/>
        <v>1</v>
      </c>
      <c r="IY39" s="55">
        <f t="shared" si="142"/>
        <v>4</v>
      </c>
      <c r="IZ39" s="55">
        <f t="shared" si="142"/>
        <v>4</v>
      </c>
      <c r="JA39" s="55">
        <f t="shared" si="142"/>
        <v>7</v>
      </c>
      <c r="JB39" s="55">
        <f t="shared" si="142"/>
        <v>0</v>
      </c>
      <c r="JC39" s="89">
        <f t="shared" si="20"/>
        <v>72</v>
      </c>
      <c r="JD39" s="90">
        <v>1</v>
      </c>
      <c r="JE39" s="89">
        <v>1</v>
      </c>
      <c r="JF39" s="121">
        <v>5</v>
      </c>
      <c r="JG39" s="91">
        <v>2</v>
      </c>
      <c r="JH39" s="55">
        <v>2</v>
      </c>
      <c r="JI39" s="55">
        <v>1</v>
      </c>
      <c r="JJ39" s="55">
        <v>1</v>
      </c>
      <c r="JK39" s="55">
        <v>0</v>
      </c>
      <c r="JL39" s="55">
        <v>0</v>
      </c>
      <c r="JM39" s="55">
        <v>0</v>
      </c>
      <c r="JN39" s="55">
        <v>0</v>
      </c>
      <c r="JO39" s="55">
        <v>0</v>
      </c>
      <c r="JP39" s="89">
        <f t="shared" si="21"/>
        <v>4</v>
      </c>
      <c r="JQ39" s="55">
        <v>2</v>
      </c>
      <c r="JR39" s="55">
        <v>1</v>
      </c>
      <c r="JS39" s="55">
        <v>0</v>
      </c>
      <c r="JT39" s="55">
        <v>0</v>
      </c>
      <c r="JU39" s="55">
        <v>0</v>
      </c>
      <c r="JV39" s="55">
        <v>0</v>
      </c>
      <c r="JW39" s="55">
        <v>0</v>
      </c>
      <c r="JX39" s="92">
        <f t="shared" si="22"/>
        <v>3</v>
      </c>
      <c r="JY39" s="93">
        <f t="shared" si="23"/>
        <v>7</v>
      </c>
      <c r="JZ39" s="55">
        <v>3</v>
      </c>
      <c r="KA39" s="55">
        <v>2</v>
      </c>
      <c r="KB39" s="55">
        <v>0</v>
      </c>
      <c r="KC39" s="55">
        <v>0</v>
      </c>
      <c r="KD39" s="55">
        <v>0</v>
      </c>
      <c r="KE39" s="55">
        <v>0</v>
      </c>
      <c r="KF39" s="55">
        <v>0</v>
      </c>
      <c r="KG39" s="94">
        <f t="shared" si="24"/>
        <v>5</v>
      </c>
      <c r="KH39" s="95" t="s">
        <v>330</v>
      </c>
      <c r="KI39" s="55">
        <v>0</v>
      </c>
      <c r="KJ39" s="55">
        <v>2</v>
      </c>
      <c r="KK39" s="55">
        <v>0</v>
      </c>
      <c r="KL39" s="95" t="s">
        <v>327</v>
      </c>
      <c r="KM39" s="55">
        <v>2</v>
      </c>
      <c r="KN39" s="55">
        <v>0</v>
      </c>
      <c r="KO39" s="55">
        <v>0</v>
      </c>
      <c r="KP39" s="95" t="s">
        <v>330</v>
      </c>
      <c r="KQ39" s="55">
        <v>0</v>
      </c>
      <c r="KR39" s="55">
        <v>2</v>
      </c>
      <c r="KS39" s="55">
        <v>0</v>
      </c>
      <c r="KT39" s="95" t="s">
        <v>326</v>
      </c>
      <c r="KU39" s="55">
        <v>0</v>
      </c>
      <c r="KV39" s="55">
        <v>2</v>
      </c>
      <c r="KW39" s="55">
        <v>0</v>
      </c>
      <c r="KX39" s="95" t="s">
        <v>430</v>
      </c>
      <c r="KY39" s="55">
        <v>1</v>
      </c>
      <c r="KZ39" s="55">
        <v>1</v>
      </c>
      <c r="LA39" s="55">
        <v>0</v>
      </c>
      <c r="LB39" s="95" t="s">
        <v>326</v>
      </c>
      <c r="LC39" s="55">
        <v>0</v>
      </c>
      <c r="LD39" s="55">
        <v>2</v>
      </c>
      <c r="LE39" s="55">
        <v>0</v>
      </c>
      <c r="LF39" s="95" t="s">
        <v>325</v>
      </c>
      <c r="LG39" s="55">
        <v>2</v>
      </c>
      <c r="LH39" s="55">
        <v>0</v>
      </c>
      <c r="LI39" s="55"/>
      <c r="LJ39" s="95" t="s">
        <v>463</v>
      </c>
      <c r="LK39" s="55">
        <v>1</v>
      </c>
      <c r="LL39" s="55">
        <v>1</v>
      </c>
      <c r="LM39" s="55">
        <v>0</v>
      </c>
      <c r="LN39" s="96">
        <f t="shared" si="25"/>
        <v>10</v>
      </c>
      <c r="LO39" s="97">
        <f t="shared" si="26"/>
        <v>0</v>
      </c>
      <c r="LP39" s="97">
        <f t="shared" si="27"/>
        <v>22</v>
      </c>
    </row>
    <row r="40" spans="1:328" s="98" customFormat="1" ht="13.8">
      <c r="A40" s="55" t="s">
        <v>613</v>
      </c>
      <c r="B40" s="110">
        <v>45967</v>
      </c>
      <c r="C40" s="61">
        <v>34</v>
      </c>
      <c r="D40" s="62"/>
      <c r="E40" s="62" t="s">
        <v>764</v>
      </c>
      <c r="F40" s="61">
        <v>1</v>
      </c>
      <c r="G40" s="61">
        <v>1</v>
      </c>
      <c r="H40" s="61">
        <v>1</v>
      </c>
      <c r="I40" s="164">
        <v>2</v>
      </c>
      <c r="J40" s="164">
        <v>2</v>
      </c>
      <c r="K40" s="63">
        <v>8.7499999999999994E-2</v>
      </c>
      <c r="L40" s="63">
        <v>2.5694444444444443E-2</v>
      </c>
      <c r="M40" s="63">
        <v>2.5000000000000001E-2</v>
      </c>
      <c r="N40" s="64" t="s">
        <v>1041</v>
      </c>
      <c r="O40" s="101" t="s">
        <v>1014</v>
      </c>
      <c r="P40" s="95" t="s">
        <v>674</v>
      </c>
      <c r="Q40" s="95">
        <v>1</v>
      </c>
      <c r="R40" s="125">
        <v>16115</v>
      </c>
      <c r="S40" s="95">
        <v>80</v>
      </c>
      <c r="T40" s="95" t="s">
        <v>259</v>
      </c>
      <c r="U40" s="95" t="s">
        <v>287</v>
      </c>
      <c r="V40" s="95">
        <v>2854672</v>
      </c>
      <c r="W40" s="95" t="s">
        <v>595</v>
      </c>
      <c r="X40" s="95" t="s">
        <v>596</v>
      </c>
      <c r="Y40" s="95" t="s">
        <v>288</v>
      </c>
      <c r="Z40" s="95" t="s">
        <v>262</v>
      </c>
      <c r="AA40" s="95" t="s">
        <v>323</v>
      </c>
      <c r="AB40" s="95" t="s">
        <v>300</v>
      </c>
      <c r="AC40" s="95" t="s">
        <v>597</v>
      </c>
      <c r="AD40" s="95" t="s">
        <v>597</v>
      </c>
      <c r="AE40" s="95" t="s">
        <v>675</v>
      </c>
      <c r="AF40" s="95" t="s">
        <v>597</v>
      </c>
      <c r="AG40" s="95" t="s">
        <v>610</v>
      </c>
      <c r="AH40" s="95" t="s">
        <v>599</v>
      </c>
      <c r="AI40" s="95" t="s">
        <v>599</v>
      </c>
      <c r="AJ40" s="125">
        <v>45826</v>
      </c>
      <c r="AK40" s="55" t="s">
        <v>676</v>
      </c>
      <c r="AL40" s="115">
        <v>1</v>
      </c>
      <c r="AM40" s="115">
        <v>1</v>
      </c>
      <c r="AN40" s="115">
        <v>1</v>
      </c>
      <c r="AO40" s="115">
        <v>1</v>
      </c>
      <c r="AP40" s="115">
        <v>1</v>
      </c>
      <c r="AQ40" s="115">
        <v>1</v>
      </c>
      <c r="AR40" s="115">
        <v>1</v>
      </c>
      <c r="AS40" s="115">
        <v>1</v>
      </c>
      <c r="AT40" s="70">
        <f t="shared" si="0"/>
        <v>8</v>
      </c>
      <c r="AU40" s="71">
        <v>1</v>
      </c>
      <c r="AV40" s="71">
        <v>1</v>
      </c>
      <c r="AW40" s="71">
        <v>1</v>
      </c>
      <c r="AX40" s="71">
        <v>1</v>
      </c>
      <c r="AY40" s="70">
        <f t="shared" si="1"/>
        <v>4</v>
      </c>
      <c r="AZ40" s="115">
        <v>0</v>
      </c>
      <c r="BA40" s="115">
        <v>0</v>
      </c>
      <c r="BB40" s="115">
        <v>0</v>
      </c>
      <c r="BC40" s="115">
        <v>0</v>
      </c>
      <c r="BD40" s="115">
        <v>0</v>
      </c>
      <c r="BE40" s="69">
        <v>1</v>
      </c>
      <c r="BF40" s="115">
        <v>0</v>
      </c>
      <c r="BG40" s="115">
        <v>0</v>
      </c>
      <c r="BH40" s="70">
        <f t="shared" si="2"/>
        <v>1</v>
      </c>
      <c r="BI40" s="69">
        <v>0</v>
      </c>
      <c r="BJ40" s="69">
        <v>0</v>
      </c>
      <c r="BK40" s="70">
        <f t="shared" si="3"/>
        <v>0</v>
      </c>
      <c r="BL40" s="92">
        <v>1</v>
      </c>
      <c r="BM40" s="72">
        <v>0</v>
      </c>
      <c r="BN40" s="72">
        <v>0</v>
      </c>
      <c r="BO40" s="72">
        <v>0</v>
      </c>
      <c r="BP40" s="120">
        <v>1</v>
      </c>
      <c r="BQ40" s="72">
        <v>0</v>
      </c>
      <c r="BR40" s="72">
        <v>0</v>
      </c>
      <c r="BS40" s="72">
        <v>0</v>
      </c>
      <c r="BT40" s="70">
        <f t="shared" si="4"/>
        <v>1</v>
      </c>
      <c r="BU40" s="70">
        <f t="shared" si="5"/>
        <v>14</v>
      </c>
      <c r="BV40" s="73">
        <v>5</v>
      </c>
      <c r="BW40" s="73">
        <v>5</v>
      </c>
      <c r="BX40" s="73">
        <v>5</v>
      </c>
      <c r="BY40" s="73">
        <v>1</v>
      </c>
      <c r="BZ40" s="73">
        <v>5</v>
      </c>
      <c r="CA40" s="73">
        <v>3</v>
      </c>
      <c r="CB40" s="73">
        <v>5</v>
      </c>
      <c r="CC40" s="73">
        <v>5</v>
      </c>
      <c r="CD40" s="73">
        <v>2</v>
      </c>
      <c r="CE40" s="73">
        <v>3</v>
      </c>
      <c r="CF40" s="73">
        <v>3</v>
      </c>
      <c r="CG40" s="73">
        <v>5</v>
      </c>
      <c r="CH40" s="74">
        <v>5</v>
      </c>
      <c r="CI40" s="73">
        <v>5</v>
      </c>
      <c r="CJ40" s="73">
        <v>3</v>
      </c>
      <c r="CK40" s="75">
        <f t="shared" si="96"/>
        <v>60</v>
      </c>
      <c r="CL40" s="76">
        <v>5</v>
      </c>
      <c r="CM40" s="76">
        <v>1</v>
      </c>
      <c r="CN40" s="76">
        <v>5</v>
      </c>
      <c r="CO40" s="76">
        <v>5</v>
      </c>
      <c r="CP40" s="76">
        <v>5</v>
      </c>
      <c r="CQ40" s="76">
        <v>5</v>
      </c>
      <c r="CR40" s="76">
        <v>1</v>
      </c>
      <c r="CS40" s="76">
        <v>5</v>
      </c>
      <c r="CT40" s="76">
        <v>5</v>
      </c>
      <c r="CU40" s="76">
        <v>5</v>
      </c>
      <c r="CV40" s="76">
        <v>5</v>
      </c>
      <c r="CW40" s="76">
        <v>1</v>
      </c>
      <c r="CX40" s="76">
        <v>1</v>
      </c>
      <c r="CY40" s="76">
        <v>4</v>
      </c>
      <c r="CZ40" s="76">
        <v>5</v>
      </c>
      <c r="DA40" s="76">
        <v>5</v>
      </c>
      <c r="DB40" s="76">
        <v>5</v>
      </c>
      <c r="DC40" s="76">
        <v>4</v>
      </c>
      <c r="DD40" s="76">
        <v>5</v>
      </c>
      <c r="DE40" s="76">
        <v>5</v>
      </c>
      <c r="DF40" s="76">
        <v>5</v>
      </c>
      <c r="DG40" s="76">
        <v>5</v>
      </c>
      <c r="DH40" s="76">
        <v>5</v>
      </c>
      <c r="DI40" s="76">
        <v>5</v>
      </c>
      <c r="DJ40" s="76">
        <v>1</v>
      </c>
      <c r="DK40" s="76">
        <v>5</v>
      </c>
      <c r="DL40" s="76">
        <v>3</v>
      </c>
      <c r="DM40" s="76">
        <v>1</v>
      </c>
      <c r="DN40" s="76">
        <f t="shared" si="7"/>
        <v>112</v>
      </c>
      <c r="DO40" s="76">
        <v>29</v>
      </c>
      <c r="DP40" s="55">
        <v>0</v>
      </c>
      <c r="DQ40" s="55">
        <v>1</v>
      </c>
      <c r="DR40" s="55">
        <v>1</v>
      </c>
      <c r="DS40" s="55">
        <v>1</v>
      </c>
      <c r="DT40" s="55">
        <v>1</v>
      </c>
      <c r="DU40" s="55">
        <v>0</v>
      </c>
      <c r="DV40" s="55">
        <v>1</v>
      </c>
      <c r="DW40" s="55">
        <v>1</v>
      </c>
      <c r="DX40" s="55">
        <v>0</v>
      </c>
      <c r="DY40" s="55">
        <v>0</v>
      </c>
      <c r="DZ40" s="55">
        <v>0</v>
      </c>
      <c r="EA40" s="55">
        <v>0</v>
      </c>
      <c r="EB40" s="55">
        <v>0</v>
      </c>
      <c r="EC40" s="55">
        <v>0</v>
      </c>
      <c r="ED40" s="55">
        <v>1</v>
      </c>
      <c r="EE40" s="77">
        <f t="shared" si="124"/>
        <v>7</v>
      </c>
      <c r="EF40" s="77" t="s">
        <v>267</v>
      </c>
      <c r="EG40" s="78">
        <f t="shared" si="8"/>
        <v>7</v>
      </c>
      <c r="EH40" s="55">
        <v>0</v>
      </c>
      <c r="EI40" s="55">
        <v>0</v>
      </c>
      <c r="EJ40" s="55">
        <v>1</v>
      </c>
      <c r="EK40" s="55">
        <v>0</v>
      </c>
      <c r="EL40" s="55">
        <v>1</v>
      </c>
      <c r="EM40" s="55">
        <v>0</v>
      </c>
      <c r="EN40" s="55">
        <v>0</v>
      </c>
      <c r="EO40" s="55">
        <v>0.5</v>
      </c>
      <c r="EP40" s="55">
        <v>0</v>
      </c>
      <c r="EQ40" s="55">
        <v>0</v>
      </c>
      <c r="ER40" s="55">
        <v>0</v>
      </c>
      <c r="ES40" s="55">
        <v>0</v>
      </c>
      <c r="ET40" s="55">
        <v>0</v>
      </c>
      <c r="EU40" s="55">
        <v>0</v>
      </c>
      <c r="EV40" s="55">
        <v>0</v>
      </c>
      <c r="EW40" s="55">
        <v>1</v>
      </c>
      <c r="EX40" s="55">
        <v>0</v>
      </c>
      <c r="EY40" s="55">
        <v>1</v>
      </c>
      <c r="EZ40" s="55">
        <v>0</v>
      </c>
      <c r="FA40" s="55">
        <v>0</v>
      </c>
      <c r="FB40" s="55">
        <v>0</v>
      </c>
      <c r="FC40" s="55">
        <v>0</v>
      </c>
      <c r="FD40" s="79">
        <f t="shared" si="9"/>
        <v>4.5</v>
      </c>
      <c r="FE40" s="79">
        <v>2</v>
      </c>
      <c r="FF40" s="55">
        <v>1</v>
      </c>
      <c r="FG40" s="55">
        <v>1</v>
      </c>
      <c r="FH40" s="55">
        <v>1</v>
      </c>
      <c r="FI40" s="55">
        <v>1</v>
      </c>
      <c r="FJ40" s="55">
        <v>1</v>
      </c>
      <c r="FK40" s="55">
        <v>1</v>
      </c>
      <c r="FL40" s="55">
        <v>1</v>
      </c>
      <c r="FM40" s="55">
        <v>1</v>
      </c>
      <c r="FN40" s="81">
        <f t="shared" si="10"/>
        <v>8</v>
      </c>
      <c r="FO40" s="82">
        <v>1</v>
      </c>
      <c r="FP40" s="55">
        <v>10</v>
      </c>
      <c r="FQ40" s="55">
        <v>5</v>
      </c>
      <c r="FR40" s="55">
        <v>10</v>
      </c>
      <c r="FS40" s="55">
        <v>5</v>
      </c>
      <c r="FT40" s="55">
        <v>10</v>
      </c>
      <c r="FU40" s="55">
        <v>5</v>
      </c>
      <c r="FV40" s="55">
        <v>10</v>
      </c>
      <c r="FW40" s="55">
        <v>15</v>
      </c>
      <c r="FX40" s="55">
        <v>15</v>
      </c>
      <c r="FY40" s="55">
        <v>10</v>
      </c>
      <c r="FZ40" s="83">
        <f t="shared" si="11"/>
        <v>95</v>
      </c>
      <c r="GA40" s="84">
        <v>2</v>
      </c>
      <c r="GB40" s="55">
        <v>0.5</v>
      </c>
      <c r="GC40" s="85">
        <v>1</v>
      </c>
      <c r="GD40" s="85">
        <v>0</v>
      </c>
      <c r="GE40" s="85">
        <v>0</v>
      </c>
      <c r="GF40" s="85">
        <v>0</v>
      </c>
      <c r="GG40" s="85">
        <v>0</v>
      </c>
      <c r="GH40" s="85">
        <v>0</v>
      </c>
      <c r="GI40" s="55">
        <v>0</v>
      </c>
      <c r="GJ40" s="55">
        <v>0</v>
      </c>
      <c r="GK40" s="55">
        <v>0</v>
      </c>
      <c r="GL40" s="55">
        <v>0</v>
      </c>
      <c r="GM40" s="55">
        <v>0</v>
      </c>
      <c r="GN40" s="55">
        <v>0</v>
      </c>
      <c r="GO40" s="55">
        <v>0</v>
      </c>
      <c r="GP40" s="55">
        <v>0</v>
      </c>
      <c r="GQ40" s="55">
        <v>0</v>
      </c>
      <c r="GR40" s="55">
        <v>0</v>
      </c>
      <c r="GS40" s="55">
        <v>0</v>
      </c>
      <c r="GT40" s="55">
        <v>0</v>
      </c>
      <c r="GU40" s="86">
        <f t="shared" si="12"/>
        <v>0</v>
      </c>
      <c r="GV40" s="87" t="s">
        <v>301</v>
      </c>
      <c r="GW40" s="87">
        <v>0</v>
      </c>
      <c r="GX40" s="88" t="s">
        <v>267</v>
      </c>
      <c r="GY40" s="55">
        <v>5</v>
      </c>
      <c r="GZ40" s="55">
        <v>5</v>
      </c>
      <c r="HA40" s="55">
        <v>3</v>
      </c>
      <c r="HB40" s="55">
        <v>3</v>
      </c>
      <c r="HC40" s="55">
        <v>2</v>
      </c>
      <c r="HD40" s="55">
        <v>3</v>
      </c>
      <c r="HE40" s="55"/>
      <c r="HF40" s="55"/>
      <c r="HG40" s="55">
        <v>3</v>
      </c>
      <c r="HH40" s="55">
        <v>7</v>
      </c>
      <c r="HI40" s="55">
        <v>7</v>
      </c>
      <c r="HJ40" s="55"/>
      <c r="HK40" s="55">
        <v>4</v>
      </c>
      <c r="HL40" s="55">
        <v>7</v>
      </c>
      <c r="HM40" s="55">
        <v>5</v>
      </c>
      <c r="HN40" s="55">
        <v>1</v>
      </c>
      <c r="HO40" s="55">
        <v>3</v>
      </c>
      <c r="HP40" s="55">
        <v>1</v>
      </c>
      <c r="HQ40" s="55">
        <v>2</v>
      </c>
      <c r="HR40" s="55">
        <v>1</v>
      </c>
      <c r="HS40" s="55">
        <v>1</v>
      </c>
      <c r="HT40" s="55">
        <v>2</v>
      </c>
      <c r="HU40" s="55">
        <v>3</v>
      </c>
      <c r="HV40" s="55">
        <v>1</v>
      </c>
      <c r="HW40" s="55">
        <v>0</v>
      </c>
      <c r="HX40" s="55">
        <v>0</v>
      </c>
      <c r="HY40" s="55">
        <v>3</v>
      </c>
      <c r="HZ40" s="55">
        <v>3</v>
      </c>
      <c r="IA40" s="55">
        <v>4</v>
      </c>
      <c r="IB40" s="55">
        <v>7</v>
      </c>
      <c r="IC40" s="55"/>
      <c r="ID40" s="55">
        <f t="shared" ref="ID40:IG40" si="143">SUM(GY40)</f>
        <v>5</v>
      </c>
      <c r="IE40" s="55">
        <f t="shared" si="143"/>
        <v>5</v>
      </c>
      <c r="IF40" s="55">
        <f t="shared" si="143"/>
        <v>3</v>
      </c>
      <c r="IG40" s="55">
        <f t="shared" si="143"/>
        <v>3</v>
      </c>
      <c r="IH40" s="55">
        <f t="shared" si="14"/>
        <v>5</v>
      </c>
      <c r="II40" s="55">
        <f t="shared" si="15"/>
        <v>3</v>
      </c>
      <c r="IJ40" s="55">
        <f t="shared" si="16"/>
        <v>14</v>
      </c>
      <c r="IK40" s="55">
        <f t="shared" ref="IK40:IQ40" si="144">SUM(HK40)</f>
        <v>4</v>
      </c>
      <c r="IL40" s="55">
        <f t="shared" si="144"/>
        <v>7</v>
      </c>
      <c r="IM40" s="55">
        <f t="shared" si="144"/>
        <v>5</v>
      </c>
      <c r="IN40" s="55">
        <f t="shared" si="144"/>
        <v>1</v>
      </c>
      <c r="IO40" s="55">
        <f t="shared" si="144"/>
        <v>3</v>
      </c>
      <c r="IP40" s="55">
        <f t="shared" si="144"/>
        <v>1</v>
      </c>
      <c r="IQ40" s="55">
        <f t="shared" si="144"/>
        <v>2</v>
      </c>
      <c r="IR40" s="55">
        <f t="shared" si="18"/>
        <v>2</v>
      </c>
      <c r="IS40" s="55">
        <f t="shared" ref="IS40:JB40" si="145">SUM(HT40)</f>
        <v>2</v>
      </c>
      <c r="IT40" s="55">
        <f t="shared" si="145"/>
        <v>3</v>
      </c>
      <c r="IU40" s="55">
        <f t="shared" si="145"/>
        <v>1</v>
      </c>
      <c r="IV40" s="55">
        <f t="shared" si="145"/>
        <v>0</v>
      </c>
      <c r="IW40" s="55">
        <f t="shared" si="145"/>
        <v>0</v>
      </c>
      <c r="IX40" s="55">
        <f t="shared" si="145"/>
        <v>3</v>
      </c>
      <c r="IY40" s="55">
        <f t="shared" si="145"/>
        <v>3</v>
      </c>
      <c r="IZ40" s="55">
        <f t="shared" si="145"/>
        <v>4</v>
      </c>
      <c r="JA40" s="55">
        <f t="shared" si="145"/>
        <v>7</v>
      </c>
      <c r="JB40" s="55">
        <f t="shared" si="145"/>
        <v>0</v>
      </c>
      <c r="JC40" s="89">
        <f t="shared" si="20"/>
        <v>83</v>
      </c>
      <c r="JD40" s="90">
        <v>1</v>
      </c>
      <c r="JE40" s="90">
        <v>1</v>
      </c>
      <c r="JF40" s="91">
        <v>8</v>
      </c>
      <c r="JG40" s="91">
        <v>2</v>
      </c>
      <c r="JH40" s="55">
        <v>2</v>
      </c>
      <c r="JI40" s="55">
        <v>2</v>
      </c>
      <c r="JJ40" s="55">
        <v>0</v>
      </c>
      <c r="JK40" s="55">
        <v>0</v>
      </c>
      <c r="JL40" s="55">
        <v>0</v>
      </c>
      <c r="JM40" s="55">
        <v>0</v>
      </c>
      <c r="JN40" s="55">
        <v>0</v>
      </c>
      <c r="JO40" s="55">
        <v>0</v>
      </c>
      <c r="JP40" s="89">
        <f t="shared" si="21"/>
        <v>4</v>
      </c>
      <c r="JQ40" s="55">
        <v>2</v>
      </c>
      <c r="JR40" s="55">
        <v>0</v>
      </c>
      <c r="JS40" s="55">
        <v>0</v>
      </c>
      <c r="JT40" s="55">
        <v>0</v>
      </c>
      <c r="JU40" s="55">
        <v>0</v>
      </c>
      <c r="JV40" s="55">
        <v>0</v>
      </c>
      <c r="JW40" s="55">
        <v>0</v>
      </c>
      <c r="JX40" s="92">
        <f t="shared" si="22"/>
        <v>2</v>
      </c>
      <c r="JY40" s="93">
        <f t="shared" si="23"/>
        <v>6</v>
      </c>
      <c r="JZ40" s="55">
        <v>3</v>
      </c>
      <c r="KA40" s="55">
        <v>1</v>
      </c>
      <c r="KB40" s="55">
        <v>0</v>
      </c>
      <c r="KC40" s="55">
        <v>0</v>
      </c>
      <c r="KD40" s="55">
        <v>0</v>
      </c>
      <c r="KE40" s="55">
        <v>0</v>
      </c>
      <c r="KF40" s="55">
        <v>0</v>
      </c>
      <c r="KG40" s="94">
        <f t="shared" si="24"/>
        <v>4</v>
      </c>
      <c r="KH40" s="95" t="s">
        <v>327</v>
      </c>
      <c r="KI40" s="55">
        <v>0</v>
      </c>
      <c r="KJ40" s="55">
        <v>2</v>
      </c>
      <c r="KK40" s="55">
        <v>0</v>
      </c>
      <c r="KL40" s="95" t="s">
        <v>464</v>
      </c>
      <c r="KM40" s="55">
        <v>0</v>
      </c>
      <c r="KN40" s="55">
        <v>2</v>
      </c>
      <c r="KO40" s="55">
        <v>0</v>
      </c>
      <c r="KP40" s="95" t="s">
        <v>315</v>
      </c>
      <c r="KQ40" s="55">
        <v>0</v>
      </c>
      <c r="KR40" s="55">
        <v>2</v>
      </c>
      <c r="KS40" s="55">
        <v>0</v>
      </c>
      <c r="KT40" s="95" t="s">
        <v>321</v>
      </c>
      <c r="KU40" s="55">
        <v>0</v>
      </c>
      <c r="KV40" s="55">
        <v>2</v>
      </c>
      <c r="KW40" s="55">
        <v>0</v>
      </c>
      <c r="KX40" s="95" t="s">
        <v>465</v>
      </c>
      <c r="KY40" s="55">
        <v>0</v>
      </c>
      <c r="KZ40" s="55">
        <v>2</v>
      </c>
      <c r="LA40" s="55">
        <v>0</v>
      </c>
      <c r="LB40" s="95" t="s">
        <v>331</v>
      </c>
      <c r="LC40" s="55">
        <v>0</v>
      </c>
      <c r="LD40" s="55">
        <v>2</v>
      </c>
      <c r="LE40" s="55">
        <v>0</v>
      </c>
      <c r="LF40" s="95" t="s">
        <v>466</v>
      </c>
      <c r="LG40" s="55">
        <v>2</v>
      </c>
      <c r="LH40" s="55">
        <v>0</v>
      </c>
      <c r="LI40" s="55">
        <v>0</v>
      </c>
      <c r="LJ40" s="95" t="s">
        <v>325</v>
      </c>
      <c r="LK40" s="55">
        <v>1</v>
      </c>
      <c r="LL40" s="55">
        <v>1</v>
      </c>
      <c r="LM40" s="55">
        <v>0</v>
      </c>
      <c r="LN40" s="96">
        <f t="shared" si="25"/>
        <v>13</v>
      </c>
      <c r="LO40" s="97">
        <f t="shared" si="26"/>
        <v>0</v>
      </c>
      <c r="LP40" s="97">
        <f t="shared" si="27"/>
        <v>23</v>
      </c>
    </row>
    <row r="41" spans="1:328" s="98" customFormat="1" ht="18.75" customHeight="1">
      <c r="A41" s="55" t="s">
        <v>613</v>
      </c>
      <c r="B41" s="40"/>
      <c r="C41" s="40">
        <v>59</v>
      </c>
      <c r="D41" s="62" t="s">
        <v>763</v>
      </c>
      <c r="E41" s="62"/>
      <c r="F41" s="61">
        <v>1</v>
      </c>
      <c r="G41" s="61">
        <v>1</v>
      </c>
      <c r="H41" s="61">
        <v>1</v>
      </c>
      <c r="I41" s="164">
        <v>6</v>
      </c>
      <c r="J41" s="164">
        <v>6</v>
      </c>
      <c r="K41" s="63">
        <v>0.12430555555555556</v>
      </c>
      <c r="L41" s="63">
        <v>8.7499999999999994E-2</v>
      </c>
      <c r="M41" s="63">
        <v>8.8888888888888892E-2</v>
      </c>
      <c r="N41" s="64" t="s">
        <v>1040</v>
      </c>
      <c r="O41" s="101" t="s">
        <v>1015</v>
      </c>
      <c r="P41" s="95" t="s">
        <v>786</v>
      </c>
      <c r="Q41" s="95">
        <v>1</v>
      </c>
      <c r="R41" s="125">
        <v>21798</v>
      </c>
      <c r="S41" s="95">
        <v>65</v>
      </c>
      <c r="T41" s="95" t="s">
        <v>310</v>
      </c>
      <c r="U41" s="95" t="s">
        <v>260</v>
      </c>
      <c r="V41" s="130" t="s">
        <v>787</v>
      </c>
      <c r="W41" s="95" t="s">
        <v>624</v>
      </c>
      <c r="X41" s="95" t="s">
        <v>596</v>
      </c>
      <c r="Y41" s="95" t="s">
        <v>288</v>
      </c>
      <c r="Z41" s="95" t="s">
        <v>262</v>
      </c>
      <c r="AA41" s="95" t="s">
        <v>312</v>
      </c>
      <c r="AB41" s="95" t="s">
        <v>264</v>
      </c>
      <c r="AC41" s="95" t="s">
        <v>599</v>
      </c>
      <c r="AD41" s="95" t="s">
        <v>597</v>
      </c>
      <c r="AE41" s="95" t="s">
        <v>788</v>
      </c>
      <c r="AF41" s="95" t="s">
        <v>599</v>
      </c>
      <c r="AG41" s="95" t="s">
        <v>716</v>
      </c>
      <c r="AH41" s="95" t="s">
        <v>599</v>
      </c>
      <c r="AI41" s="95" t="s">
        <v>599</v>
      </c>
      <c r="AJ41" s="125">
        <v>44927</v>
      </c>
      <c r="AK41" s="97"/>
      <c r="AL41" s="115">
        <v>1</v>
      </c>
      <c r="AM41" s="115">
        <v>1</v>
      </c>
      <c r="AN41" s="115">
        <v>1</v>
      </c>
      <c r="AO41" s="115">
        <v>1</v>
      </c>
      <c r="AP41" s="115">
        <v>1</v>
      </c>
      <c r="AQ41" s="115">
        <v>1</v>
      </c>
      <c r="AR41" s="115">
        <v>1</v>
      </c>
      <c r="AS41" s="115">
        <v>1</v>
      </c>
      <c r="AT41" s="70">
        <f t="shared" si="0"/>
        <v>8</v>
      </c>
      <c r="AU41" s="71">
        <v>1</v>
      </c>
      <c r="AV41" s="71">
        <v>1</v>
      </c>
      <c r="AW41" s="71">
        <v>1</v>
      </c>
      <c r="AX41" s="71">
        <v>1</v>
      </c>
      <c r="AY41" s="70">
        <f t="shared" si="1"/>
        <v>4</v>
      </c>
      <c r="AZ41" s="115">
        <v>0</v>
      </c>
      <c r="BA41" s="115">
        <v>0</v>
      </c>
      <c r="BB41" s="115">
        <v>0</v>
      </c>
      <c r="BC41" s="115">
        <v>0</v>
      </c>
      <c r="BD41" s="115">
        <v>0</v>
      </c>
      <c r="BE41" s="115">
        <v>1</v>
      </c>
      <c r="BF41" s="115">
        <v>0</v>
      </c>
      <c r="BG41" s="115">
        <v>0</v>
      </c>
      <c r="BH41" s="70">
        <f t="shared" si="2"/>
        <v>1</v>
      </c>
      <c r="BI41" s="69">
        <v>0</v>
      </c>
      <c r="BJ41" s="69">
        <v>0</v>
      </c>
      <c r="BK41" s="70">
        <f t="shared" si="3"/>
        <v>0</v>
      </c>
      <c r="BL41" s="92">
        <v>1</v>
      </c>
      <c r="BM41" s="72">
        <v>0</v>
      </c>
      <c r="BN41" s="72">
        <v>0</v>
      </c>
      <c r="BO41" s="72">
        <v>0</v>
      </c>
      <c r="BP41" s="92">
        <v>1</v>
      </c>
      <c r="BQ41" s="72">
        <v>0</v>
      </c>
      <c r="BR41" s="72">
        <v>0</v>
      </c>
      <c r="BS41" s="72">
        <v>0</v>
      </c>
      <c r="BT41" s="70">
        <f t="shared" si="4"/>
        <v>1</v>
      </c>
      <c r="BU41" s="70">
        <f t="shared" si="5"/>
        <v>14</v>
      </c>
      <c r="BV41" s="73">
        <v>5</v>
      </c>
      <c r="BW41" s="73">
        <v>5</v>
      </c>
      <c r="BX41" s="73">
        <v>5</v>
      </c>
      <c r="BY41" s="73">
        <v>1</v>
      </c>
      <c r="BZ41" s="73">
        <v>5</v>
      </c>
      <c r="CA41" s="73">
        <v>3</v>
      </c>
      <c r="CB41" s="73">
        <v>5</v>
      </c>
      <c r="CC41" s="73">
        <v>5</v>
      </c>
      <c r="CD41" s="73">
        <v>2</v>
      </c>
      <c r="CE41" s="73">
        <v>3</v>
      </c>
      <c r="CF41" s="73">
        <v>3</v>
      </c>
      <c r="CG41" s="73">
        <v>5</v>
      </c>
      <c r="CH41" s="74">
        <v>5</v>
      </c>
      <c r="CI41" s="73">
        <v>5</v>
      </c>
      <c r="CJ41" s="73">
        <v>3</v>
      </c>
      <c r="CK41" s="75">
        <f t="shared" si="96"/>
        <v>60</v>
      </c>
      <c r="CL41" s="76">
        <v>5</v>
      </c>
      <c r="CM41" s="76">
        <v>1</v>
      </c>
      <c r="CN41" s="76">
        <v>5</v>
      </c>
      <c r="CO41" s="76">
        <v>5</v>
      </c>
      <c r="CP41" s="76">
        <v>5</v>
      </c>
      <c r="CQ41" s="76">
        <v>5</v>
      </c>
      <c r="CR41" s="76">
        <v>1</v>
      </c>
      <c r="CS41" s="76">
        <v>5</v>
      </c>
      <c r="CT41" s="76">
        <v>5</v>
      </c>
      <c r="CU41" s="76">
        <v>5</v>
      </c>
      <c r="CV41" s="76">
        <v>5</v>
      </c>
      <c r="CW41" s="76">
        <v>1</v>
      </c>
      <c r="CX41" s="76">
        <v>1</v>
      </c>
      <c r="CY41" s="76">
        <v>4</v>
      </c>
      <c r="CZ41" s="76">
        <v>5</v>
      </c>
      <c r="DA41" s="76">
        <v>5</v>
      </c>
      <c r="DB41" s="76">
        <v>5</v>
      </c>
      <c r="DC41" s="76">
        <v>4</v>
      </c>
      <c r="DD41" s="76">
        <v>5</v>
      </c>
      <c r="DE41" s="76">
        <v>5</v>
      </c>
      <c r="DF41" s="76">
        <v>5</v>
      </c>
      <c r="DG41" s="76">
        <v>5</v>
      </c>
      <c r="DH41" s="76">
        <v>5</v>
      </c>
      <c r="DI41" s="76">
        <v>5</v>
      </c>
      <c r="DJ41" s="76">
        <v>1</v>
      </c>
      <c r="DK41" s="76">
        <v>5</v>
      </c>
      <c r="DL41" s="76">
        <v>3</v>
      </c>
      <c r="DM41" s="76">
        <v>1</v>
      </c>
      <c r="DN41" s="76">
        <f t="shared" si="7"/>
        <v>112</v>
      </c>
      <c r="DO41" s="118">
        <v>27</v>
      </c>
      <c r="DP41" s="97">
        <v>1</v>
      </c>
      <c r="DQ41" s="97">
        <v>1</v>
      </c>
      <c r="DR41" s="97">
        <v>1</v>
      </c>
      <c r="DS41" s="97">
        <v>0</v>
      </c>
      <c r="DT41" s="97">
        <v>1</v>
      </c>
      <c r="DU41" s="97">
        <v>1</v>
      </c>
      <c r="DV41" s="97">
        <v>1</v>
      </c>
      <c r="DW41" s="97">
        <v>1</v>
      </c>
      <c r="DX41" s="97">
        <v>1</v>
      </c>
      <c r="DY41" s="97">
        <v>1</v>
      </c>
      <c r="DZ41" s="97">
        <v>0</v>
      </c>
      <c r="EA41" s="97">
        <v>0</v>
      </c>
      <c r="EB41" s="97">
        <v>0</v>
      </c>
      <c r="EC41" s="97">
        <v>1</v>
      </c>
      <c r="ED41" s="97">
        <v>1</v>
      </c>
      <c r="EE41" s="77">
        <f t="shared" si="124"/>
        <v>11</v>
      </c>
      <c r="EF41" s="77" t="s">
        <v>267</v>
      </c>
      <c r="EG41" s="78">
        <f t="shared" si="8"/>
        <v>11</v>
      </c>
      <c r="EH41" s="97">
        <v>0.5</v>
      </c>
      <c r="EI41" s="97">
        <v>0.5</v>
      </c>
      <c r="EJ41" s="97">
        <v>1</v>
      </c>
      <c r="EK41" s="97">
        <v>0</v>
      </c>
      <c r="EL41" s="97">
        <v>0</v>
      </c>
      <c r="EM41" s="97">
        <v>0</v>
      </c>
      <c r="EN41" s="97">
        <v>1</v>
      </c>
      <c r="EO41" s="97">
        <v>0.5</v>
      </c>
      <c r="EP41" s="97">
        <v>2</v>
      </c>
      <c r="EQ41" s="97">
        <v>0</v>
      </c>
      <c r="ER41" s="97">
        <v>0</v>
      </c>
      <c r="ES41" s="97">
        <v>0</v>
      </c>
      <c r="ET41" s="97">
        <v>0</v>
      </c>
      <c r="EU41" s="97">
        <v>0</v>
      </c>
      <c r="EV41" s="97">
        <v>1</v>
      </c>
      <c r="EW41" s="97">
        <v>1</v>
      </c>
      <c r="EX41" s="97">
        <v>0</v>
      </c>
      <c r="EY41" s="97">
        <v>0</v>
      </c>
      <c r="EZ41" s="97">
        <v>0</v>
      </c>
      <c r="FA41" s="97">
        <v>1</v>
      </c>
      <c r="FB41" s="97">
        <v>1</v>
      </c>
      <c r="FC41" s="97">
        <v>0</v>
      </c>
      <c r="FD41" s="79">
        <f t="shared" si="9"/>
        <v>9.5</v>
      </c>
      <c r="FE41" s="79">
        <v>2</v>
      </c>
      <c r="FF41" s="97">
        <v>1</v>
      </c>
      <c r="FG41" s="97">
        <v>1</v>
      </c>
      <c r="FH41" s="97">
        <v>1</v>
      </c>
      <c r="FI41" s="97">
        <v>1</v>
      </c>
      <c r="FJ41" s="97">
        <v>1</v>
      </c>
      <c r="FK41" s="97">
        <v>1</v>
      </c>
      <c r="FL41" s="97">
        <v>1</v>
      </c>
      <c r="FM41" s="97">
        <v>1</v>
      </c>
      <c r="FN41" s="81">
        <f t="shared" si="10"/>
        <v>8</v>
      </c>
      <c r="FO41" s="82">
        <v>1</v>
      </c>
      <c r="FP41" s="97">
        <v>10</v>
      </c>
      <c r="FQ41" s="97">
        <v>5</v>
      </c>
      <c r="FR41" s="97">
        <v>10</v>
      </c>
      <c r="FS41" s="97">
        <v>5</v>
      </c>
      <c r="FT41" s="97">
        <v>10</v>
      </c>
      <c r="FU41" s="97">
        <v>10</v>
      </c>
      <c r="FV41" s="97">
        <v>10</v>
      </c>
      <c r="FW41" s="97">
        <v>15</v>
      </c>
      <c r="FX41" s="97">
        <v>15</v>
      </c>
      <c r="FY41" s="97">
        <v>10</v>
      </c>
      <c r="FZ41" s="83">
        <f t="shared" si="11"/>
        <v>100</v>
      </c>
      <c r="GA41" s="84">
        <v>1</v>
      </c>
      <c r="GB41" s="55">
        <v>0</v>
      </c>
      <c r="GC41" s="85">
        <v>0</v>
      </c>
      <c r="GD41" s="85">
        <v>0</v>
      </c>
      <c r="GE41" s="85">
        <v>0</v>
      </c>
      <c r="GF41" s="85">
        <v>0</v>
      </c>
      <c r="GG41" s="85">
        <v>0</v>
      </c>
      <c r="GH41" s="85">
        <v>0</v>
      </c>
      <c r="GI41" s="97">
        <v>0</v>
      </c>
      <c r="GJ41" s="97">
        <v>0</v>
      </c>
      <c r="GK41" s="97">
        <v>0</v>
      </c>
      <c r="GL41" s="97">
        <v>3</v>
      </c>
      <c r="GM41" s="97">
        <v>0</v>
      </c>
      <c r="GN41" s="97">
        <v>0</v>
      </c>
      <c r="GO41" s="97">
        <v>0</v>
      </c>
      <c r="GP41" s="97">
        <v>0</v>
      </c>
      <c r="GQ41" s="97">
        <v>1</v>
      </c>
      <c r="GR41" s="97">
        <v>0</v>
      </c>
      <c r="GS41" s="97">
        <v>3</v>
      </c>
      <c r="GT41" s="97">
        <v>0</v>
      </c>
      <c r="GU41" s="86">
        <f t="shared" si="12"/>
        <v>7</v>
      </c>
      <c r="GV41" s="128" t="s">
        <v>266</v>
      </c>
      <c r="GW41" s="87">
        <v>0</v>
      </c>
      <c r="GX41" s="88" t="s">
        <v>267</v>
      </c>
      <c r="GY41" s="97">
        <v>5</v>
      </c>
      <c r="GZ41" s="97">
        <v>3</v>
      </c>
      <c r="HA41" s="97">
        <v>3</v>
      </c>
      <c r="HB41" s="97">
        <v>1</v>
      </c>
      <c r="HC41" s="97">
        <v>2</v>
      </c>
      <c r="HD41" s="97">
        <v>5</v>
      </c>
      <c r="HE41" s="97"/>
      <c r="HF41" s="97"/>
      <c r="HG41" s="97">
        <v>3</v>
      </c>
      <c r="HH41" s="97">
        <v>7</v>
      </c>
      <c r="HI41" s="97">
        <v>7</v>
      </c>
      <c r="HJ41" s="97"/>
      <c r="HK41" s="97">
        <v>3</v>
      </c>
      <c r="HL41" s="97">
        <v>5</v>
      </c>
      <c r="HM41" s="97">
        <v>5</v>
      </c>
      <c r="HN41" s="97">
        <v>1</v>
      </c>
      <c r="HO41" s="97">
        <v>3</v>
      </c>
      <c r="HP41" s="97">
        <v>1</v>
      </c>
      <c r="HQ41" s="97">
        <v>2</v>
      </c>
      <c r="HR41" s="97">
        <v>1</v>
      </c>
      <c r="HS41" s="97">
        <v>1</v>
      </c>
      <c r="HT41" s="97">
        <v>2</v>
      </c>
      <c r="HU41" s="97">
        <v>4</v>
      </c>
      <c r="HV41" s="97">
        <v>1</v>
      </c>
      <c r="HW41" s="97">
        <v>1</v>
      </c>
      <c r="HX41" s="97">
        <v>2</v>
      </c>
      <c r="HY41" s="55">
        <v>5</v>
      </c>
      <c r="HZ41" s="97">
        <v>4</v>
      </c>
      <c r="IA41" s="97">
        <v>3</v>
      </c>
      <c r="IB41" s="97">
        <v>7</v>
      </c>
      <c r="IC41" s="55"/>
      <c r="ID41" s="55">
        <f t="shared" ref="ID41:IG41" si="146">SUM(GY41)</f>
        <v>5</v>
      </c>
      <c r="IE41" s="55">
        <f t="shared" si="146"/>
        <v>3</v>
      </c>
      <c r="IF41" s="55">
        <f t="shared" si="146"/>
        <v>3</v>
      </c>
      <c r="IG41" s="55">
        <f t="shared" si="146"/>
        <v>1</v>
      </c>
      <c r="IH41" s="55">
        <f t="shared" si="14"/>
        <v>7</v>
      </c>
      <c r="II41" s="55">
        <f t="shared" si="15"/>
        <v>3</v>
      </c>
      <c r="IJ41" s="55">
        <f t="shared" si="16"/>
        <v>14</v>
      </c>
      <c r="IK41" s="55">
        <f t="shared" ref="IK41:IQ41" si="147">SUM(HK41)</f>
        <v>3</v>
      </c>
      <c r="IL41" s="55">
        <f t="shared" si="147"/>
        <v>5</v>
      </c>
      <c r="IM41" s="55">
        <f t="shared" si="147"/>
        <v>5</v>
      </c>
      <c r="IN41" s="55">
        <f t="shared" si="147"/>
        <v>1</v>
      </c>
      <c r="IO41" s="55">
        <f t="shared" si="147"/>
        <v>3</v>
      </c>
      <c r="IP41" s="55">
        <f t="shared" si="147"/>
        <v>1</v>
      </c>
      <c r="IQ41" s="55">
        <f t="shared" si="147"/>
        <v>2</v>
      </c>
      <c r="IR41" s="55">
        <f t="shared" si="18"/>
        <v>2</v>
      </c>
      <c r="IS41" s="55">
        <f t="shared" ref="IS41:JB41" si="148">SUM(HT41)</f>
        <v>2</v>
      </c>
      <c r="IT41" s="55">
        <f t="shared" si="148"/>
        <v>4</v>
      </c>
      <c r="IU41" s="55">
        <f t="shared" si="148"/>
        <v>1</v>
      </c>
      <c r="IV41" s="55">
        <f t="shared" si="148"/>
        <v>1</v>
      </c>
      <c r="IW41" s="55">
        <f t="shared" si="148"/>
        <v>2</v>
      </c>
      <c r="IX41" s="55">
        <f t="shared" si="148"/>
        <v>5</v>
      </c>
      <c r="IY41" s="55">
        <f t="shared" si="148"/>
        <v>4</v>
      </c>
      <c r="IZ41" s="55">
        <f t="shared" si="148"/>
        <v>3</v>
      </c>
      <c r="JA41" s="55">
        <f t="shared" si="148"/>
        <v>7</v>
      </c>
      <c r="JB41" s="55">
        <f t="shared" si="148"/>
        <v>0</v>
      </c>
      <c r="JC41" s="89">
        <f t="shared" si="20"/>
        <v>86</v>
      </c>
      <c r="JD41" s="90">
        <v>1</v>
      </c>
      <c r="JE41" s="90">
        <v>1</v>
      </c>
      <c r="JF41" s="91">
        <v>38</v>
      </c>
      <c r="JG41" s="91">
        <v>2</v>
      </c>
      <c r="JH41" s="97">
        <v>2</v>
      </c>
      <c r="JI41" s="97">
        <v>2</v>
      </c>
      <c r="JJ41" s="97">
        <v>2</v>
      </c>
      <c r="JK41" s="97">
        <v>2</v>
      </c>
      <c r="JL41" s="97">
        <v>2</v>
      </c>
      <c r="JM41" s="97">
        <v>1</v>
      </c>
      <c r="JN41" s="97">
        <v>0</v>
      </c>
      <c r="JO41" s="97">
        <v>0</v>
      </c>
      <c r="JP41" s="89">
        <f t="shared" si="21"/>
        <v>11</v>
      </c>
      <c r="JQ41" s="97">
        <v>2</v>
      </c>
      <c r="JR41" s="97">
        <v>2</v>
      </c>
      <c r="JS41" s="97">
        <v>2</v>
      </c>
      <c r="JT41" s="97">
        <v>2</v>
      </c>
      <c r="JU41" s="97">
        <v>1</v>
      </c>
      <c r="JV41" s="97">
        <v>1</v>
      </c>
      <c r="JW41" s="97">
        <v>0</v>
      </c>
      <c r="JX41" s="92">
        <f t="shared" si="22"/>
        <v>10</v>
      </c>
      <c r="JY41" s="93">
        <f t="shared" si="23"/>
        <v>21</v>
      </c>
      <c r="JZ41" s="97">
        <v>3</v>
      </c>
      <c r="KA41" s="97">
        <v>2</v>
      </c>
      <c r="KB41" s="97">
        <v>3</v>
      </c>
      <c r="KC41" s="97">
        <v>3</v>
      </c>
      <c r="KD41" s="97">
        <v>1</v>
      </c>
      <c r="KE41" s="97">
        <v>2</v>
      </c>
      <c r="KF41" s="97">
        <v>0</v>
      </c>
      <c r="KG41" s="94">
        <f t="shared" si="24"/>
        <v>14</v>
      </c>
      <c r="KH41" s="95" t="s">
        <v>789</v>
      </c>
      <c r="KI41" s="97">
        <v>0</v>
      </c>
      <c r="KJ41" s="97">
        <v>2</v>
      </c>
      <c r="KK41" s="97">
        <v>1</v>
      </c>
      <c r="KL41" s="95" t="s">
        <v>790</v>
      </c>
      <c r="KM41" s="97">
        <v>0</v>
      </c>
      <c r="KN41" s="97">
        <v>2</v>
      </c>
      <c r="KO41" s="97">
        <v>0</v>
      </c>
      <c r="KP41" s="95" t="s">
        <v>791</v>
      </c>
      <c r="KQ41" s="97">
        <v>0</v>
      </c>
      <c r="KR41" s="97">
        <v>2</v>
      </c>
      <c r="KS41" s="97">
        <v>1</v>
      </c>
      <c r="KT41" s="95" t="s">
        <v>792</v>
      </c>
      <c r="KU41" s="97">
        <v>0</v>
      </c>
      <c r="KV41" s="97">
        <v>2</v>
      </c>
      <c r="KW41" s="97">
        <v>0</v>
      </c>
      <c r="KX41" s="95" t="s">
        <v>793</v>
      </c>
      <c r="KY41" s="97">
        <v>0</v>
      </c>
      <c r="KZ41" s="97">
        <v>2</v>
      </c>
      <c r="LA41" s="97">
        <v>0</v>
      </c>
      <c r="LB41" s="95" t="s">
        <v>794</v>
      </c>
      <c r="LC41" s="97">
        <v>0</v>
      </c>
      <c r="LD41" s="97">
        <v>2</v>
      </c>
      <c r="LE41" s="97">
        <v>2</v>
      </c>
      <c r="LF41" s="95" t="s">
        <v>361</v>
      </c>
      <c r="LG41" s="97">
        <v>2</v>
      </c>
      <c r="LH41" s="97">
        <v>0</v>
      </c>
      <c r="LI41" s="97">
        <v>1</v>
      </c>
      <c r="LJ41" s="95" t="s">
        <v>795</v>
      </c>
      <c r="LK41" s="97">
        <v>1</v>
      </c>
      <c r="LL41" s="97">
        <v>1</v>
      </c>
      <c r="LM41" s="97">
        <v>1</v>
      </c>
      <c r="LN41" s="96">
        <f t="shared" si="25"/>
        <v>19</v>
      </c>
      <c r="LO41" s="97">
        <f t="shared" si="26"/>
        <v>6</v>
      </c>
      <c r="LP41" s="97">
        <f t="shared" si="27"/>
        <v>54</v>
      </c>
    </row>
    <row r="42" spans="1:328" s="98" customFormat="1" ht="13.8">
      <c r="A42" s="55" t="s">
        <v>634</v>
      </c>
      <c r="B42" s="110">
        <v>45967</v>
      </c>
      <c r="C42" s="61">
        <v>38</v>
      </c>
      <c r="D42" s="62"/>
      <c r="E42" s="62" t="s">
        <v>778</v>
      </c>
      <c r="F42" s="61">
        <v>1</v>
      </c>
      <c r="G42" s="61">
        <v>1</v>
      </c>
      <c r="H42" s="61">
        <v>1</v>
      </c>
      <c r="I42" s="164">
        <v>6</v>
      </c>
      <c r="J42" s="164">
        <v>6</v>
      </c>
      <c r="K42" s="63">
        <v>9.6527777777777782E-2</v>
      </c>
      <c r="L42" s="63">
        <v>9.2361111111111116E-2</v>
      </c>
      <c r="M42" s="63">
        <v>9.166666666666666E-2</v>
      </c>
      <c r="N42" s="64" t="s">
        <v>1041</v>
      </c>
      <c r="O42" s="101" t="s">
        <v>1016</v>
      </c>
      <c r="P42" s="140" t="s">
        <v>684</v>
      </c>
      <c r="Q42" s="95">
        <v>1</v>
      </c>
      <c r="R42" s="141">
        <v>22646</v>
      </c>
      <c r="S42" s="140">
        <v>63</v>
      </c>
      <c r="T42" s="140" t="s">
        <v>259</v>
      </c>
      <c r="U42" s="140" t="s">
        <v>276</v>
      </c>
      <c r="V42" s="140">
        <v>984182187</v>
      </c>
      <c r="W42" s="140" t="s">
        <v>595</v>
      </c>
      <c r="X42" s="140" t="s">
        <v>596</v>
      </c>
      <c r="Y42" s="140" t="s">
        <v>311</v>
      </c>
      <c r="Z42" s="140" t="s">
        <v>262</v>
      </c>
      <c r="AA42" s="140" t="s">
        <v>323</v>
      </c>
      <c r="AB42" s="140" t="s">
        <v>264</v>
      </c>
      <c r="AC42" s="140" t="s">
        <v>597</v>
      </c>
      <c r="AD42" s="140" t="s">
        <v>597</v>
      </c>
      <c r="AE42" s="140" t="s">
        <v>602</v>
      </c>
      <c r="AF42" s="140" t="s">
        <v>597</v>
      </c>
      <c r="AG42" s="140" t="s">
        <v>602</v>
      </c>
      <c r="AH42" s="140" t="s">
        <v>597</v>
      </c>
      <c r="AI42" s="140" t="s">
        <v>597</v>
      </c>
      <c r="AJ42" s="141">
        <v>45904</v>
      </c>
      <c r="AK42" s="142"/>
      <c r="AL42" s="115">
        <v>1</v>
      </c>
      <c r="AM42" s="115">
        <v>1</v>
      </c>
      <c r="AN42" s="115">
        <v>1</v>
      </c>
      <c r="AO42" s="115">
        <v>1</v>
      </c>
      <c r="AP42" s="115">
        <v>1</v>
      </c>
      <c r="AQ42" s="115">
        <v>1</v>
      </c>
      <c r="AR42" s="115">
        <v>1</v>
      </c>
      <c r="AS42" s="115">
        <v>1</v>
      </c>
      <c r="AT42" s="70">
        <f t="shared" si="0"/>
        <v>8</v>
      </c>
      <c r="AU42" s="71">
        <v>1</v>
      </c>
      <c r="AV42" s="71">
        <v>1</v>
      </c>
      <c r="AW42" s="71">
        <v>1</v>
      </c>
      <c r="AX42" s="71">
        <v>1</v>
      </c>
      <c r="AY42" s="70">
        <f t="shared" si="1"/>
        <v>4</v>
      </c>
      <c r="AZ42" s="69">
        <v>1</v>
      </c>
      <c r="BA42" s="69">
        <v>1</v>
      </c>
      <c r="BB42" s="69">
        <v>1</v>
      </c>
      <c r="BC42" s="69">
        <v>1</v>
      </c>
      <c r="BD42" s="69">
        <v>1</v>
      </c>
      <c r="BE42" s="69">
        <v>1</v>
      </c>
      <c r="BF42" s="69">
        <v>1</v>
      </c>
      <c r="BG42" s="69">
        <v>1</v>
      </c>
      <c r="BH42" s="70">
        <f t="shared" si="2"/>
        <v>8</v>
      </c>
      <c r="BI42" s="69">
        <v>1</v>
      </c>
      <c r="BJ42" s="69">
        <v>1</v>
      </c>
      <c r="BK42" s="70">
        <f t="shared" si="3"/>
        <v>2</v>
      </c>
      <c r="BL42" s="72">
        <v>1</v>
      </c>
      <c r="BM42" s="72">
        <v>1</v>
      </c>
      <c r="BN42" s="72">
        <v>1</v>
      </c>
      <c r="BO42" s="72">
        <v>1</v>
      </c>
      <c r="BP42" s="72">
        <v>1</v>
      </c>
      <c r="BQ42" s="72">
        <v>1</v>
      </c>
      <c r="BR42" s="72">
        <v>1</v>
      </c>
      <c r="BS42" s="72">
        <v>1</v>
      </c>
      <c r="BT42" s="70">
        <f t="shared" si="4"/>
        <v>7</v>
      </c>
      <c r="BU42" s="70">
        <f t="shared" si="5"/>
        <v>29</v>
      </c>
      <c r="BV42" s="105">
        <v>5</v>
      </c>
      <c r="BW42" s="105">
        <v>5</v>
      </c>
      <c r="BX42" s="105">
        <v>5</v>
      </c>
      <c r="BY42" s="73">
        <v>1</v>
      </c>
      <c r="BZ42" s="105">
        <v>5</v>
      </c>
      <c r="CA42" s="73">
        <v>3</v>
      </c>
      <c r="CB42" s="105">
        <v>5</v>
      </c>
      <c r="CC42" s="73">
        <v>5</v>
      </c>
      <c r="CD42" s="73">
        <v>2</v>
      </c>
      <c r="CE42" s="73">
        <v>3</v>
      </c>
      <c r="CF42" s="73">
        <v>3</v>
      </c>
      <c r="CG42" s="73">
        <v>5</v>
      </c>
      <c r="CH42" s="74">
        <v>5</v>
      </c>
      <c r="CI42" s="105">
        <v>5</v>
      </c>
      <c r="CJ42" s="73">
        <v>3</v>
      </c>
      <c r="CK42" s="75">
        <f t="shared" si="96"/>
        <v>60</v>
      </c>
      <c r="CL42" s="76">
        <v>5</v>
      </c>
      <c r="CM42" s="76">
        <v>1</v>
      </c>
      <c r="CN42" s="76">
        <v>5</v>
      </c>
      <c r="CO42" s="76">
        <v>5</v>
      </c>
      <c r="CP42" s="76">
        <v>5</v>
      </c>
      <c r="CQ42" s="106">
        <v>5</v>
      </c>
      <c r="CR42" s="76">
        <v>1</v>
      </c>
      <c r="CS42" s="76">
        <v>5</v>
      </c>
      <c r="CT42" s="76">
        <v>5</v>
      </c>
      <c r="CU42" s="76">
        <v>5</v>
      </c>
      <c r="CV42" s="76">
        <v>5</v>
      </c>
      <c r="CW42" s="76">
        <v>1</v>
      </c>
      <c r="CX42" s="76">
        <v>1</v>
      </c>
      <c r="CY42" s="76">
        <v>5</v>
      </c>
      <c r="CZ42" s="76">
        <v>5</v>
      </c>
      <c r="DA42" s="76">
        <v>5</v>
      </c>
      <c r="DB42" s="76">
        <v>5</v>
      </c>
      <c r="DC42" s="76">
        <v>4</v>
      </c>
      <c r="DD42" s="76">
        <v>5</v>
      </c>
      <c r="DE42" s="76">
        <v>5</v>
      </c>
      <c r="DF42" s="76">
        <v>5</v>
      </c>
      <c r="DG42" s="76">
        <v>5</v>
      </c>
      <c r="DH42" s="76">
        <v>5</v>
      </c>
      <c r="DI42" s="76">
        <v>5</v>
      </c>
      <c r="DJ42" s="76">
        <v>1</v>
      </c>
      <c r="DK42" s="76">
        <v>5</v>
      </c>
      <c r="DL42" s="76">
        <v>3</v>
      </c>
      <c r="DM42" s="76">
        <v>1</v>
      </c>
      <c r="DN42" s="76">
        <f t="shared" si="7"/>
        <v>113</v>
      </c>
      <c r="DO42" s="123">
        <v>25</v>
      </c>
      <c r="DP42" s="97">
        <v>0</v>
      </c>
      <c r="DQ42" s="97">
        <v>0</v>
      </c>
      <c r="DR42" s="97">
        <v>0</v>
      </c>
      <c r="DS42" s="97">
        <v>0</v>
      </c>
      <c r="DT42" s="97">
        <v>0</v>
      </c>
      <c r="DU42" s="97">
        <v>1</v>
      </c>
      <c r="DV42" s="97">
        <v>0</v>
      </c>
      <c r="DW42" s="97">
        <v>0</v>
      </c>
      <c r="DX42" s="97">
        <v>0</v>
      </c>
      <c r="DY42" s="97">
        <v>1</v>
      </c>
      <c r="DZ42" s="97">
        <v>0</v>
      </c>
      <c r="EA42" s="97">
        <v>0</v>
      </c>
      <c r="EB42" s="97">
        <v>0</v>
      </c>
      <c r="EC42" s="97">
        <v>0</v>
      </c>
      <c r="ED42" s="97">
        <v>0</v>
      </c>
      <c r="EE42" s="77">
        <f t="shared" si="124"/>
        <v>2</v>
      </c>
      <c r="EF42" s="77" t="s">
        <v>265</v>
      </c>
      <c r="EG42" s="78">
        <f t="shared" si="8"/>
        <v>2</v>
      </c>
      <c r="EH42" s="97">
        <v>0</v>
      </c>
      <c r="EI42" s="97">
        <v>0</v>
      </c>
      <c r="EJ42" s="97">
        <v>1</v>
      </c>
      <c r="EK42" s="97">
        <v>0</v>
      </c>
      <c r="EL42" s="97">
        <v>0</v>
      </c>
      <c r="EM42" s="97">
        <v>0</v>
      </c>
      <c r="EN42" s="97">
        <v>0</v>
      </c>
      <c r="EO42" s="97">
        <v>0</v>
      </c>
      <c r="EP42" s="97">
        <v>0</v>
      </c>
      <c r="EQ42" s="97">
        <v>0</v>
      </c>
      <c r="ER42" s="97">
        <v>0</v>
      </c>
      <c r="ES42" s="97">
        <v>1</v>
      </c>
      <c r="ET42" s="97">
        <v>0</v>
      </c>
      <c r="EU42" s="97">
        <v>0</v>
      </c>
      <c r="EV42" s="97">
        <v>0</v>
      </c>
      <c r="EW42" s="97">
        <v>0</v>
      </c>
      <c r="EX42" s="97">
        <v>0</v>
      </c>
      <c r="EY42" s="97">
        <v>0</v>
      </c>
      <c r="EZ42" s="97">
        <v>0</v>
      </c>
      <c r="FA42" s="97">
        <v>0</v>
      </c>
      <c r="FB42" s="97">
        <v>0</v>
      </c>
      <c r="FC42" s="97">
        <v>0</v>
      </c>
      <c r="FD42" s="79">
        <f t="shared" si="9"/>
        <v>2</v>
      </c>
      <c r="FE42" s="80">
        <v>1</v>
      </c>
      <c r="FF42" s="55">
        <v>1</v>
      </c>
      <c r="FG42" s="55">
        <v>1</v>
      </c>
      <c r="FH42" s="55">
        <v>1</v>
      </c>
      <c r="FI42" s="55">
        <v>1</v>
      </c>
      <c r="FJ42" s="55">
        <v>1</v>
      </c>
      <c r="FK42" s="55">
        <v>1</v>
      </c>
      <c r="FL42" s="55">
        <v>1</v>
      </c>
      <c r="FM42" s="55">
        <v>1</v>
      </c>
      <c r="FN42" s="81">
        <f t="shared" si="10"/>
        <v>8</v>
      </c>
      <c r="FO42" s="82">
        <v>1</v>
      </c>
      <c r="FP42" s="55">
        <v>10</v>
      </c>
      <c r="FQ42" s="55">
        <v>5</v>
      </c>
      <c r="FR42" s="55">
        <v>10</v>
      </c>
      <c r="FS42" s="55">
        <v>5</v>
      </c>
      <c r="FT42" s="55">
        <v>10</v>
      </c>
      <c r="FU42" s="55">
        <v>10</v>
      </c>
      <c r="FV42" s="55">
        <v>10</v>
      </c>
      <c r="FW42" s="55">
        <v>15</v>
      </c>
      <c r="FX42" s="55">
        <v>15</v>
      </c>
      <c r="FY42" s="55">
        <v>10</v>
      </c>
      <c r="FZ42" s="83">
        <f t="shared" si="11"/>
        <v>100</v>
      </c>
      <c r="GA42" s="84">
        <v>1</v>
      </c>
      <c r="GB42" s="55">
        <v>0</v>
      </c>
      <c r="GC42" s="85">
        <v>0</v>
      </c>
      <c r="GD42" s="85">
        <v>0.5</v>
      </c>
      <c r="GE42" s="85">
        <v>0</v>
      </c>
      <c r="GF42" s="85">
        <v>0</v>
      </c>
      <c r="GG42" s="85">
        <v>0</v>
      </c>
      <c r="GH42" s="85">
        <v>0</v>
      </c>
      <c r="GI42" s="55">
        <v>0</v>
      </c>
      <c r="GJ42" s="55">
        <v>0</v>
      </c>
      <c r="GK42" s="55">
        <v>0</v>
      </c>
      <c r="GL42" s="55">
        <v>0</v>
      </c>
      <c r="GM42" s="55">
        <v>0</v>
      </c>
      <c r="GN42" s="55">
        <v>0</v>
      </c>
      <c r="GO42" s="55">
        <v>0</v>
      </c>
      <c r="GP42" s="55">
        <v>0</v>
      </c>
      <c r="GQ42" s="55">
        <v>0</v>
      </c>
      <c r="GR42" s="55">
        <v>0</v>
      </c>
      <c r="GS42" s="55">
        <v>0</v>
      </c>
      <c r="GT42" s="55">
        <v>0</v>
      </c>
      <c r="GU42" s="86">
        <f t="shared" si="12"/>
        <v>0</v>
      </c>
      <c r="GV42" s="87" t="s">
        <v>301</v>
      </c>
      <c r="GW42" s="87">
        <v>0</v>
      </c>
      <c r="GX42" s="88" t="s">
        <v>267</v>
      </c>
      <c r="GY42" s="55">
        <v>5</v>
      </c>
      <c r="GZ42" s="55">
        <v>5</v>
      </c>
      <c r="HA42" s="55">
        <v>3</v>
      </c>
      <c r="HB42" s="55">
        <v>1</v>
      </c>
      <c r="HC42" s="55">
        <v>4</v>
      </c>
      <c r="HD42" s="55">
        <v>5</v>
      </c>
      <c r="HE42" s="55"/>
      <c r="HF42" s="55"/>
      <c r="HG42" s="55">
        <v>3</v>
      </c>
      <c r="HH42" s="55">
        <v>7</v>
      </c>
      <c r="HI42" s="55">
        <v>7</v>
      </c>
      <c r="HJ42" s="55"/>
      <c r="HK42" s="55">
        <v>3</v>
      </c>
      <c r="HL42" s="55">
        <v>6</v>
      </c>
      <c r="HM42" s="55">
        <v>7</v>
      </c>
      <c r="HN42" s="55">
        <v>1</v>
      </c>
      <c r="HO42" s="55">
        <v>3</v>
      </c>
      <c r="HP42" s="55">
        <v>1</v>
      </c>
      <c r="HQ42" s="55">
        <v>2</v>
      </c>
      <c r="HR42" s="55">
        <v>1</v>
      </c>
      <c r="HS42" s="55">
        <v>1</v>
      </c>
      <c r="HT42" s="55">
        <v>2</v>
      </c>
      <c r="HU42" s="55">
        <v>4</v>
      </c>
      <c r="HV42" s="55">
        <v>1</v>
      </c>
      <c r="HW42" s="55">
        <v>1</v>
      </c>
      <c r="HX42" s="55">
        <v>2</v>
      </c>
      <c r="HY42" s="55">
        <v>5</v>
      </c>
      <c r="HZ42" s="55">
        <v>4</v>
      </c>
      <c r="IA42" s="55">
        <v>4</v>
      </c>
      <c r="IB42" s="55">
        <v>7</v>
      </c>
      <c r="IC42" s="55"/>
      <c r="ID42" s="55">
        <f t="shared" ref="ID42:IG42" si="149">SUM(GY42)</f>
        <v>5</v>
      </c>
      <c r="IE42" s="55">
        <f t="shared" si="149"/>
        <v>5</v>
      </c>
      <c r="IF42" s="55">
        <f t="shared" si="149"/>
        <v>3</v>
      </c>
      <c r="IG42" s="55">
        <f t="shared" si="149"/>
        <v>1</v>
      </c>
      <c r="IH42" s="55">
        <f t="shared" si="14"/>
        <v>9</v>
      </c>
      <c r="II42" s="55">
        <f t="shared" si="15"/>
        <v>3</v>
      </c>
      <c r="IJ42" s="55">
        <f t="shared" si="16"/>
        <v>14</v>
      </c>
      <c r="IK42" s="55">
        <f t="shared" ref="IK42:IQ42" si="150">SUM(HK42)</f>
        <v>3</v>
      </c>
      <c r="IL42" s="55">
        <f t="shared" si="150"/>
        <v>6</v>
      </c>
      <c r="IM42" s="55">
        <f t="shared" si="150"/>
        <v>7</v>
      </c>
      <c r="IN42" s="55">
        <f t="shared" si="150"/>
        <v>1</v>
      </c>
      <c r="IO42" s="55">
        <f t="shared" si="150"/>
        <v>3</v>
      </c>
      <c r="IP42" s="55">
        <f t="shared" si="150"/>
        <v>1</v>
      </c>
      <c r="IQ42" s="55">
        <f t="shared" si="150"/>
        <v>2</v>
      </c>
      <c r="IR42" s="55">
        <f t="shared" si="18"/>
        <v>2</v>
      </c>
      <c r="IS42" s="55">
        <f t="shared" ref="IS42:JB42" si="151">SUM(HT42)</f>
        <v>2</v>
      </c>
      <c r="IT42" s="55">
        <f t="shared" si="151"/>
        <v>4</v>
      </c>
      <c r="IU42" s="55">
        <f t="shared" si="151"/>
        <v>1</v>
      </c>
      <c r="IV42" s="55">
        <f t="shared" si="151"/>
        <v>1</v>
      </c>
      <c r="IW42" s="55">
        <f t="shared" si="151"/>
        <v>2</v>
      </c>
      <c r="IX42" s="55">
        <f t="shared" si="151"/>
        <v>5</v>
      </c>
      <c r="IY42" s="55">
        <f t="shared" si="151"/>
        <v>4</v>
      </c>
      <c r="IZ42" s="55">
        <f t="shared" si="151"/>
        <v>4</v>
      </c>
      <c r="JA42" s="55">
        <f t="shared" si="151"/>
        <v>7</v>
      </c>
      <c r="JB42" s="55">
        <f t="shared" si="151"/>
        <v>0</v>
      </c>
      <c r="JC42" s="89">
        <f t="shared" si="20"/>
        <v>94</v>
      </c>
      <c r="JD42" s="90">
        <v>1</v>
      </c>
      <c r="JE42" s="89">
        <v>1</v>
      </c>
      <c r="JF42" s="121">
        <v>38</v>
      </c>
      <c r="JG42" s="91">
        <v>2</v>
      </c>
      <c r="JH42" s="97">
        <v>2</v>
      </c>
      <c r="JI42" s="97">
        <v>2</v>
      </c>
      <c r="JJ42" s="97">
        <v>2</v>
      </c>
      <c r="JK42" s="97">
        <v>1</v>
      </c>
      <c r="JL42" s="97">
        <v>2</v>
      </c>
      <c r="JM42" s="97">
        <v>1</v>
      </c>
      <c r="JN42" s="97">
        <v>1</v>
      </c>
      <c r="JO42" s="97">
        <v>0</v>
      </c>
      <c r="JP42" s="89">
        <f t="shared" si="21"/>
        <v>11</v>
      </c>
      <c r="JQ42" s="97">
        <v>2</v>
      </c>
      <c r="JR42" s="97">
        <v>2</v>
      </c>
      <c r="JS42" s="97">
        <v>1</v>
      </c>
      <c r="JT42" s="97">
        <v>0</v>
      </c>
      <c r="JU42" s="97">
        <v>0</v>
      </c>
      <c r="JV42" s="97">
        <v>0</v>
      </c>
      <c r="JW42" s="97">
        <v>0</v>
      </c>
      <c r="JX42" s="92">
        <f t="shared" si="22"/>
        <v>5</v>
      </c>
      <c r="JY42" s="93">
        <f t="shared" si="23"/>
        <v>16</v>
      </c>
      <c r="JZ42" s="97">
        <v>3</v>
      </c>
      <c r="KA42" s="97">
        <v>3</v>
      </c>
      <c r="KB42" s="97">
        <v>3</v>
      </c>
      <c r="KC42" s="97">
        <v>2</v>
      </c>
      <c r="KD42" s="97">
        <v>0</v>
      </c>
      <c r="KE42" s="97">
        <v>0</v>
      </c>
      <c r="KF42" s="97">
        <v>0</v>
      </c>
      <c r="KG42" s="94">
        <f t="shared" si="24"/>
        <v>11</v>
      </c>
      <c r="KH42" s="95" t="s">
        <v>371</v>
      </c>
      <c r="KI42" s="97">
        <v>0</v>
      </c>
      <c r="KJ42" s="97">
        <v>2</v>
      </c>
      <c r="KK42" s="97">
        <v>1</v>
      </c>
      <c r="KL42" s="95" t="s">
        <v>467</v>
      </c>
      <c r="KM42" s="97">
        <v>0</v>
      </c>
      <c r="KN42" s="97">
        <v>2</v>
      </c>
      <c r="KO42" s="97">
        <v>1</v>
      </c>
      <c r="KP42" s="108">
        <v>45810</v>
      </c>
      <c r="KQ42" s="97">
        <v>0</v>
      </c>
      <c r="KR42" s="97">
        <v>2</v>
      </c>
      <c r="KS42" s="97">
        <v>1</v>
      </c>
      <c r="KT42" s="95" t="s">
        <v>404</v>
      </c>
      <c r="KU42" s="97">
        <v>0</v>
      </c>
      <c r="KV42" s="97">
        <v>2</v>
      </c>
      <c r="KW42" s="97">
        <v>1</v>
      </c>
      <c r="KX42" s="139">
        <v>45968</v>
      </c>
      <c r="KY42" s="97">
        <v>0</v>
      </c>
      <c r="KZ42" s="97">
        <v>2</v>
      </c>
      <c r="LA42" s="97">
        <v>2</v>
      </c>
      <c r="LB42" s="95" t="s">
        <v>468</v>
      </c>
      <c r="LC42" s="97">
        <v>0</v>
      </c>
      <c r="LD42" s="97">
        <v>2</v>
      </c>
      <c r="LE42" s="97">
        <v>2</v>
      </c>
      <c r="LF42" s="95" t="s">
        <v>469</v>
      </c>
      <c r="LG42" s="97">
        <v>0</v>
      </c>
      <c r="LH42" s="97">
        <v>2</v>
      </c>
      <c r="LI42" s="97">
        <v>1</v>
      </c>
      <c r="LJ42" s="95" t="s">
        <v>470</v>
      </c>
      <c r="LK42" s="97">
        <v>0</v>
      </c>
      <c r="LL42" s="97">
        <v>2</v>
      </c>
      <c r="LM42" s="97">
        <v>3</v>
      </c>
      <c r="LN42" s="96">
        <f t="shared" si="25"/>
        <v>28</v>
      </c>
      <c r="LO42" s="97">
        <f t="shared" si="26"/>
        <v>12</v>
      </c>
      <c r="LP42" s="97">
        <f t="shared" si="27"/>
        <v>55</v>
      </c>
    </row>
    <row r="43" spans="1:328" s="98" customFormat="1" ht="13.8">
      <c r="A43" s="55" t="s">
        <v>629</v>
      </c>
      <c r="B43" s="110">
        <v>45981</v>
      </c>
      <c r="C43" s="61">
        <v>52</v>
      </c>
      <c r="D43" s="62"/>
      <c r="E43" s="62"/>
      <c r="F43" s="61">
        <v>1</v>
      </c>
      <c r="G43" s="61">
        <v>1</v>
      </c>
      <c r="H43" s="61">
        <v>1</v>
      </c>
      <c r="I43" s="164">
        <v>6</v>
      </c>
      <c r="J43" s="164">
        <v>6</v>
      </c>
      <c r="K43" s="63">
        <v>8.9583333333333334E-2</v>
      </c>
      <c r="L43" s="63">
        <v>9.2361111111111116E-2</v>
      </c>
      <c r="M43" s="63">
        <v>8.8888888888888892E-2</v>
      </c>
      <c r="N43" s="64" t="s">
        <v>1040</v>
      </c>
      <c r="O43" s="101" t="s">
        <v>1017</v>
      </c>
      <c r="P43" s="66" t="s">
        <v>713</v>
      </c>
      <c r="Q43" s="66">
        <v>1</v>
      </c>
      <c r="R43" s="67">
        <v>22623</v>
      </c>
      <c r="S43" s="66">
        <v>63</v>
      </c>
      <c r="T43" s="66" t="s">
        <v>259</v>
      </c>
      <c r="U43" s="66" t="s">
        <v>276</v>
      </c>
      <c r="V43" s="68" t="s">
        <v>714</v>
      </c>
      <c r="W43" s="66" t="s">
        <v>624</v>
      </c>
      <c r="X43" s="66" t="s">
        <v>596</v>
      </c>
      <c r="Y43" s="66" t="s">
        <v>261</v>
      </c>
      <c r="Z43" s="66" t="s">
        <v>262</v>
      </c>
      <c r="AA43" s="66" t="s">
        <v>471</v>
      </c>
      <c r="AB43" s="66" t="s">
        <v>264</v>
      </c>
      <c r="AC43" s="66" t="s">
        <v>597</v>
      </c>
      <c r="AD43" s="66" t="s">
        <v>597</v>
      </c>
      <c r="AE43" s="66" t="s">
        <v>715</v>
      </c>
      <c r="AF43" s="66" t="s">
        <v>599</v>
      </c>
      <c r="AG43" s="66" t="s">
        <v>716</v>
      </c>
      <c r="AH43" s="66" t="s">
        <v>597</v>
      </c>
      <c r="AI43" s="66" t="s">
        <v>597</v>
      </c>
      <c r="AJ43" s="67">
        <v>45876</v>
      </c>
      <c r="AK43" s="117"/>
      <c r="AL43" s="115">
        <v>1</v>
      </c>
      <c r="AM43" s="115">
        <v>1</v>
      </c>
      <c r="AN43" s="115">
        <v>1</v>
      </c>
      <c r="AO43" s="115">
        <v>1</v>
      </c>
      <c r="AP43" s="115">
        <v>1</v>
      </c>
      <c r="AQ43" s="115">
        <v>1</v>
      </c>
      <c r="AR43" s="115">
        <v>1</v>
      </c>
      <c r="AS43" s="115">
        <v>1</v>
      </c>
      <c r="AT43" s="70">
        <f t="shared" si="0"/>
        <v>8</v>
      </c>
      <c r="AU43" s="71">
        <v>1</v>
      </c>
      <c r="AV43" s="71">
        <v>1</v>
      </c>
      <c r="AW43" s="71">
        <v>1</v>
      </c>
      <c r="AX43" s="71">
        <v>1</v>
      </c>
      <c r="AY43" s="70">
        <f t="shared" si="1"/>
        <v>4</v>
      </c>
      <c r="AZ43" s="69">
        <v>1</v>
      </c>
      <c r="BA43" s="69">
        <v>1</v>
      </c>
      <c r="BB43" s="69">
        <v>1</v>
      </c>
      <c r="BC43" s="69">
        <v>1</v>
      </c>
      <c r="BD43" s="69">
        <v>1</v>
      </c>
      <c r="BE43" s="69">
        <v>1</v>
      </c>
      <c r="BF43" s="69">
        <v>1</v>
      </c>
      <c r="BG43" s="69">
        <v>1</v>
      </c>
      <c r="BH43" s="70">
        <f t="shared" si="2"/>
        <v>8</v>
      </c>
      <c r="BI43" s="69">
        <v>1</v>
      </c>
      <c r="BJ43" s="69">
        <v>1</v>
      </c>
      <c r="BK43" s="70">
        <f t="shared" si="3"/>
        <v>2</v>
      </c>
      <c r="BL43" s="72">
        <v>1</v>
      </c>
      <c r="BM43" s="72">
        <v>1</v>
      </c>
      <c r="BN43" s="72">
        <v>1</v>
      </c>
      <c r="BO43" s="72">
        <v>1</v>
      </c>
      <c r="BP43" s="72">
        <v>1</v>
      </c>
      <c r="BQ43" s="72">
        <v>1</v>
      </c>
      <c r="BR43" s="72">
        <v>1</v>
      </c>
      <c r="BS43" s="72">
        <v>1</v>
      </c>
      <c r="BT43" s="70">
        <f t="shared" si="4"/>
        <v>7</v>
      </c>
      <c r="BU43" s="70">
        <f t="shared" si="5"/>
        <v>29</v>
      </c>
      <c r="BV43" s="126">
        <v>1</v>
      </c>
      <c r="BW43" s="126">
        <v>2</v>
      </c>
      <c r="BX43" s="126">
        <v>2</v>
      </c>
      <c r="BY43" s="126">
        <v>1</v>
      </c>
      <c r="BZ43" s="74">
        <v>1</v>
      </c>
      <c r="CA43" s="126">
        <v>5</v>
      </c>
      <c r="CB43" s="74">
        <v>2</v>
      </c>
      <c r="CC43" s="126">
        <v>2</v>
      </c>
      <c r="CD43" s="126">
        <v>1</v>
      </c>
      <c r="CE43" s="126">
        <v>1</v>
      </c>
      <c r="CF43" s="126">
        <v>5</v>
      </c>
      <c r="CG43" s="126">
        <v>5</v>
      </c>
      <c r="CH43" s="74">
        <v>5</v>
      </c>
      <c r="CI43" s="126">
        <v>5</v>
      </c>
      <c r="CJ43" s="126">
        <v>2</v>
      </c>
      <c r="CK43" s="127">
        <f t="shared" si="96"/>
        <v>40</v>
      </c>
      <c r="CL43" s="118">
        <v>1</v>
      </c>
      <c r="CM43" s="118">
        <v>5</v>
      </c>
      <c r="CN43" s="118">
        <v>5</v>
      </c>
      <c r="CO43" s="118">
        <v>5</v>
      </c>
      <c r="CP43" s="118">
        <v>1</v>
      </c>
      <c r="CQ43" s="123">
        <v>5</v>
      </c>
      <c r="CR43" s="118">
        <v>1</v>
      </c>
      <c r="CS43" s="118">
        <v>3</v>
      </c>
      <c r="CT43" s="118">
        <v>3</v>
      </c>
      <c r="CU43" s="118">
        <v>1</v>
      </c>
      <c r="CV43" s="118">
        <v>5</v>
      </c>
      <c r="CW43" s="118">
        <v>1</v>
      </c>
      <c r="CX43" s="118">
        <v>1</v>
      </c>
      <c r="CY43" s="118">
        <v>4</v>
      </c>
      <c r="CZ43" s="118">
        <v>5</v>
      </c>
      <c r="DA43" s="118">
        <v>1</v>
      </c>
      <c r="DB43" s="118">
        <v>5</v>
      </c>
      <c r="DC43" s="118">
        <v>5</v>
      </c>
      <c r="DD43" s="118">
        <v>2</v>
      </c>
      <c r="DE43" s="118">
        <v>4</v>
      </c>
      <c r="DF43" s="118">
        <v>5</v>
      </c>
      <c r="DG43" s="118">
        <v>5</v>
      </c>
      <c r="DH43" s="118">
        <v>3</v>
      </c>
      <c r="DI43" s="118">
        <v>5</v>
      </c>
      <c r="DJ43" s="118">
        <v>2</v>
      </c>
      <c r="DK43" s="118">
        <v>2</v>
      </c>
      <c r="DL43" s="118">
        <v>3</v>
      </c>
      <c r="DM43" s="118">
        <v>1</v>
      </c>
      <c r="DN43" s="118">
        <f t="shared" si="7"/>
        <v>89</v>
      </c>
      <c r="DO43" s="118">
        <v>27</v>
      </c>
      <c r="DP43" s="97">
        <v>0</v>
      </c>
      <c r="DQ43" s="97">
        <v>0</v>
      </c>
      <c r="DR43" s="97">
        <v>1</v>
      </c>
      <c r="DS43" s="97">
        <v>0</v>
      </c>
      <c r="DT43" s="97">
        <v>0</v>
      </c>
      <c r="DU43" s="97">
        <v>0</v>
      </c>
      <c r="DV43" s="97">
        <v>0</v>
      </c>
      <c r="DW43" s="97">
        <v>0</v>
      </c>
      <c r="DX43" s="97">
        <v>0</v>
      </c>
      <c r="DY43" s="97">
        <v>0</v>
      </c>
      <c r="DZ43" s="97">
        <v>0</v>
      </c>
      <c r="EA43" s="97">
        <v>0</v>
      </c>
      <c r="EB43" s="97">
        <v>0</v>
      </c>
      <c r="EC43" s="97">
        <v>0</v>
      </c>
      <c r="ED43" s="97">
        <v>0</v>
      </c>
      <c r="EE43" s="77">
        <f t="shared" si="124"/>
        <v>1</v>
      </c>
      <c r="EF43" s="77" t="s">
        <v>265</v>
      </c>
      <c r="EG43" s="78">
        <f t="shared" si="8"/>
        <v>1</v>
      </c>
      <c r="EH43" s="97">
        <v>0.5</v>
      </c>
      <c r="EI43" s="97">
        <v>0</v>
      </c>
      <c r="EJ43" s="97">
        <v>0.5</v>
      </c>
      <c r="EK43" s="97">
        <v>0</v>
      </c>
      <c r="EL43" s="97">
        <v>0</v>
      </c>
      <c r="EM43" s="97">
        <v>0</v>
      </c>
      <c r="EN43" s="97">
        <v>0</v>
      </c>
      <c r="EO43" s="97">
        <v>1</v>
      </c>
      <c r="EP43" s="97">
        <v>0</v>
      </c>
      <c r="EQ43" s="97">
        <v>0</v>
      </c>
      <c r="ER43" s="97">
        <v>0</v>
      </c>
      <c r="ES43" s="97">
        <v>0</v>
      </c>
      <c r="ET43" s="97">
        <v>0</v>
      </c>
      <c r="EU43" s="97">
        <v>0</v>
      </c>
      <c r="EV43" s="97">
        <v>0</v>
      </c>
      <c r="EW43" s="97">
        <v>1</v>
      </c>
      <c r="EX43" s="97">
        <v>0</v>
      </c>
      <c r="EY43" s="97">
        <v>0</v>
      </c>
      <c r="EZ43" s="97">
        <v>0</v>
      </c>
      <c r="FA43" s="97">
        <v>0</v>
      </c>
      <c r="FB43" s="97">
        <v>0</v>
      </c>
      <c r="FC43" s="97">
        <v>0</v>
      </c>
      <c r="FD43" s="79">
        <f t="shared" si="9"/>
        <v>3</v>
      </c>
      <c r="FE43" s="80">
        <v>1</v>
      </c>
      <c r="FF43" s="97">
        <v>1</v>
      </c>
      <c r="FG43" s="97">
        <v>1</v>
      </c>
      <c r="FH43" s="97">
        <v>1</v>
      </c>
      <c r="FI43" s="97">
        <v>1</v>
      </c>
      <c r="FJ43" s="97">
        <v>1</v>
      </c>
      <c r="FK43" s="97">
        <v>1</v>
      </c>
      <c r="FL43" s="97">
        <v>1</v>
      </c>
      <c r="FM43" s="97">
        <v>1</v>
      </c>
      <c r="FN43" s="81">
        <f t="shared" si="10"/>
        <v>8</v>
      </c>
      <c r="FO43" s="82">
        <v>1</v>
      </c>
      <c r="FP43" s="97">
        <v>10</v>
      </c>
      <c r="FQ43" s="97">
        <v>5</v>
      </c>
      <c r="FR43" s="97">
        <v>10</v>
      </c>
      <c r="FS43" s="97">
        <v>5</v>
      </c>
      <c r="FT43" s="97">
        <v>10</v>
      </c>
      <c r="FU43" s="97">
        <v>10</v>
      </c>
      <c r="FV43" s="97">
        <v>10</v>
      </c>
      <c r="FW43" s="97">
        <v>15</v>
      </c>
      <c r="FX43" s="97">
        <v>15</v>
      </c>
      <c r="FY43" s="97">
        <v>5</v>
      </c>
      <c r="FZ43" s="83">
        <f t="shared" si="11"/>
        <v>95</v>
      </c>
      <c r="GA43" s="84">
        <v>2</v>
      </c>
      <c r="GB43" s="55">
        <v>0.5</v>
      </c>
      <c r="GC43" s="85">
        <v>0.5</v>
      </c>
      <c r="GD43" s="85">
        <v>0</v>
      </c>
      <c r="GE43" s="85">
        <v>0</v>
      </c>
      <c r="GF43" s="85">
        <v>0</v>
      </c>
      <c r="GG43" s="85">
        <v>0</v>
      </c>
      <c r="GH43" s="85">
        <v>0</v>
      </c>
      <c r="GI43" s="97">
        <v>0</v>
      </c>
      <c r="GJ43" s="97">
        <v>1</v>
      </c>
      <c r="GK43" s="97">
        <v>0</v>
      </c>
      <c r="GL43" s="97">
        <v>1</v>
      </c>
      <c r="GM43" s="97">
        <v>1</v>
      </c>
      <c r="GN43" s="97">
        <v>0</v>
      </c>
      <c r="GO43" s="97">
        <v>0</v>
      </c>
      <c r="GP43" s="97">
        <v>0</v>
      </c>
      <c r="GQ43" s="97">
        <v>1</v>
      </c>
      <c r="GR43" s="97">
        <v>0</v>
      </c>
      <c r="GS43" s="97">
        <v>0</v>
      </c>
      <c r="GT43" s="97">
        <v>1</v>
      </c>
      <c r="GU43" s="86">
        <f t="shared" si="12"/>
        <v>5</v>
      </c>
      <c r="GV43" s="128" t="s">
        <v>266</v>
      </c>
      <c r="GW43" s="87">
        <v>0</v>
      </c>
      <c r="GX43" s="129" t="s">
        <v>265</v>
      </c>
      <c r="GY43" s="97">
        <v>5</v>
      </c>
      <c r="GZ43" s="97">
        <v>5</v>
      </c>
      <c r="HA43" s="97">
        <v>3</v>
      </c>
      <c r="HB43" s="97">
        <v>1</v>
      </c>
      <c r="HC43" s="97">
        <v>5</v>
      </c>
      <c r="HD43" s="97">
        <v>5</v>
      </c>
      <c r="HE43" s="97"/>
      <c r="HF43" s="97"/>
      <c r="HG43" s="97">
        <v>2</v>
      </c>
      <c r="HH43" s="97">
        <v>7</v>
      </c>
      <c r="HI43" s="97">
        <v>7</v>
      </c>
      <c r="HJ43" s="97"/>
      <c r="HK43" s="97">
        <v>4</v>
      </c>
      <c r="HL43" s="97">
        <v>6</v>
      </c>
      <c r="HM43" s="97">
        <v>2</v>
      </c>
      <c r="HN43" s="97">
        <v>1</v>
      </c>
      <c r="HO43" s="97">
        <v>3</v>
      </c>
      <c r="HP43" s="97">
        <v>1</v>
      </c>
      <c r="HQ43" s="97">
        <v>2</v>
      </c>
      <c r="HR43" s="97">
        <v>1</v>
      </c>
      <c r="HS43" s="97">
        <v>1</v>
      </c>
      <c r="HT43" s="97">
        <v>2</v>
      </c>
      <c r="HU43" s="97">
        <v>4</v>
      </c>
      <c r="HV43" s="97">
        <v>1</v>
      </c>
      <c r="HW43" s="97">
        <v>0</v>
      </c>
      <c r="HX43" s="97">
        <v>0</v>
      </c>
      <c r="HY43" s="97">
        <v>4</v>
      </c>
      <c r="HZ43" s="97">
        <v>4</v>
      </c>
      <c r="IA43" s="97">
        <v>4</v>
      </c>
      <c r="IB43" s="97">
        <v>7</v>
      </c>
      <c r="IC43" s="97"/>
      <c r="ID43" s="55">
        <f t="shared" ref="ID43:IG43" si="152">SUM(GY43)</f>
        <v>5</v>
      </c>
      <c r="IE43" s="55">
        <f t="shared" si="152"/>
        <v>5</v>
      </c>
      <c r="IF43" s="55">
        <f t="shared" si="152"/>
        <v>3</v>
      </c>
      <c r="IG43" s="55">
        <f t="shared" si="152"/>
        <v>1</v>
      </c>
      <c r="IH43" s="55">
        <f t="shared" si="14"/>
        <v>10</v>
      </c>
      <c r="II43" s="55">
        <f t="shared" si="15"/>
        <v>2</v>
      </c>
      <c r="IJ43" s="55">
        <f t="shared" si="16"/>
        <v>14</v>
      </c>
      <c r="IK43" s="55">
        <f t="shared" ref="IK43:IQ43" si="153">SUM(HK43)</f>
        <v>4</v>
      </c>
      <c r="IL43" s="55">
        <f t="shared" si="153"/>
        <v>6</v>
      </c>
      <c r="IM43" s="55">
        <f t="shared" si="153"/>
        <v>2</v>
      </c>
      <c r="IN43" s="55">
        <f t="shared" si="153"/>
        <v>1</v>
      </c>
      <c r="IO43" s="55">
        <f t="shared" si="153"/>
        <v>3</v>
      </c>
      <c r="IP43" s="55">
        <f t="shared" si="153"/>
        <v>1</v>
      </c>
      <c r="IQ43" s="55">
        <f t="shared" si="153"/>
        <v>2</v>
      </c>
      <c r="IR43" s="55">
        <f t="shared" si="18"/>
        <v>2</v>
      </c>
      <c r="IS43" s="55">
        <f t="shared" ref="IS43:JB43" si="154">SUM(HT43)</f>
        <v>2</v>
      </c>
      <c r="IT43" s="55">
        <f t="shared" si="154"/>
        <v>4</v>
      </c>
      <c r="IU43" s="55">
        <f t="shared" si="154"/>
        <v>1</v>
      </c>
      <c r="IV43" s="55">
        <f t="shared" si="154"/>
        <v>0</v>
      </c>
      <c r="IW43" s="55">
        <f t="shared" si="154"/>
        <v>0</v>
      </c>
      <c r="IX43" s="55">
        <f t="shared" si="154"/>
        <v>4</v>
      </c>
      <c r="IY43" s="55">
        <f t="shared" si="154"/>
        <v>4</v>
      </c>
      <c r="IZ43" s="55">
        <f t="shared" si="154"/>
        <v>4</v>
      </c>
      <c r="JA43" s="55">
        <f t="shared" si="154"/>
        <v>7</v>
      </c>
      <c r="JB43" s="55">
        <f t="shared" si="154"/>
        <v>0</v>
      </c>
      <c r="JC43" s="89">
        <f t="shared" si="20"/>
        <v>86</v>
      </c>
      <c r="JD43" s="90">
        <v>1</v>
      </c>
      <c r="JE43" s="90">
        <v>1</v>
      </c>
      <c r="JF43" s="91">
        <v>34</v>
      </c>
      <c r="JG43" s="91">
        <v>2</v>
      </c>
      <c r="JH43" s="97">
        <v>2</v>
      </c>
      <c r="JI43" s="97">
        <v>2</v>
      </c>
      <c r="JJ43" s="97">
        <v>2</v>
      </c>
      <c r="JK43" s="97">
        <v>2</v>
      </c>
      <c r="JL43" s="97">
        <v>0</v>
      </c>
      <c r="JM43" s="97">
        <v>2</v>
      </c>
      <c r="JN43" s="97">
        <v>1</v>
      </c>
      <c r="JO43" s="97">
        <v>0</v>
      </c>
      <c r="JP43" s="89">
        <f t="shared" si="21"/>
        <v>11</v>
      </c>
      <c r="JQ43" s="97">
        <v>2</v>
      </c>
      <c r="JR43" s="97">
        <v>2</v>
      </c>
      <c r="JS43" s="97">
        <v>2</v>
      </c>
      <c r="JT43" s="97">
        <v>1</v>
      </c>
      <c r="JU43" s="97">
        <v>2</v>
      </c>
      <c r="JV43" s="97">
        <v>1</v>
      </c>
      <c r="JW43" s="97">
        <v>0</v>
      </c>
      <c r="JX43" s="92">
        <f t="shared" si="22"/>
        <v>10</v>
      </c>
      <c r="JY43" s="93">
        <f t="shared" si="23"/>
        <v>21</v>
      </c>
      <c r="JZ43" s="97">
        <v>3</v>
      </c>
      <c r="KA43" s="97">
        <v>3</v>
      </c>
      <c r="KB43" s="97">
        <v>3</v>
      </c>
      <c r="KC43" s="97">
        <v>2</v>
      </c>
      <c r="KD43" s="97">
        <v>0</v>
      </c>
      <c r="KE43" s="97">
        <v>0</v>
      </c>
      <c r="KF43" s="97">
        <v>0</v>
      </c>
      <c r="KG43" s="94">
        <f t="shared" si="24"/>
        <v>11</v>
      </c>
      <c r="KH43" s="95" t="s">
        <v>392</v>
      </c>
      <c r="KI43" s="97">
        <v>0</v>
      </c>
      <c r="KJ43" s="97">
        <v>2</v>
      </c>
      <c r="KK43" s="97">
        <v>0</v>
      </c>
      <c r="KL43" s="95" t="s">
        <v>316</v>
      </c>
      <c r="KM43" s="97">
        <v>1</v>
      </c>
      <c r="KN43" s="97">
        <v>1</v>
      </c>
      <c r="KO43" s="97">
        <v>0</v>
      </c>
      <c r="KP43" s="108">
        <v>45691</v>
      </c>
      <c r="KQ43" s="97">
        <v>0</v>
      </c>
      <c r="KR43" s="97">
        <v>2</v>
      </c>
      <c r="KS43" s="97">
        <v>1</v>
      </c>
      <c r="KT43" s="95" t="s">
        <v>472</v>
      </c>
      <c r="KU43" s="97">
        <v>0</v>
      </c>
      <c r="KV43" s="97">
        <v>2</v>
      </c>
      <c r="KW43" s="97">
        <v>0</v>
      </c>
      <c r="KX43" s="95" t="s">
        <v>376</v>
      </c>
      <c r="KY43" s="97">
        <v>0</v>
      </c>
      <c r="KZ43" s="97">
        <v>2</v>
      </c>
      <c r="LA43" s="97">
        <v>1</v>
      </c>
      <c r="LB43" s="95" t="s">
        <v>473</v>
      </c>
      <c r="LC43" s="97">
        <v>0</v>
      </c>
      <c r="LD43" s="97">
        <v>2</v>
      </c>
      <c r="LE43" s="97">
        <v>1</v>
      </c>
      <c r="LF43" s="95" t="s">
        <v>474</v>
      </c>
      <c r="LG43" s="97">
        <v>1</v>
      </c>
      <c r="LH43" s="97">
        <v>1</v>
      </c>
      <c r="LI43" s="97">
        <v>0</v>
      </c>
      <c r="LJ43" s="95" t="s">
        <v>475</v>
      </c>
      <c r="LK43" s="97">
        <v>0</v>
      </c>
      <c r="LL43" s="97">
        <v>2</v>
      </c>
      <c r="LM43" s="97">
        <v>1</v>
      </c>
      <c r="LN43" s="96">
        <f t="shared" si="25"/>
        <v>18</v>
      </c>
      <c r="LO43" s="97">
        <f t="shared" si="26"/>
        <v>4</v>
      </c>
      <c r="LP43" s="97">
        <f t="shared" si="27"/>
        <v>50</v>
      </c>
    </row>
    <row r="44" spans="1:328" s="98" customFormat="1" ht="13.8">
      <c r="A44" s="55" t="s">
        <v>629</v>
      </c>
      <c r="B44" s="110">
        <v>45953</v>
      </c>
      <c r="C44" s="61">
        <v>16</v>
      </c>
      <c r="D44" s="62"/>
      <c r="E44" s="62"/>
      <c r="F44" s="61">
        <v>1</v>
      </c>
      <c r="G44" s="61">
        <v>1</v>
      </c>
      <c r="H44" s="61">
        <v>1</v>
      </c>
      <c r="I44" s="164">
        <v>6</v>
      </c>
      <c r="J44" s="164">
        <v>4</v>
      </c>
      <c r="K44" s="63">
        <v>5.2777777777777778E-2</v>
      </c>
      <c r="L44" s="63">
        <v>7.9166666666666663E-2</v>
      </c>
      <c r="M44" s="63">
        <v>5.4166666666666669E-2</v>
      </c>
      <c r="N44" s="64" t="s">
        <v>1041</v>
      </c>
      <c r="O44" s="101" t="s">
        <v>1018</v>
      </c>
      <c r="P44" s="95" t="s">
        <v>632</v>
      </c>
      <c r="Q44" s="95">
        <v>1</v>
      </c>
      <c r="R44" s="125">
        <v>21455</v>
      </c>
      <c r="S44" s="95">
        <v>66</v>
      </c>
      <c r="T44" s="95" t="s">
        <v>259</v>
      </c>
      <c r="U44" s="95" t="s">
        <v>298</v>
      </c>
      <c r="V44" s="130" t="s">
        <v>633</v>
      </c>
      <c r="W44" s="95" t="s">
        <v>624</v>
      </c>
      <c r="X44" s="95" t="s">
        <v>596</v>
      </c>
      <c r="Y44" s="95" t="s">
        <v>277</v>
      </c>
      <c r="Z44" s="95" t="s">
        <v>262</v>
      </c>
      <c r="AA44" s="95" t="s">
        <v>471</v>
      </c>
      <c r="AB44" s="95" t="s">
        <v>264</v>
      </c>
      <c r="AC44" s="95" t="s">
        <v>597</v>
      </c>
      <c r="AD44" s="95" t="s">
        <v>597</v>
      </c>
      <c r="AE44" s="95" t="s">
        <v>602</v>
      </c>
      <c r="AF44" s="95" t="s">
        <v>597</v>
      </c>
      <c r="AG44" s="95" t="s">
        <v>602</v>
      </c>
      <c r="AH44" s="95" t="s">
        <v>599</v>
      </c>
      <c r="AI44" s="95" t="s">
        <v>597</v>
      </c>
      <c r="AJ44" s="125">
        <v>21429</v>
      </c>
      <c r="AK44" s="97"/>
      <c r="AL44" s="115">
        <v>1</v>
      </c>
      <c r="AM44" s="115">
        <v>1</v>
      </c>
      <c r="AN44" s="115">
        <v>1</v>
      </c>
      <c r="AO44" s="115">
        <v>1</v>
      </c>
      <c r="AP44" s="115">
        <v>1</v>
      </c>
      <c r="AQ44" s="115">
        <v>1</v>
      </c>
      <c r="AR44" s="115">
        <v>1</v>
      </c>
      <c r="AS44" s="115">
        <v>1</v>
      </c>
      <c r="AT44" s="70">
        <f t="shared" si="0"/>
        <v>8</v>
      </c>
      <c r="AU44" s="71">
        <v>1</v>
      </c>
      <c r="AV44" s="71">
        <v>1</v>
      </c>
      <c r="AW44" s="71">
        <v>1</v>
      </c>
      <c r="AX44" s="71">
        <v>1</v>
      </c>
      <c r="AY44" s="70">
        <f t="shared" si="1"/>
        <v>4</v>
      </c>
      <c r="AZ44" s="69">
        <v>1</v>
      </c>
      <c r="BA44" s="69">
        <v>1</v>
      </c>
      <c r="BB44" s="69">
        <v>1</v>
      </c>
      <c r="BC44" s="69">
        <v>1</v>
      </c>
      <c r="BD44" s="69">
        <v>1</v>
      </c>
      <c r="BE44" s="69">
        <v>1</v>
      </c>
      <c r="BF44" s="69">
        <v>1</v>
      </c>
      <c r="BG44" s="69">
        <v>1</v>
      </c>
      <c r="BH44" s="70">
        <f t="shared" si="2"/>
        <v>8</v>
      </c>
      <c r="BI44" s="69">
        <v>1</v>
      </c>
      <c r="BJ44" s="69">
        <v>1</v>
      </c>
      <c r="BK44" s="70">
        <f t="shared" si="3"/>
        <v>2</v>
      </c>
      <c r="BL44" s="72">
        <v>1</v>
      </c>
      <c r="BM44" s="72">
        <v>1</v>
      </c>
      <c r="BN44" s="72">
        <v>1</v>
      </c>
      <c r="BO44" s="72">
        <v>1</v>
      </c>
      <c r="BP44" s="72">
        <v>1</v>
      </c>
      <c r="BQ44" s="72">
        <v>1</v>
      </c>
      <c r="BR44" s="72">
        <v>1</v>
      </c>
      <c r="BS44" s="72">
        <v>1</v>
      </c>
      <c r="BT44" s="70">
        <f t="shared" si="4"/>
        <v>7</v>
      </c>
      <c r="BU44" s="70">
        <f t="shared" si="5"/>
        <v>29</v>
      </c>
      <c r="BV44" s="105">
        <v>5</v>
      </c>
      <c r="BW44" s="105">
        <v>5</v>
      </c>
      <c r="BX44" s="105">
        <v>5</v>
      </c>
      <c r="BY44" s="73">
        <v>1</v>
      </c>
      <c r="BZ44" s="105">
        <v>5</v>
      </c>
      <c r="CA44" s="73">
        <v>3</v>
      </c>
      <c r="CB44" s="105">
        <v>5</v>
      </c>
      <c r="CC44" s="73">
        <v>5</v>
      </c>
      <c r="CD44" s="73">
        <v>2</v>
      </c>
      <c r="CE44" s="73">
        <v>3</v>
      </c>
      <c r="CF44" s="73">
        <v>3</v>
      </c>
      <c r="CG44" s="73">
        <v>5</v>
      </c>
      <c r="CH44" s="74">
        <v>5</v>
      </c>
      <c r="CI44" s="105">
        <v>5</v>
      </c>
      <c r="CJ44" s="73">
        <v>3</v>
      </c>
      <c r="CK44" s="75">
        <f t="shared" si="96"/>
        <v>60</v>
      </c>
      <c r="CL44" s="76">
        <v>5</v>
      </c>
      <c r="CM44" s="76">
        <v>1</v>
      </c>
      <c r="CN44" s="76">
        <v>5</v>
      </c>
      <c r="CO44" s="76">
        <v>5</v>
      </c>
      <c r="CP44" s="76">
        <v>5</v>
      </c>
      <c r="CQ44" s="106">
        <v>5</v>
      </c>
      <c r="CR44" s="76">
        <v>1</v>
      </c>
      <c r="CS44" s="76">
        <v>5</v>
      </c>
      <c r="CT44" s="76">
        <v>5</v>
      </c>
      <c r="CU44" s="76">
        <v>5</v>
      </c>
      <c r="CV44" s="76">
        <v>5</v>
      </c>
      <c r="CW44" s="76">
        <v>1</v>
      </c>
      <c r="CX44" s="76">
        <v>1</v>
      </c>
      <c r="CY44" s="76">
        <v>5</v>
      </c>
      <c r="CZ44" s="76">
        <v>5</v>
      </c>
      <c r="DA44" s="76">
        <v>5</v>
      </c>
      <c r="DB44" s="76">
        <v>5</v>
      </c>
      <c r="DC44" s="76">
        <v>4</v>
      </c>
      <c r="DD44" s="76">
        <v>5</v>
      </c>
      <c r="DE44" s="76">
        <v>5</v>
      </c>
      <c r="DF44" s="76">
        <v>5</v>
      </c>
      <c r="DG44" s="76">
        <v>5</v>
      </c>
      <c r="DH44" s="76">
        <v>5</v>
      </c>
      <c r="DI44" s="76">
        <v>5</v>
      </c>
      <c r="DJ44" s="76">
        <v>1</v>
      </c>
      <c r="DK44" s="76">
        <v>5</v>
      </c>
      <c r="DL44" s="76">
        <v>3</v>
      </c>
      <c r="DM44" s="76">
        <v>1</v>
      </c>
      <c r="DN44" s="76">
        <f t="shared" si="7"/>
        <v>113</v>
      </c>
      <c r="DO44" s="118">
        <v>29</v>
      </c>
      <c r="DP44" s="97">
        <v>0</v>
      </c>
      <c r="DQ44" s="97">
        <v>0</v>
      </c>
      <c r="DR44" s="97">
        <v>0</v>
      </c>
      <c r="DS44" s="97">
        <v>0</v>
      </c>
      <c r="DT44" s="97">
        <v>0</v>
      </c>
      <c r="DU44" s="97">
        <v>1</v>
      </c>
      <c r="DV44" s="97">
        <v>0</v>
      </c>
      <c r="DW44" s="97">
        <v>0</v>
      </c>
      <c r="DX44" s="97">
        <v>1</v>
      </c>
      <c r="DY44" s="97">
        <v>1</v>
      </c>
      <c r="DZ44" s="97">
        <v>0</v>
      </c>
      <c r="EA44" s="97">
        <v>0</v>
      </c>
      <c r="EB44" s="97">
        <v>0</v>
      </c>
      <c r="EC44" s="97">
        <v>0</v>
      </c>
      <c r="ED44" s="97">
        <v>1</v>
      </c>
      <c r="EE44" s="77">
        <f t="shared" si="124"/>
        <v>4</v>
      </c>
      <c r="EF44" s="77" t="s">
        <v>265</v>
      </c>
      <c r="EG44" s="78">
        <f t="shared" si="8"/>
        <v>4</v>
      </c>
      <c r="EH44" s="97">
        <v>0</v>
      </c>
      <c r="EI44" s="97">
        <v>0</v>
      </c>
      <c r="EJ44" s="97">
        <v>0.5</v>
      </c>
      <c r="EK44" s="97">
        <v>0</v>
      </c>
      <c r="EL44" s="97">
        <v>0.5</v>
      </c>
      <c r="EM44" s="97">
        <v>0</v>
      </c>
      <c r="EN44" s="97">
        <v>0</v>
      </c>
      <c r="EO44" s="97">
        <v>0.5</v>
      </c>
      <c r="EP44" s="97">
        <v>0</v>
      </c>
      <c r="EQ44" s="97">
        <v>0</v>
      </c>
      <c r="ER44" s="97">
        <v>0</v>
      </c>
      <c r="ES44" s="97">
        <v>0</v>
      </c>
      <c r="ET44" s="97">
        <v>1</v>
      </c>
      <c r="EU44" s="97">
        <v>0</v>
      </c>
      <c r="EV44" s="97">
        <v>0</v>
      </c>
      <c r="EW44" s="97">
        <v>0</v>
      </c>
      <c r="EX44" s="97">
        <v>0</v>
      </c>
      <c r="EY44" s="97">
        <v>0</v>
      </c>
      <c r="EZ44" s="97">
        <v>0</v>
      </c>
      <c r="FA44" s="97">
        <v>0</v>
      </c>
      <c r="FB44" s="97">
        <v>0</v>
      </c>
      <c r="FC44" s="97">
        <v>1</v>
      </c>
      <c r="FD44" s="79">
        <f t="shared" si="9"/>
        <v>3.5</v>
      </c>
      <c r="FE44" s="80">
        <v>1</v>
      </c>
      <c r="FF44" s="97">
        <v>1</v>
      </c>
      <c r="FG44" s="97">
        <v>1</v>
      </c>
      <c r="FH44" s="97">
        <v>1</v>
      </c>
      <c r="FI44" s="97">
        <v>1</v>
      </c>
      <c r="FJ44" s="97">
        <v>1</v>
      </c>
      <c r="FK44" s="97">
        <v>1</v>
      </c>
      <c r="FL44" s="97">
        <v>1</v>
      </c>
      <c r="FM44" s="97">
        <v>1</v>
      </c>
      <c r="FN44" s="81">
        <f t="shared" si="10"/>
        <v>8</v>
      </c>
      <c r="FO44" s="82">
        <v>1</v>
      </c>
      <c r="FP44" s="97">
        <v>10</v>
      </c>
      <c r="FQ44" s="97">
        <v>5</v>
      </c>
      <c r="FR44" s="97">
        <v>10</v>
      </c>
      <c r="FS44" s="97">
        <v>5</v>
      </c>
      <c r="FT44" s="97">
        <v>10</v>
      </c>
      <c r="FU44" s="97">
        <v>10</v>
      </c>
      <c r="FV44" s="97">
        <v>10</v>
      </c>
      <c r="FW44" s="97">
        <v>15</v>
      </c>
      <c r="FX44" s="97">
        <v>15</v>
      </c>
      <c r="FY44" s="97">
        <v>10</v>
      </c>
      <c r="FZ44" s="83">
        <f t="shared" si="11"/>
        <v>100</v>
      </c>
      <c r="GA44" s="84">
        <v>1</v>
      </c>
      <c r="GB44" s="55">
        <v>0</v>
      </c>
      <c r="GC44" s="85">
        <v>0</v>
      </c>
      <c r="GD44" s="85">
        <v>0</v>
      </c>
      <c r="GE44" s="85">
        <v>0</v>
      </c>
      <c r="GF44" s="85">
        <v>0</v>
      </c>
      <c r="GG44" s="85">
        <v>0</v>
      </c>
      <c r="GH44" s="85">
        <v>0</v>
      </c>
      <c r="GI44" s="97">
        <v>0</v>
      </c>
      <c r="GJ44" s="97">
        <v>0</v>
      </c>
      <c r="GK44" s="97">
        <v>1</v>
      </c>
      <c r="GL44" s="97">
        <v>1</v>
      </c>
      <c r="GM44" s="97">
        <v>0</v>
      </c>
      <c r="GN44" s="97">
        <v>0</v>
      </c>
      <c r="GO44" s="97">
        <v>1</v>
      </c>
      <c r="GP44" s="97">
        <v>1</v>
      </c>
      <c r="GQ44" s="97">
        <v>1</v>
      </c>
      <c r="GR44" s="97">
        <v>0</v>
      </c>
      <c r="GS44" s="97">
        <v>2</v>
      </c>
      <c r="GT44" s="97">
        <v>1</v>
      </c>
      <c r="GU44" s="86">
        <f t="shared" si="12"/>
        <v>8</v>
      </c>
      <c r="GV44" s="128" t="s">
        <v>266</v>
      </c>
      <c r="GW44" s="87">
        <v>0</v>
      </c>
      <c r="GX44" s="129" t="s">
        <v>267</v>
      </c>
      <c r="GY44" s="97">
        <v>5</v>
      </c>
      <c r="GZ44" s="97">
        <v>5</v>
      </c>
      <c r="HA44" s="97">
        <v>3</v>
      </c>
      <c r="HB44" s="97">
        <v>3</v>
      </c>
      <c r="HC44" s="97">
        <v>4</v>
      </c>
      <c r="HD44" s="97">
        <v>5</v>
      </c>
      <c r="HE44" s="97"/>
      <c r="HF44" s="97"/>
      <c r="HG44" s="97">
        <v>3</v>
      </c>
      <c r="HH44" s="97">
        <v>7</v>
      </c>
      <c r="HI44" s="97">
        <v>7</v>
      </c>
      <c r="HJ44" s="97"/>
      <c r="HK44" s="97">
        <v>4</v>
      </c>
      <c r="HL44" s="97">
        <v>6</v>
      </c>
      <c r="HM44" s="97">
        <v>2</v>
      </c>
      <c r="HN44" s="97">
        <v>1</v>
      </c>
      <c r="HO44" s="97">
        <v>3</v>
      </c>
      <c r="HP44" s="97">
        <v>1</v>
      </c>
      <c r="HQ44" s="97">
        <v>2</v>
      </c>
      <c r="HR44" s="97">
        <v>1</v>
      </c>
      <c r="HS44" s="97">
        <v>1</v>
      </c>
      <c r="HT44" s="97">
        <v>2</v>
      </c>
      <c r="HU44" s="97">
        <v>4</v>
      </c>
      <c r="HV44" s="97">
        <v>1</v>
      </c>
      <c r="HW44" s="97">
        <v>1</v>
      </c>
      <c r="HX44" s="97">
        <v>2</v>
      </c>
      <c r="HY44" s="97">
        <v>5</v>
      </c>
      <c r="HZ44" s="97">
        <v>4</v>
      </c>
      <c r="IA44" s="97">
        <v>4</v>
      </c>
      <c r="IB44" s="97">
        <v>7</v>
      </c>
      <c r="IC44" s="55"/>
      <c r="ID44" s="55">
        <f t="shared" ref="ID44:IG44" si="155">SUM(GY44)</f>
        <v>5</v>
      </c>
      <c r="IE44" s="55">
        <f t="shared" si="155"/>
        <v>5</v>
      </c>
      <c r="IF44" s="55">
        <f t="shared" si="155"/>
        <v>3</v>
      </c>
      <c r="IG44" s="55">
        <f t="shared" si="155"/>
        <v>3</v>
      </c>
      <c r="IH44" s="55">
        <f t="shared" si="14"/>
        <v>9</v>
      </c>
      <c r="II44" s="55">
        <f t="shared" si="15"/>
        <v>3</v>
      </c>
      <c r="IJ44" s="55">
        <f t="shared" si="16"/>
        <v>14</v>
      </c>
      <c r="IK44" s="55">
        <f t="shared" ref="IK44:IQ44" si="156">SUM(HK44)</f>
        <v>4</v>
      </c>
      <c r="IL44" s="55">
        <f t="shared" si="156"/>
        <v>6</v>
      </c>
      <c r="IM44" s="55">
        <f t="shared" si="156"/>
        <v>2</v>
      </c>
      <c r="IN44" s="55">
        <f t="shared" si="156"/>
        <v>1</v>
      </c>
      <c r="IO44" s="55">
        <f t="shared" si="156"/>
        <v>3</v>
      </c>
      <c r="IP44" s="55">
        <f t="shared" si="156"/>
        <v>1</v>
      </c>
      <c r="IQ44" s="55">
        <f t="shared" si="156"/>
        <v>2</v>
      </c>
      <c r="IR44" s="55">
        <f t="shared" si="18"/>
        <v>2</v>
      </c>
      <c r="IS44" s="55">
        <f t="shared" ref="IS44:JB44" si="157">SUM(HT44)</f>
        <v>2</v>
      </c>
      <c r="IT44" s="55">
        <f t="shared" si="157"/>
        <v>4</v>
      </c>
      <c r="IU44" s="55">
        <f t="shared" si="157"/>
        <v>1</v>
      </c>
      <c r="IV44" s="55">
        <f t="shared" si="157"/>
        <v>1</v>
      </c>
      <c r="IW44" s="55">
        <f t="shared" si="157"/>
        <v>2</v>
      </c>
      <c r="IX44" s="55">
        <f t="shared" si="157"/>
        <v>5</v>
      </c>
      <c r="IY44" s="55">
        <f t="shared" si="157"/>
        <v>4</v>
      </c>
      <c r="IZ44" s="55">
        <f t="shared" si="157"/>
        <v>4</v>
      </c>
      <c r="JA44" s="55">
        <f t="shared" si="157"/>
        <v>7</v>
      </c>
      <c r="JB44" s="55">
        <f t="shared" si="157"/>
        <v>0</v>
      </c>
      <c r="JC44" s="89">
        <f t="shared" si="20"/>
        <v>90</v>
      </c>
      <c r="JD44" s="89">
        <v>1</v>
      </c>
      <c r="JE44" s="89"/>
      <c r="JF44" s="121">
        <v>80</v>
      </c>
      <c r="JG44" s="121">
        <v>5.43</v>
      </c>
      <c r="JH44" s="97">
        <v>2</v>
      </c>
      <c r="JI44" s="97">
        <v>2</v>
      </c>
      <c r="JJ44" s="97">
        <v>2</v>
      </c>
      <c r="JK44" s="97">
        <v>2</v>
      </c>
      <c r="JL44" s="97">
        <v>0</v>
      </c>
      <c r="JM44" s="97">
        <v>0</v>
      </c>
      <c r="JN44" s="97">
        <v>0</v>
      </c>
      <c r="JO44" s="97">
        <v>0</v>
      </c>
      <c r="JP44" s="89">
        <f t="shared" si="21"/>
        <v>8</v>
      </c>
      <c r="JQ44" s="97">
        <v>2</v>
      </c>
      <c r="JR44" s="97">
        <v>2</v>
      </c>
      <c r="JS44" s="97">
        <v>2</v>
      </c>
      <c r="JT44" s="97">
        <v>2</v>
      </c>
      <c r="JU44" s="97">
        <v>2</v>
      </c>
      <c r="JV44" s="97">
        <v>0</v>
      </c>
      <c r="JW44" s="97">
        <v>0</v>
      </c>
      <c r="JX44" s="92">
        <f t="shared" si="22"/>
        <v>10</v>
      </c>
      <c r="JY44" s="93">
        <f t="shared" si="23"/>
        <v>18</v>
      </c>
      <c r="JZ44" s="97">
        <v>3</v>
      </c>
      <c r="KA44" s="97">
        <v>3</v>
      </c>
      <c r="KB44" s="97">
        <v>3</v>
      </c>
      <c r="KC44" s="97">
        <v>3</v>
      </c>
      <c r="KD44" s="97">
        <v>2</v>
      </c>
      <c r="KE44" s="97">
        <v>1</v>
      </c>
      <c r="KF44" s="97">
        <v>0</v>
      </c>
      <c r="KG44" s="94">
        <f t="shared" si="24"/>
        <v>15</v>
      </c>
      <c r="KH44" s="95" t="s">
        <v>476</v>
      </c>
      <c r="KI44" s="97">
        <v>0</v>
      </c>
      <c r="KJ44" s="97">
        <v>2</v>
      </c>
      <c r="KK44" s="97">
        <v>0</v>
      </c>
      <c r="KL44" s="95" t="s">
        <v>386</v>
      </c>
      <c r="KM44" s="97">
        <v>0</v>
      </c>
      <c r="KN44" s="97">
        <v>2</v>
      </c>
      <c r="KO44" s="97">
        <v>0</v>
      </c>
      <c r="KP44" s="95" t="s">
        <v>477</v>
      </c>
      <c r="KQ44" s="97">
        <v>0</v>
      </c>
      <c r="KR44" s="97">
        <v>2</v>
      </c>
      <c r="KS44" s="97">
        <v>1</v>
      </c>
      <c r="KT44" s="95" t="s">
        <v>478</v>
      </c>
      <c r="KU44" s="97">
        <v>0</v>
      </c>
      <c r="KV44" s="97">
        <v>2</v>
      </c>
      <c r="KW44" s="97">
        <v>0</v>
      </c>
      <c r="KX44" s="95" t="s">
        <v>470</v>
      </c>
      <c r="KY44" s="97">
        <v>0</v>
      </c>
      <c r="KZ44" s="97">
        <v>2</v>
      </c>
      <c r="LA44" s="97">
        <v>1</v>
      </c>
      <c r="LB44" s="95" t="s">
        <v>479</v>
      </c>
      <c r="LC44" s="97">
        <v>0</v>
      </c>
      <c r="LD44" s="97">
        <v>2</v>
      </c>
      <c r="LE44" s="97">
        <v>2</v>
      </c>
      <c r="LF44" s="95" t="s">
        <v>480</v>
      </c>
      <c r="LG44" s="97">
        <v>2</v>
      </c>
      <c r="LH44" s="97">
        <v>0</v>
      </c>
      <c r="LI44" s="97">
        <v>2</v>
      </c>
      <c r="LJ44" s="95" t="s">
        <v>481</v>
      </c>
      <c r="LK44" s="97">
        <v>1</v>
      </c>
      <c r="LL44" s="97">
        <v>1</v>
      </c>
      <c r="LM44" s="97">
        <v>3</v>
      </c>
      <c r="LN44" s="96">
        <f t="shared" si="25"/>
        <v>22</v>
      </c>
      <c r="LO44" s="97">
        <f t="shared" si="26"/>
        <v>9</v>
      </c>
      <c r="LP44" s="97">
        <f t="shared" si="27"/>
        <v>55</v>
      </c>
    </row>
    <row r="45" spans="1:328" s="98" customFormat="1" ht="13.2">
      <c r="A45" s="42" t="s">
        <v>592</v>
      </c>
      <c r="B45" s="51"/>
      <c r="C45" s="40"/>
      <c r="D45" s="49"/>
      <c r="E45" s="49"/>
      <c r="F45" s="40"/>
      <c r="G45" s="40"/>
      <c r="H45" s="40"/>
      <c r="I45" s="40" t="s">
        <v>744</v>
      </c>
      <c r="J45" s="40"/>
      <c r="K45" s="40"/>
      <c r="L45" s="40"/>
      <c r="M45" s="40"/>
      <c r="N45" s="64" t="s">
        <v>1040</v>
      </c>
      <c r="O45" s="101" t="s">
        <v>1019</v>
      </c>
      <c r="P45" s="66" t="s">
        <v>796</v>
      </c>
      <c r="Q45" s="66">
        <v>1</v>
      </c>
      <c r="R45" s="67">
        <v>21487</v>
      </c>
      <c r="S45" s="66">
        <v>66</v>
      </c>
      <c r="T45" s="66" t="s">
        <v>259</v>
      </c>
      <c r="U45" s="66" t="s">
        <v>298</v>
      </c>
      <c r="V45" s="68" t="s">
        <v>797</v>
      </c>
      <c r="W45" s="66" t="s">
        <v>595</v>
      </c>
      <c r="X45" s="66" t="s">
        <v>596</v>
      </c>
      <c r="Y45" s="66" t="s">
        <v>311</v>
      </c>
      <c r="Z45" s="66" t="s">
        <v>262</v>
      </c>
      <c r="AA45" s="66" t="s">
        <v>798</v>
      </c>
      <c r="AB45" s="66" t="s">
        <v>279</v>
      </c>
      <c r="AC45" s="66" t="s">
        <v>599</v>
      </c>
      <c r="AD45" s="66" t="s">
        <v>597</v>
      </c>
      <c r="AE45" s="66" t="s">
        <v>799</v>
      </c>
      <c r="AF45" s="66" t="s">
        <v>597</v>
      </c>
      <c r="AG45" s="66" t="s">
        <v>622</v>
      </c>
      <c r="AH45" s="66" t="s">
        <v>599</v>
      </c>
      <c r="AI45" s="66" t="s">
        <v>599</v>
      </c>
      <c r="AJ45" s="67">
        <v>45580</v>
      </c>
      <c r="AK45" s="40" t="s">
        <v>622</v>
      </c>
      <c r="AL45" s="115">
        <v>1</v>
      </c>
      <c r="AM45" s="115">
        <v>1</v>
      </c>
      <c r="AN45" s="115">
        <v>1</v>
      </c>
      <c r="AO45" s="115">
        <v>1</v>
      </c>
      <c r="AP45" s="115">
        <v>1</v>
      </c>
      <c r="AQ45" s="115">
        <v>1</v>
      </c>
      <c r="AR45" s="115">
        <v>1</v>
      </c>
      <c r="AS45" s="115">
        <v>1</v>
      </c>
      <c r="AT45" s="70">
        <f t="shared" si="0"/>
        <v>8</v>
      </c>
      <c r="AU45" s="71">
        <v>1</v>
      </c>
      <c r="AV45" s="71">
        <v>1</v>
      </c>
      <c r="AW45" s="71">
        <v>1</v>
      </c>
      <c r="AX45" s="71">
        <v>1</v>
      </c>
      <c r="AY45" s="70">
        <f t="shared" si="1"/>
        <v>4</v>
      </c>
      <c r="AZ45" s="69">
        <v>1</v>
      </c>
      <c r="BA45" s="69">
        <v>1</v>
      </c>
      <c r="BB45" s="69">
        <v>1</v>
      </c>
      <c r="BC45" s="69">
        <v>1</v>
      </c>
      <c r="BD45" s="69">
        <v>1</v>
      </c>
      <c r="BE45" s="69">
        <v>1</v>
      </c>
      <c r="BF45" s="69">
        <v>1</v>
      </c>
      <c r="BG45" s="69">
        <v>1</v>
      </c>
      <c r="BH45" s="70">
        <f t="shared" si="2"/>
        <v>8</v>
      </c>
      <c r="BI45" s="69">
        <v>1</v>
      </c>
      <c r="BJ45" s="69">
        <v>1</v>
      </c>
      <c r="BK45" s="70">
        <f t="shared" si="3"/>
        <v>2</v>
      </c>
      <c r="BL45" s="72">
        <v>1</v>
      </c>
      <c r="BM45" s="72">
        <v>1</v>
      </c>
      <c r="BN45" s="72">
        <v>1</v>
      </c>
      <c r="BO45" s="72">
        <v>1</v>
      </c>
      <c r="BP45" s="72">
        <v>1</v>
      </c>
      <c r="BQ45" s="72">
        <v>1</v>
      </c>
      <c r="BR45" s="72">
        <v>1</v>
      </c>
      <c r="BS45" s="72">
        <v>1</v>
      </c>
      <c r="BT45" s="70">
        <f t="shared" si="4"/>
        <v>7</v>
      </c>
      <c r="BU45" s="70">
        <f t="shared" si="5"/>
        <v>29</v>
      </c>
      <c r="BV45" s="73">
        <v>5</v>
      </c>
      <c r="BW45" s="73">
        <v>5</v>
      </c>
      <c r="BX45" s="73">
        <v>5</v>
      </c>
      <c r="BY45" s="73">
        <v>1</v>
      </c>
      <c r="BZ45" s="105">
        <v>5</v>
      </c>
      <c r="CA45" s="73">
        <v>3</v>
      </c>
      <c r="CB45" s="105">
        <v>5</v>
      </c>
      <c r="CC45" s="73">
        <v>5</v>
      </c>
      <c r="CD45" s="73">
        <v>2</v>
      </c>
      <c r="CE45" s="73">
        <v>3</v>
      </c>
      <c r="CF45" s="73">
        <v>3</v>
      </c>
      <c r="CG45" s="73">
        <v>5</v>
      </c>
      <c r="CH45" s="74">
        <v>5</v>
      </c>
      <c r="CI45" s="73">
        <v>5</v>
      </c>
      <c r="CJ45" s="73">
        <v>3</v>
      </c>
      <c r="CK45" s="75">
        <f t="shared" si="96"/>
        <v>60</v>
      </c>
      <c r="CL45" s="76"/>
      <c r="CM45" s="76"/>
      <c r="CN45" s="76"/>
      <c r="CO45" s="76"/>
      <c r="CP45" s="76"/>
      <c r="CQ45" s="10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>
        <f t="shared" si="7"/>
        <v>0</v>
      </c>
      <c r="DO45" s="76">
        <v>30</v>
      </c>
      <c r="DP45" s="55">
        <v>0</v>
      </c>
      <c r="DQ45" s="55">
        <v>0</v>
      </c>
      <c r="DR45" s="55">
        <v>0</v>
      </c>
      <c r="DS45" s="55">
        <v>0</v>
      </c>
      <c r="DT45" s="55">
        <v>0</v>
      </c>
      <c r="DU45" s="55">
        <v>0</v>
      </c>
      <c r="DV45" s="55">
        <v>0</v>
      </c>
      <c r="DW45" s="55">
        <v>0</v>
      </c>
      <c r="DX45" s="55">
        <v>0</v>
      </c>
      <c r="DY45" s="55">
        <v>0</v>
      </c>
      <c r="DZ45" s="55">
        <v>0</v>
      </c>
      <c r="EA45" s="55">
        <v>0</v>
      </c>
      <c r="EB45" s="55">
        <v>0</v>
      </c>
      <c r="EC45" s="55">
        <v>0</v>
      </c>
      <c r="ED45" s="55">
        <v>0</v>
      </c>
      <c r="EE45" s="77">
        <f t="shared" si="124"/>
        <v>0</v>
      </c>
      <c r="EF45" s="77" t="s">
        <v>265</v>
      </c>
      <c r="EG45" s="78">
        <f t="shared" si="8"/>
        <v>0</v>
      </c>
      <c r="EH45" s="55">
        <v>0</v>
      </c>
      <c r="EI45" s="55">
        <v>0</v>
      </c>
      <c r="EJ45" s="55">
        <v>0</v>
      </c>
      <c r="EK45" s="55">
        <v>0</v>
      </c>
      <c r="EL45" s="55">
        <v>0</v>
      </c>
      <c r="EM45" s="55">
        <v>0</v>
      </c>
      <c r="EN45" s="97">
        <v>0.5</v>
      </c>
      <c r="EO45" s="55">
        <v>0</v>
      </c>
      <c r="EP45" s="55">
        <v>0</v>
      </c>
      <c r="EQ45" s="55">
        <v>0</v>
      </c>
      <c r="ER45" s="55">
        <v>0</v>
      </c>
      <c r="ES45" s="55">
        <v>0</v>
      </c>
      <c r="ET45" s="55">
        <v>0</v>
      </c>
      <c r="EU45" s="55">
        <v>0</v>
      </c>
      <c r="EV45" s="55">
        <v>0</v>
      </c>
      <c r="EW45" s="55">
        <v>0</v>
      </c>
      <c r="EX45" s="55">
        <v>0</v>
      </c>
      <c r="EY45" s="55">
        <v>0</v>
      </c>
      <c r="EZ45" s="55">
        <v>0</v>
      </c>
      <c r="FA45" s="55">
        <v>0</v>
      </c>
      <c r="FB45" s="55">
        <v>0</v>
      </c>
      <c r="FC45" s="55">
        <v>0</v>
      </c>
      <c r="FD45" s="79">
        <f t="shared" si="9"/>
        <v>0.5</v>
      </c>
      <c r="FE45" s="80">
        <v>1</v>
      </c>
      <c r="FF45" s="97">
        <v>1</v>
      </c>
      <c r="FG45" s="97">
        <v>1</v>
      </c>
      <c r="FH45" s="97">
        <v>1</v>
      </c>
      <c r="FI45" s="97">
        <v>1</v>
      </c>
      <c r="FJ45" s="97">
        <v>1</v>
      </c>
      <c r="FK45" s="97">
        <v>1</v>
      </c>
      <c r="FL45" s="97">
        <v>1</v>
      </c>
      <c r="FM45" s="97">
        <v>1</v>
      </c>
      <c r="FN45" s="81">
        <f t="shared" si="10"/>
        <v>8</v>
      </c>
      <c r="FO45" s="82">
        <v>1</v>
      </c>
      <c r="FP45" s="97">
        <v>10</v>
      </c>
      <c r="FQ45" s="97">
        <v>5</v>
      </c>
      <c r="FR45" s="97">
        <v>10</v>
      </c>
      <c r="FS45" s="97">
        <v>5</v>
      </c>
      <c r="FT45" s="97">
        <v>10</v>
      </c>
      <c r="FU45" s="97">
        <v>10</v>
      </c>
      <c r="FV45" s="97">
        <v>10</v>
      </c>
      <c r="FW45" s="97">
        <v>15</v>
      </c>
      <c r="FX45" s="97">
        <v>15</v>
      </c>
      <c r="FY45" s="97">
        <v>10</v>
      </c>
      <c r="FZ45" s="83">
        <f t="shared" si="11"/>
        <v>100</v>
      </c>
      <c r="GA45" s="84">
        <v>1</v>
      </c>
      <c r="GB45" s="55">
        <v>0</v>
      </c>
      <c r="GC45" s="85">
        <v>0.5</v>
      </c>
      <c r="GD45" s="85">
        <v>0.5</v>
      </c>
      <c r="GE45" s="85">
        <v>0</v>
      </c>
      <c r="GF45" s="85">
        <v>0</v>
      </c>
      <c r="GG45" s="85">
        <v>0</v>
      </c>
      <c r="GH45" s="85">
        <v>0</v>
      </c>
      <c r="GI45" s="55">
        <v>0</v>
      </c>
      <c r="GJ45" s="55">
        <v>0</v>
      </c>
      <c r="GK45" s="55">
        <v>0</v>
      </c>
      <c r="GL45" s="55">
        <v>0</v>
      </c>
      <c r="GM45" s="55">
        <v>0</v>
      </c>
      <c r="GN45" s="55">
        <v>0</v>
      </c>
      <c r="GO45" s="55">
        <v>0</v>
      </c>
      <c r="GP45" s="55">
        <v>0</v>
      </c>
      <c r="GQ45" s="55">
        <v>0</v>
      </c>
      <c r="GR45" s="55">
        <v>0</v>
      </c>
      <c r="GS45" s="55">
        <v>0</v>
      </c>
      <c r="GT45" s="55">
        <v>0</v>
      </c>
      <c r="GU45" s="86">
        <f t="shared" si="12"/>
        <v>0</v>
      </c>
      <c r="GV45" s="87" t="s">
        <v>301</v>
      </c>
      <c r="GW45" s="87">
        <v>0</v>
      </c>
      <c r="GX45" s="88" t="s">
        <v>267</v>
      </c>
      <c r="GY45" s="55">
        <v>5</v>
      </c>
      <c r="GZ45" s="55">
        <v>5</v>
      </c>
      <c r="HA45" s="55">
        <v>3</v>
      </c>
      <c r="HB45" s="55">
        <v>1</v>
      </c>
      <c r="HC45" s="55">
        <v>5</v>
      </c>
      <c r="HD45" s="55">
        <v>5</v>
      </c>
      <c r="HE45" s="55"/>
      <c r="HF45" s="55"/>
      <c r="HG45" s="55">
        <v>3</v>
      </c>
      <c r="HH45" s="55">
        <v>7</v>
      </c>
      <c r="HI45" s="55">
        <v>7</v>
      </c>
      <c r="HJ45" s="55"/>
      <c r="HK45" s="55">
        <v>3</v>
      </c>
      <c r="HL45" s="55">
        <v>6</v>
      </c>
      <c r="HM45" s="55">
        <v>6</v>
      </c>
      <c r="HN45" s="55">
        <v>1</v>
      </c>
      <c r="HO45" s="55">
        <v>3</v>
      </c>
      <c r="HP45" s="55">
        <v>1</v>
      </c>
      <c r="HQ45" s="55">
        <v>2</v>
      </c>
      <c r="HR45" s="55">
        <v>1</v>
      </c>
      <c r="HS45" s="55">
        <v>1</v>
      </c>
      <c r="HT45" s="55">
        <v>2</v>
      </c>
      <c r="HU45" s="55">
        <v>3</v>
      </c>
      <c r="HV45" s="55">
        <v>1</v>
      </c>
      <c r="HW45" s="55">
        <v>1</v>
      </c>
      <c r="HX45" s="55">
        <v>2</v>
      </c>
      <c r="HY45" s="55">
        <v>2</v>
      </c>
      <c r="HZ45" s="55">
        <v>4</v>
      </c>
      <c r="IA45" s="55">
        <v>4</v>
      </c>
      <c r="IB45" s="55">
        <v>7</v>
      </c>
      <c r="IC45" s="55"/>
      <c r="ID45" s="55">
        <f t="shared" ref="ID45:IG45" si="158">SUM(GY45)</f>
        <v>5</v>
      </c>
      <c r="IE45" s="55">
        <f t="shared" si="158"/>
        <v>5</v>
      </c>
      <c r="IF45" s="55">
        <f t="shared" si="158"/>
        <v>3</v>
      </c>
      <c r="IG45" s="55">
        <f t="shared" si="158"/>
        <v>1</v>
      </c>
      <c r="IH45" s="55">
        <f t="shared" si="14"/>
        <v>10</v>
      </c>
      <c r="II45" s="55">
        <f t="shared" si="15"/>
        <v>3</v>
      </c>
      <c r="IJ45" s="55">
        <f t="shared" si="16"/>
        <v>14</v>
      </c>
      <c r="IK45" s="55">
        <f t="shared" ref="IK45:IQ45" si="159">SUM(HK45)</f>
        <v>3</v>
      </c>
      <c r="IL45" s="55">
        <f t="shared" si="159"/>
        <v>6</v>
      </c>
      <c r="IM45" s="55">
        <f t="shared" si="159"/>
        <v>6</v>
      </c>
      <c r="IN45" s="55">
        <f t="shared" si="159"/>
        <v>1</v>
      </c>
      <c r="IO45" s="55">
        <f t="shared" si="159"/>
        <v>3</v>
      </c>
      <c r="IP45" s="55">
        <f t="shared" si="159"/>
        <v>1</v>
      </c>
      <c r="IQ45" s="55">
        <f t="shared" si="159"/>
        <v>2</v>
      </c>
      <c r="IR45" s="55">
        <f t="shared" si="18"/>
        <v>2</v>
      </c>
      <c r="IS45" s="55">
        <f t="shared" ref="IS45:JB45" si="160">SUM(HT45)</f>
        <v>2</v>
      </c>
      <c r="IT45" s="55">
        <f t="shared" si="160"/>
        <v>3</v>
      </c>
      <c r="IU45" s="55">
        <f t="shared" si="160"/>
        <v>1</v>
      </c>
      <c r="IV45" s="55">
        <f t="shared" si="160"/>
        <v>1</v>
      </c>
      <c r="IW45" s="55">
        <f t="shared" si="160"/>
        <v>2</v>
      </c>
      <c r="IX45" s="55">
        <f t="shared" si="160"/>
        <v>2</v>
      </c>
      <c r="IY45" s="55">
        <f t="shared" si="160"/>
        <v>4</v>
      </c>
      <c r="IZ45" s="55">
        <f t="shared" si="160"/>
        <v>4</v>
      </c>
      <c r="JA45" s="55">
        <f t="shared" si="160"/>
        <v>7</v>
      </c>
      <c r="JB45" s="55">
        <f t="shared" si="160"/>
        <v>0</v>
      </c>
      <c r="JC45" s="89">
        <f t="shared" si="20"/>
        <v>90</v>
      </c>
      <c r="JD45" s="90">
        <v>1</v>
      </c>
      <c r="JE45" s="90">
        <v>1</v>
      </c>
      <c r="JF45" s="91">
        <v>53</v>
      </c>
      <c r="JG45" s="91">
        <v>2</v>
      </c>
      <c r="JH45" s="55">
        <v>2</v>
      </c>
      <c r="JI45" s="55">
        <v>2</v>
      </c>
      <c r="JJ45" s="55">
        <v>2</v>
      </c>
      <c r="JK45" s="55">
        <v>1</v>
      </c>
      <c r="JL45" s="55">
        <v>1</v>
      </c>
      <c r="JM45" s="55">
        <v>0</v>
      </c>
      <c r="JN45" s="55">
        <v>0</v>
      </c>
      <c r="JO45" s="55">
        <v>0</v>
      </c>
      <c r="JP45" s="89">
        <f t="shared" si="21"/>
        <v>8</v>
      </c>
      <c r="JQ45" s="55">
        <v>2</v>
      </c>
      <c r="JR45" s="55">
        <v>2</v>
      </c>
      <c r="JS45" s="55">
        <v>1</v>
      </c>
      <c r="JT45" s="55">
        <v>1</v>
      </c>
      <c r="JU45" s="55">
        <v>0</v>
      </c>
      <c r="JV45" s="55">
        <v>0</v>
      </c>
      <c r="JW45" s="55">
        <v>0</v>
      </c>
      <c r="JX45" s="92">
        <f t="shared" si="22"/>
        <v>6</v>
      </c>
      <c r="JY45" s="93">
        <f t="shared" si="23"/>
        <v>14</v>
      </c>
      <c r="JZ45" s="55">
        <v>3</v>
      </c>
      <c r="KA45" s="55">
        <v>3</v>
      </c>
      <c r="KB45" s="55">
        <v>0</v>
      </c>
      <c r="KC45" s="55">
        <v>0</v>
      </c>
      <c r="KD45" s="55">
        <v>0</v>
      </c>
      <c r="KE45" s="55">
        <v>0</v>
      </c>
      <c r="KF45" s="55">
        <v>0</v>
      </c>
      <c r="KG45" s="94">
        <f t="shared" si="24"/>
        <v>6</v>
      </c>
      <c r="KH45" s="95" t="s">
        <v>800</v>
      </c>
      <c r="KI45" s="55">
        <v>0</v>
      </c>
      <c r="KJ45" s="55">
        <v>2</v>
      </c>
      <c r="KK45" s="55">
        <v>1</v>
      </c>
      <c r="KL45" s="95" t="s">
        <v>801</v>
      </c>
      <c r="KM45" s="55">
        <v>0</v>
      </c>
      <c r="KN45" s="55">
        <v>2</v>
      </c>
      <c r="KO45" s="55">
        <v>1</v>
      </c>
      <c r="KP45" s="108">
        <v>45659</v>
      </c>
      <c r="KQ45" s="55">
        <v>0</v>
      </c>
      <c r="KR45" s="55">
        <v>2</v>
      </c>
      <c r="KS45" s="55">
        <v>1</v>
      </c>
      <c r="KT45" s="95" t="s">
        <v>372</v>
      </c>
      <c r="KU45" s="55">
        <v>0</v>
      </c>
      <c r="KV45" s="55">
        <v>2</v>
      </c>
      <c r="KW45" s="55">
        <v>1</v>
      </c>
      <c r="KX45" s="95" t="s">
        <v>802</v>
      </c>
      <c r="KY45" s="55">
        <v>0</v>
      </c>
      <c r="KZ45" s="55">
        <v>2</v>
      </c>
      <c r="LA45" s="55">
        <v>1</v>
      </c>
      <c r="LB45" s="95" t="s">
        <v>803</v>
      </c>
      <c r="LC45" s="55">
        <v>0</v>
      </c>
      <c r="LD45" s="55">
        <v>2</v>
      </c>
      <c r="LE45" s="55">
        <v>2</v>
      </c>
      <c r="LF45" s="139">
        <v>45914</v>
      </c>
      <c r="LG45" s="55">
        <v>1</v>
      </c>
      <c r="LH45" s="55">
        <v>1</v>
      </c>
      <c r="LI45" s="55">
        <v>1</v>
      </c>
      <c r="LJ45" s="95" t="s">
        <v>804</v>
      </c>
      <c r="LK45" s="55">
        <v>0</v>
      </c>
      <c r="LL45" s="55">
        <v>2</v>
      </c>
      <c r="LM45" s="55">
        <v>1</v>
      </c>
      <c r="LN45" s="96">
        <f t="shared" si="25"/>
        <v>24</v>
      </c>
      <c r="LO45" s="97">
        <f t="shared" si="26"/>
        <v>9</v>
      </c>
      <c r="LP45" s="97">
        <f t="shared" si="27"/>
        <v>44</v>
      </c>
    </row>
    <row r="46" spans="1:328" s="98" customFormat="1" ht="13.2">
      <c r="A46" s="99" t="s">
        <v>629</v>
      </c>
      <c r="B46" s="117"/>
      <c r="C46" s="117"/>
      <c r="D46" s="49"/>
      <c r="E46" s="49"/>
      <c r="F46" s="40"/>
      <c r="G46" s="40"/>
      <c r="H46" s="40"/>
      <c r="I46" s="40"/>
      <c r="J46" s="40"/>
      <c r="K46" s="40"/>
      <c r="L46" s="40"/>
      <c r="M46" s="40"/>
      <c r="N46" s="64" t="s">
        <v>1041</v>
      </c>
      <c r="O46" s="101" t="s">
        <v>1020</v>
      </c>
      <c r="P46" s="111" t="s">
        <v>805</v>
      </c>
      <c r="Q46" s="111">
        <v>1</v>
      </c>
      <c r="R46" s="112">
        <v>19159</v>
      </c>
      <c r="S46" s="111">
        <v>73</v>
      </c>
      <c r="T46" s="111" t="s">
        <v>259</v>
      </c>
      <c r="U46" s="111" t="s">
        <v>276</v>
      </c>
      <c r="V46" s="111">
        <v>724031637</v>
      </c>
      <c r="W46" s="111" t="s">
        <v>624</v>
      </c>
      <c r="X46" s="111" t="s">
        <v>596</v>
      </c>
      <c r="Y46" s="111" t="s">
        <v>261</v>
      </c>
      <c r="Z46" s="111" t="s">
        <v>262</v>
      </c>
      <c r="AA46" s="111" t="s">
        <v>377</v>
      </c>
      <c r="AB46" s="111" t="s">
        <v>264</v>
      </c>
      <c r="AC46" s="111" t="s">
        <v>597</v>
      </c>
      <c r="AD46" s="111" t="s">
        <v>597</v>
      </c>
      <c r="AE46" s="111" t="s">
        <v>602</v>
      </c>
      <c r="AF46" s="111" t="s">
        <v>597</v>
      </c>
      <c r="AG46" s="111" t="s">
        <v>602</v>
      </c>
      <c r="AH46" s="111" t="s">
        <v>597</v>
      </c>
      <c r="AI46" s="111" t="s">
        <v>599</v>
      </c>
      <c r="AJ46" s="112">
        <v>45673</v>
      </c>
      <c r="AK46" s="114"/>
      <c r="AL46" s="115">
        <v>1</v>
      </c>
      <c r="AM46" s="115">
        <v>1</v>
      </c>
      <c r="AN46" s="115">
        <v>1</v>
      </c>
      <c r="AO46" s="115">
        <v>1</v>
      </c>
      <c r="AP46" s="115">
        <v>1</v>
      </c>
      <c r="AQ46" s="115">
        <v>1</v>
      </c>
      <c r="AR46" s="115">
        <v>1</v>
      </c>
      <c r="AS46" s="115">
        <v>1</v>
      </c>
      <c r="AT46" s="70">
        <f t="shared" si="0"/>
        <v>8</v>
      </c>
      <c r="AU46" s="71">
        <v>1</v>
      </c>
      <c r="AV46" s="71">
        <v>1</v>
      </c>
      <c r="AW46" s="71">
        <v>1</v>
      </c>
      <c r="AX46" s="71">
        <v>1</v>
      </c>
      <c r="AY46" s="70">
        <f t="shared" si="1"/>
        <v>4</v>
      </c>
      <c r="AZ46" s="69">
        <v>1</v>
      </c>
      <c r="BA46" s="69">
        <v>1</v>
      </c>
      <c r="BB46" s="69">
        <v>1</v>
      </c>
      <c r="BC46" s="69">
        <v>1</v>
      </c>
      <c r="BD46" s="69">
        <v>1</v>
      </c>
      <c r="BE46" s="69">
        <v>1</v>
      </c>
      <c r="BF46" s="69">
        <v>1</v>
      </c>
      <c r="BG46" s="69">
        <v>1</v>
      </c>
      <c r="BH46" s="70">
        <f t="shared" si="2"/>
        <v>8</v>
      </c>
      <c r="BI46" s="69">
        <v>1</v>
      </c>
      <c r="BJ46" s="69">
        <v>1</v>
      </c>
      <c r="BK46" s="70">
        <f t="shared" si="3"/>
        <v>2</v>
      </c>
      <c r="BL46" s="72">
        <v>1</v>
      </c>
      <c r="BM46" s="72">
        <v>1</v>
      </c>
      <c r="BN46" s="72">
        <v>1</v>
      </c>
      <c r="BO46" s="72">
        <v>1</v>
      </c>
      <c r="BP46" s="72">
        <v>1</v>
      </c>
      <c r="BQ46" s="72">
        <v>1</v>
      </c>
      <c r="BR46" s="72">
        <v>1</v>
      </c>
      <c r="BS46" s="72">
        <v>1</v>
      </c>
      <c r="BT46" s="70">
        <f t="shared" si="4"/>
        <v>7</v>
      </c>
      <c r="BU46" s="70">
        <f t="shared" si="5"/>
        <v>29</v>
      </c>
      <c r="BV46" s="105">
        <v>5</v>
      </c>
      <c r="BW46" s="105">
        <v>5</v>
      </c>
      <c r="BX46" s="105">
        <v>5</v>
      </c>
      <c r="BY46" s="73">
        <v>1</v>
      </c>
      <c r="BZ46" s="105">
        <v>5</v>
      </c>
      <c r="CA46" s="73">
        <v>3</v>
      </c>
      <c r="CB46" s="105">
        <v>5</v>
      </c>
      <c r="CC46" s="73">
        <v>5</v>
      </c>
      <c r="CD46" s="73">
        <v>2</v>
      </c>
      <c r="CE46" s="73">
        <v>3</v>
      </c>
      <c r="CF46" s="73">
        <v>3</v>
      </c>
      <c r="CG46" s="73">
        <v>5</v>
      </c>
      <c r="CH46" s="74">
        <v>5</v>
      </c>
      <c r="CI46" s="105">
        <v>5</v>
      </c>
      <c r="CJ46" s="73">
        <v>3</v>
      </c>
      <c r="CK46" s="75">
        <f t="shared" si="96"/>
        <v>60</v>
      </c>
      <c r="CL46" s="76"/>
      <c r="CM46" s="76"/>
      <c r="CN46" s="76"/>
      <c r="CO46" s="76"/>
      <c r="CP46" s="76"/>
      <c r="CQ46" s="10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>
        <f t="shared" si="7"/>
        <v>0</v>
      </c>
      <c r="DO46" s="76">
        <v>30</v>
      </c>
      <c r="DP46" s="124">
        <v>0</v>
      </c>
      <c r="DQ46" s="124">
        <v>1</v>
      </c>
      <c r="DR46" s="124">
        <v>0</v>
      </c>
      <c r="DS46" s="124">
        <v>0</v>
      </c>
      <c r="DT46" s="124">
        <v>0</v>
      </c>
      <c r="DU46" s="124">
        <v>0</v>
      </c>
      <c r="DV46" s="124">
        <v>0</v>
      </c>
      <c r="DW46" s="124">
        <v>0</v>
      </c>
      <c r="DX46" s="124">
        <v>0</v>
      </c>
      <c r="DY46" s="124">
        <v>0</v>
      </c>
      <c r="DZ46" s="124">
        <v>0</v>
      </c>
      <c r="EA46" s="124">
        <v>0</v>
      </c>
      <c r="EB46" s="124">
        <v>0</v>
      </c>
      <c r="EC46" s="124">
        <v>0</v>
      </c>
      <c r="ED46" s="124">
        <v>0</v>
      </c>
      <c r="EE46" s="77">
        <f t="shared" si="124"/>
        <v>1</v>
      </c>
      <c r="EF46" s="77" t="s">
        <v>265</v>
      </c>
      <c r="EG46" s="78">
        <f t="shared" si="8"/>
        <v>1</v>
      </c>
      <c r="EH46" s="97">
        <v>0.5</v>
      </c>
      <c r="EI46" s="97">
        <v>0</v>
      </c>
      <c r="EJ46" s="97">
        <v>1</v>
      </c>
      <c r="EK46" s="97">
        <v>0</v>
      </c>
      <c r="EL46" s="97">
        <v>0.5</v>
      </c>
      <c r="EM46" s="97">
        <v>0</v>
      </c>
      <c r="EN46" s="97">
        <v>0.5</v>
      </c>
      <c r="EO46" s="97">
        <v>0</v>
      </c>
      <c r="EP46" s="97">
        <v>0</v>
      </c>
      <c r="EQ46" s="97">
        <v>0</v>
      </c>
      <c r="ER46" s="97">
        <v>0</v>
      </c>
      <c r="ES46" s="97">
        <v>0</v>
      </c>
      <c r="ET46" s="97">
        <v>0</v>
      </c>
      <c r="EU46" s="97">
        <v>0</v>
      </c>
      <c r="EV46" s="97">
        <v>0</v>
      </c>
      <c r="EW46" s="97">
        <v>0</v>
      </c>
      <c r="EX46" s="97">
        <v>0</v>
      </c>
      <c r="EY46" s="97">
        <v>0</v>
      </c>
      <c r="EZ46" s="97">
        <v>0</v>
      </c>
      <c r="FA46" s="97">
        <v>0</v>
      </c>
      <c r="FB46" s="97">
        <v>0</v>
      </c>
      <c r="FC46" s="97">
        <v>0</v>
      </c>
      <c r="FD46" s="79">
        <f t="shared" si="9"/>
        <v>2.5</v>
      </c>
      <c r="FE46" s="80">
        <v>1</v>
      </c>
      <c r="FF46" s="97">
        <v>1</v>
      </c>
      <c r="FG46" s="97">
        <v>0</v>
      </c>
      <c r="FH46" s="97">
        <v>1</v>
      </c>
      <c r="FI46" s="97">
        <v>1</v>
      </c>
      <c r="FJ46" s="97">
        <v>1</v>
      </c>
      <c r="FK46" s="97">
        <v>1</v>
      </c>
      <c r="FL46" s="97">
        <v>1</v>
      </c>
      <c r="FM46" s="97">
        <v>1</v>
      </c>
      <c r="FN46" s="81">
        <f t="shared" si="10"/>
        <v>7</v>
      </c>
      <c r="FO46" s="81">
        <v>2</v>
      </c>
      <c r="FP46" s="97">
        <v>10</v>
      </c>
      <c r="FQ46" s="97">
        <v>5</v>
      </c>
      <c r="FR46" s="97">
        <v>10</v>
      </c>
      <c r="FS46" s="97">
        <v>5</v>
      </c>
      <c r="FT46" s="97">
        <v>10</v>
      </c>
      <c r="FU46" s="97">
        <v>10</v>
      </c>
      <c r="FV46" s="97">
        <v>10</v>
      </c>
      <c r="FW46" s="97">
        <v>15</v>
      </c>
      <c r="FX46" s="97">
        <v>15</v>
      </c>
      <c r="FY46" s="97">
        <v>10</v>
      </c>
      <c r="FZ46" s="83">
        <f t="shared" si="11"/>
        <v>100</v>
      </c>
      <c r="GA46" s="84">
        <v>1</v>
      </c>
      <c r="GB46" s="55">
        <v>0</v>
      </c>
      <c r="GC46" s="85">
        <v>0</v>
      </c>
      <c r="GD46" s="85">
        <v>0</v>
      </c>
      <c r="GE46" s="85">
        <v>0</v>
      </c>
      <c r="GF46" s="85">
        <v>0</v>
      </c>
      <c r="GG46" s="85">
        <v>0</v>
      </c>
      <c r="GH46" s="85">
        <v>0</v>
      </c>
      <c r="GI46" s="55">
        <v>0</v>
      </c>
      <c r="GJ46" s="55">
        <v>0</v>
      </c>
      <c r="GK46" s="55">
        <v>0</v>
      </c>
      <c r="GL46" s="55">
        <v>0</v>
      </c>
      <c r="GM46" s="55">
        <v>0</v>
      </c>
      <c r="GN46" s="55">
        <v>0</v>
      </c>
      <c r="GO46" s="55">
        <v>0</v>
      </c>
      <c r="GP46" s="55">
        <v>0</v>
      </c>
      <c r="GQ46" s="55">
        <v>0</v>
      </c>
      <c r="GR46" s="55">
        <v>0</v>
      </c>
      <c r="GS46" s="55">
        <v>0</v>
      </c>
      <c r="GT46" s="55">
        <v>0</v>
      </c>
      <c r="GU46" s="86">
        <f t="shared" si="12"/>
        <v>0</v>
      </c>
      <c r="GV46" s="87" t="s">
        <v>301</v>
      </c>
      <c r="GW46" s="87">
        <v>0</v>
      </c>
      <c r="GX46" s="88" t="s">
        <v>267</v>
      </c>
      <c r="GY46" s="97">
        <v>5</v>
      </c>
      <c r="GZ46" s="97">
        <v>5</v>
      </c>
      <c r="HA46" s="97">
        <v>3</v>
      </c>
      <c r="HB46" s="97">
        <v>1</v>
      </c>
      <c r="HC46" s="97">
        <v>5</v>
      </c>
      <c r="HD46" s="97">
        <v>5</v>
      </c>
      <c r="HE46" s="97"/>
      <c r="HF46" s="97"/>
      <c r="HG46" s="97">
        <v>1</v>
      </c>
      <c r="HH46" s="97">
        <v>7</v>
      </c>
      <c r="HI46" s="97">
        <v>7</v>
      </c>
      <c r="HJ46" s="97"/>
      <c r="HK46" s="97">
        <v>3</v>
      </c>
      <c r="HL46" s="97">
        <v>7</v>
      </c>
      <c r="HM46" s="97">
        <v>7</v>
      </c>
      <c r="HN46" s="97">
        <v>1</v>
      </c>
      <c r="HO46" s="97">
        <v>3</v>
      </c>
      <c r="HP46" s="97">
        <v>1</v>
      </c>
      <c r="HQ46" s="97">
        <v>2</v>
      </c>
      <c r="HR46" s="97">
        <v>1</v>
      </c>
      <c r="HS46" s="97">
        <v>1</v>
      </c>
      <c r="HT46" s="97">
        <v>2</v>
      </c>
      <c r="HU46" s="97">
        <v>4</v>
      </c>
      <c r="HV46" s="97">
        <v>1</v>
      </c>
      <c r="HW46" s="97">
        <v>1</v>
      </c>
      <c r="HX46" s="97">
        <v>2</v>
      </c>
      <c r="HY46" s="97">
        <v>2</v>
      </c>
      <c r="HZ46" s="97">
        <v>4</v>
      </c>
      <c r="IA46" s="97">
        <v>4</v>
      </c>
      <c r="IB46" s="97">
        <v>7</v>
      </c>
      <c r="IC46" s="55"/>
      <c r="ID46" s="55">
        <f t="shared" ref="ID46:IG46" si="161">SUM(GY46)</f>
        <v>5</v>
      </c>
      <c r="IE46" s="55">
        <f t="shared" si="161"/>
        <v>5</v>
      </c>
      <c r="IF46" s="55">
        <f t="shared" si="161"/>
        <v>3</v>
      </c>
      <c r="IG46" s="55">
        <f t="shared" si="161"/>
        <v>1</v>
      </c>
      <c r="IH46" s="55">
        <f t="shared" si="14"/>
        <v>10</v>
      </c>
      <c r="II46" s="55">
        <f t="shared" si="15"/>
        <v>1</v>
      </c>
      <c r="IJ46" s="55">
        <f t="shared" si="16"/>
        <v>14</v>
      </c>
      <c r="IK46" s="55">
        <f t="shared" ref="IK46:IQ46" si="162">SUM(HK46)</f>
        <v>3</v>
      </c>
      <c r="IL46" s="55">
        <f t="shared" si="162"/>
        <v>7</v>
      </c>
      <c r="IM46" s="55">
        <f t="shared" si="162"/>
        <v>7</v>
      </c>
      <c r="IN46" s="55">
        <f t="shared" si="162"/>
        <v>1</v>
      </c>
      <c r="IO46" s="55">
        <f t="shared" si="162"/>
        <v>3</v>
      </c>
      <c r="IP46" s="55">
        <f t="shared" si="162"/>
        <v>1</v>
      </c>
      <c r="IQ46" s="55">
        <f t="shared" si="162"/>
        <v>2</v>
      </c>
      <c r="IR46" s="55">
        <f t="shared" si="18"/>
        <v>2</v>
      </c>
      <c r="IS46" s="55">
        <f t="shared" ref="IS46:JB46" si="163">SUM(HT46)</f>
        <v>2</v>
      </c>
      <c r="IT46" s="55">
        <f t="shared" si="163"/>
        <v>4</v>
      </c>
      <c r="IU46" s="55">
        <f t="shared" si="163"/>
        <v>1</v>
      </c>
      <c r="IV46" s="55">
        <f t="shared" si="163"/>
        <v>1</v>
      </c>
      <c r="IW46" s="55">
        <f t="shared" si="163"/>
        <v>2</v>
      </c>
      <c r="IX46" s="55">
        <f t="shared" si="163"/>
        <v>2</v>
      </c>
      <c r="IY46" s="55">
        <f t="shared" si="163"/>
        <v>4</v>
      </c>
      <c r="IZ46" s="55">
        <f t="shared" si="163"/>
        <v>4</v>
      </c>
      <c r="JA46" s="55">
        <f t="shared" si="163"/>
        <v>7</v>
      </c>
      <c r="JB46" s="55">
        <f t="shared" si="163"/>
        <v>0</v>
      </c>
      <c r="JC46" s="89">
        <f t="shared" si="20"/>
        <v>91</v>
      </c>
      <c r="JD46" s="90">
        <v>1</v>
      </c>
      <c r="JE46" s="89">
        <v>1</v>
      </c>
      <c r="JF46" s="121">
        <v>29</v>
      </c>
      <c r="JG46" s="91">
        <v>2</v>
      </c>
      <c r="JH46" s="97">
        <v>2</v>
      </c>
      <c r="JI46" s="97">
        <v>2</v>
      </c>
      <c r="JJ46" s="97">
        <v>2</v>
      </c>
      <c r="JK46" s="97">
        <v>2</v>
      </c>
      <c r="JL46" s="97">
        <v>0</v>
      </c>
      <c r="JM46" s="97">
        <v>0</v>
      </c>
      <c r="JN46" s="97">
        <v>0</v>
      </c>
      <c r="JO46" s="97">
        <v>0</v>
      </c>
      <c r="JP46" s="89">
        <f t="shared" si="21"/>
        <v>8</v>
      </c>
      <c r="JQ46" s="97">
        <v>2</v>
      </c>
      <c r="JR46" s="97">
        <v>2</v>
      </c>
      <c r="JS46" s="97">
        <v>2</v>
      </c>
      <c r="JT46" s="97">
        <v>2</v>
      </c>
      <c r="JU46" s="97">
        <v>0</v>
      </c>
      <c r="JV46" s="97">
        <v>0</v>
      </c>
      <c r="JW46" s="97">
        <v>0</v>
      </c>
      <c r="JX46" s="92">
        <f t="shared" si="22"/>
        <v>8</v>
      </c>
      <c r="JY46" s="93">
        <f t="shared" si="23"/>
        <v>16</v>
      </c>
      <c r="JZ46" s="97">
        <v>3</v>
      </c>
      <c r="KA46" s="97">
        <v>3</v>
      </c>
      <c r="KB46" s="97">
        <v>3</v>
      </c>
      <c r="KC46" s="97">
        <v>1</v>
      </c>
      <c r="KD46" s="97">
        <v>0</v>
      </c>
      <c r="KE46" s="97">
        <v>0</v>
      </c>
      <c r="KF46" s="97">
        <v>0</v>
      </c>
      <c r="KG46" s="94">
        <f t="shared" si="24"/>
        <v>10</v>
      </c>
      <c r="KH46" s="108">
        <v>45878</v>
      </c>
      <c r="KI46" s="97">
        <v>0</v>
      </c>
      <c r="KJ46" s="97">
        <v>2</v>
      </c>
      <c r="KK46" s="97">
        <v>0</v>
      </c>
      <c r="KL46" s="95" t="s">
        <v>806</v>
      </c>
      <c r="KM46" s="97">
        <v>2</v>
      </c>
      <c r="KN46" s="97">
        <v>0</v>
      </c>
      <c r="KO46" s="97">
        <v>0</v>
      </c>
      <c r="KP46" s="108">
        <v>45904</v>
      </c>
      <c r="KQ46" s="97">
        <v>0</v>
      </c>
      <c r="KR46" s="97">
        <v>2</v>
      </c>
      <c r="KS46" s="97">
        <v>0</v>
      </c>
      <c r="KT46" s="95" t="s">
        <v>807</v>
      </c>
      <c r="KU46" s="97">
        <v>0</v>
      </c>
      <c r="KV46" s="97">
        <v>2</v>
      </c>
      <c r="KW46" s="97">
        <v>0</v>
      </c>
      <c r="KX46" s="95" t="s">
        <v>808</v>
      </c>
      <c r="KY46" s="97">
        <v>0</v>
      </c>
      <c r="KZ46" s="97">
        <v>2</v>
      </c>
      <c r="LA46" s="97">
        <v>0</v>
      </c>
      <c r="LB46" s="95" t="s">
        <v>809</v>
      </c>
      <c r="LC46" s="97">
        <v>0</v>
      </c>
      <c r="LD46" s="97">
        <v>2</v>
      </c>
      <c r="LE46" s="97">
        <v>0</v>
      </c>
      <c r="LF46" s="108">
        <v>45894</v>
      </c>
      <c r="LG46" s="97">
        <v>0</v>
      </c>
      <c r="LH46" s="97">
        <v>2</v>
      </c>
      <c r="LI46" s="97">
        <v>0</v>
      </c>
      <c r="LJ46" s="95" t="s">
        <v>810</v>
      </c>
      <c r="LK46" s="97">
        <v>2</v>
      </c>
      <c r="LL46" s="97">
        <v>0</v>
      </c>
      <c r="LM46" s="97">
        <v>0</v>
      </c>
      <c r="LN46" s="96">
        <f t="shared" si="25"/>
        <v>12</v>
      </c>
      <c r="LO46" s="97">
        <f t="shared" si="26"/>
        <v>0</v>
      </c>
      <c r="LP46" s="97">
        <f t="shared" si="27"/>
        <v>38</v>
      </c>
    </row>
    <row r="47" spans="1:328" s="98" customFormat="1" ht="13.8">
      <c r="A47" s="55" t="s">
        <v>604</v>
      </c>
      <c r="B47" s="110">
        <v>45966</v>
      </c>
      <c r="C47" s="61">
        <v>28</v>
      </c>
      <c r="D47" s="62" t="s">
        <v>763</v>
      </c>
      <c r="E47" s="62"/>
      <c r="F47" s="61">
        <v>1</v>
      </c>
      <c r="G47" s="61">
        <v>1</v>
      </c>
      <c r="H47" s="61">
        <v>1</v>
      </c>
      <c r="I47" s="164">
        <v>8</v>
      </c>
      <c r="J47" s="164">
        <v>6</v>
      </c>
      <c r="K47" s="63">
        <v>0.19722222222222222</v>
      </c>
      <c r="L47" s="63">
        <v>0.11805555555555555</v>
      </c>
      <c r="M47" s="63">
        <v>8.1250000000000003E-2</v>
      </c>
      <c r="N47" s="64" t="s">
        <v>1040</v>
      </c>
      <c r="O47" s="101" t="s">
        <v>1021</v>
      </c>
      <c r="P47" s="95" t="s">
        <v>656</v>
      </c>
      <c r="Q47" s="95">
        <v>1</v>
      </c>
      <c r="R47" s="125">
        <v>22267</v>
      </c>
      <c r="S47" s="95">
        <v>64</v>
      </c>
      <c r="T47" s="95" t="s">
        <v>259</v>
      </c>
      <c r="U47" s="95" t="s">
        <v>276</v>
      </c>
      <c r="V47" s="130" t="s">
        <v>657</v>
      </c>
      <c r="W47" s="95" t="s">
        <v>595</v>
      </c>
      <c r="X47" s="95" t="s">
        <v>596</v>
      </c>
      <c r="Y47" s="95" t="s">
        <v>277</v>
      </c>
      <c r="Z47" s="95" t="s">
        <v>262</v>
      </c>
      <c r="AA47" s="95" t="s">
        <v>482</v>
      </c>
      <c r="AB47" s="95" t="s">
        <v>264</v>
      </c>
      <c r="AC47" s="95" t="s">
        <v>597</v>
      </c>
      <c r="AD47" s="95" t="s">
        <v>597</v>
      </c>
      <c r="AE47" s="95" t="s">
        <v>658</v>
      </c>
      <c r="AF47" s="95" t="s">
        <v>597</v>
      </c>
      <c r="AG47" s="95" t="s">
        <v>279</v>
      </c>
      <c r="AH47" s="95" t="s">
        <v>597</v>
      </c>
      <c r="AI47" s="95" t="s">
        <v>597</v>
      </c>
      <c r="AJ47" s="125">
        <v>45945</v>
      </c>
      <c r="AK47" s="55" t="s">
        <v>622</v>
      </c>
      <c r="AL47" s="115">
        <v>1</v>
      </c>
      <c r="AM47" s="115">
        <v>1</v>
      </c>
      <c r="AN47" s="115">
        <v>1</v>
      </c>
      <c r="AO47" s="115">
        <v>1</v>
      </c>
      <c r="AP47" s="115">
        <v>1</v>
      </c>
      <c r="AQ47" s="115">
        <v>1</v>
      </c>
      <c r="AR47" s="115">
        <v>1</v>
      </c>
      <c r="AS47" s="115">
        <v>1</v>
      </c>
      <c r="AT47" s="70">
        <f t="shared" si="0"/>
        <v>8</v>
      </c>
      <c r="AU47" s="71">
        <v>1</v>
      </c>
      <c r="AV47" s="71">
        <v>1</v>
      </c>
      <c r="AW47" s="71">
        <v>1</v>
      </c>
      <c r="AX47" s="71">
        <v>1</v>
      </c>
      <c r="AY47" s="70">
        <f t="shared" si="1"/>
        <v>4</v>
      </c>
      <c r="AZ47" s="69">
        <v>1</v>
      </c>
      <c r="BA47" s="69">
        <v>1</v>
      </c>
      <c r="BB47" s="69">
        <v>1</v>
      </c>
      <c r="BC47" s="69">
        <v>1</v>
      </c>
      <c r="BD47" s="69">
        <v>1</v>
      </c>
      <c r="BE47" s="69">
        <v>1</v>
      </c>
      <c r="BF47" s="69">
        <v>1</v>
      </c>
      <c r="BG47" s="69">
        <v>1</v>
      </c>
      <c r="BH47" s="70">
        <f t="shared" si="2"/>
        <v>8</v>
      </c>
      <c r="BI47" s="69">
        <v>1</v>
      </c>
      <c r="BJ47" s="69">
        <v>1</v>
      </c>
      <c r="BK47" s="70">
        <f t="shared" si="3"/>
        <v>2</v>
      </c>
      <c r="BL47" s="72">
        <v>1</v>
      </c>
      <c r="BM47" s="72">
        <v>1</v>
      </c>
      <c r="BN47" s="72">
        <v>1</v>
      </c>
      <c r="BO47" s="72">
        <v>1</v>
      </c>
      <c r="BP47" s="72">
        <v>1</v>
      </c>
      <c r="BQ47" s="72">
        <v>1</v>
      </c>
      <c r="BR47" s="72">
        <v>1</v>
      </c>
      <c r="BS47" s="72">
        <v>1</v>
      </c>
      <c r="BT47" s="70">
        <f t="shared" si="4"/>
        <v>7</v>
      </c>
      <c r="BU47" s="70">
        <f t="shared" si="5"/>
        <v>29</v>
      </c>
      <c r="BV47" s="73">
        <v>5</v>
      </c>
      <c r="BW47" s="73">
        <v>5</v>
      </c>
      <c r="BX47" s="73">
        <v>5</v>
      </c>
      <c r="BY47" s="73">
        <v>1</v>
      </c>
      <c r="BZ47" s="105">
        <v>5</v>
      </c>
      <c r="CA47" s="73">
        <v>3</v>
      </c>
      <c r="CB47" s="105">
        <v>5</v>
      </c>
      <c r="CC47" s="73">
        <v>5</v>
      </c>
      <c r="CD47" s="73">
        <v>2</v>
      </c>
      <c r="CE47" s="73">
        <v>3</v>
      </c>
      <c r="CF47" s="73">
        <v>3</v>
      </c>
      <c r="CG47" s="73">
        <v>5</v>
      </c>
      <c r="CH47" s="74">
        <v>5</v>
      </c>
      <c r="CI47" s="73">
        <v>5</v>
      </c>
      <c r="CJ47" s="73">
        <v>3</v>
      </c>
      <c r="CK47" s="75">
        <f t="shared" si="96"/>
        <v>60</v>
      </c>
      <c r="CL47" s="76">
        <v>5</v>
      </c>
      <c r="CM47" s="76">
        <v>1</v>
      </c>
      <c r="CN47" s="76">
        <v>5</v>
      </c>
      <c r="CO47" s="76">
        <v>5</v>
      </c>
      <c r="CP47" s="76">
        <v>5</v>
      </c>
      <c r="CQ47" s="106">
        <v>5</v>
      </c>
      <c r="CR47" s="76">
        <v>1</v>
      </c>
      <c r="CS47" s="76">
        <v>5</v>
      </c>
      <c r="CT47" s="76">
        <v>5</v>
      </c>
      <c r="CU47" s="76">
        <v>5</v>
      </c>
      <c r="CV47" s="76">
        <v>5</v>
      </c>
      <c r="CW47" s="76">
        <v>1</v>
      </c>
      <c r="CX47" s="76">
        <v>1</v>
      </c>
      <c r="CY47" s="76">
        <v>5</v>
      </c>
      <c r="CZ47" s="76">
        <v>5</v>
      </c>
      <c r="DA47" s="76">
        <v>5</v>
      </c>
      <c r="DB47" s="76">
        <v>5</v>
      </c>
      <c r="DC47" s="76">
        <v>4</v>
      </c>
      <c r="DD47" s="76">
        <v>5</v>
      </c>
      <c r="DE47" s="76">
        <v>5</v>
      </c>
      <c r="DF47" s="76">
        <v>5</v>
      </c>
      <c r="DG47" s="76">
        <v>5</v>
      </c>
      <c r="DH47" s="76">
        <v>5</v>
      </c>
      <c r="DI47" s="76">
        <v>5</v>
      </c>
      <c r="DJ47" s="76">
        <v>1</v>
      </c>
      <c r="DK47" s="76">
        <v>5</v>
      </c>
      <c r="DL47" s="76">
        <v>3</v>
      </c>
      <c r="DM47" s="76">
        <v>1</v>
      </c>
      <c r="DN47" s="76">
        <f t="shared" si="7"/>
        <v>113</v>
      </c>
      <c r="DO47" s="76">
        <v>30</v>
      </c>
      <c r="DP47" s="55">
        <v>0</v>
      </c>
      <c r="DQ47" s="55">
        <v>0</v>
      </c>
      <c r="DR47" s="55">
        <v>0</v>
      </c>
      <c r="DS47" s="55">
        <v>0</v>
      </c>
      <c r="DT47" s="55">
        <v>0</v>
      </c>
      <c r="DU47" s="55">
        <v>0</v>
      </c>
      <c r="DV47" s="55">
        <v>0</v>
      </c>
      <c r="DW47" s="55">
        <v>0</v>
      </c>
      <c r="DX47" s="55">
        <v>1</v>
      </c>
      <c r="DY47" s="55">
        <v>0</v>
      </c>
      <c r="DZ47" s="55">
        <v>0</v>
      </c>
      <c r="EA47" s="55">
        <v>0</v>
      </c>
      <c r="EB47" s="55">
        <v>0</v>
      </c>
      <c r="EC47" s="55">
        <v>0</v>
      </c>
      <c r="ED47" s="55">
        <v>0</v>
      </c>
      <c r="EE47" s="77">
        <f t="shared" si="124"/>
        <v>1</v>
      </c>
      <c r="EF47" s="77" t="s">
        <v>265</v>
      </c>
      <c r="EG47" s="78">
        <f t="shared" si="8"/>
        <v>1</v>
      </c>
      <c r="EH47" s="55">
        <v>0</v>
      </c>
      <c r="EI47" s="55">
        <v>0</v>
      </c>
      <c r="EJ47" s="55">
        <v>0</v>
      </c>
      <c r="EK47" s="55">
        <v>0</v>
      </c>
      <c r="EL47" s="55">
        <v>0</v>
      </c>
      <c r="EM47" s="55">
        <v>0</v>
      </c>
      <c r="EN47" s="55">
        <v>0</v>
      </c>
      <c r="EO47" s="55">
        <v>0.5</v>
      </c>
      <c r="EP47" s="55">
        <v>0</v>
      </c>
      <c r="EQ47" s="55">
        <v>0</v>
      </c>
      <c r="ER47" s="55">
        <v>0</v>
      </c>
      <c r="ES47" s="55">
        <v>0</v>
      </c>
      <c r="ET47" s="55">
        <v>0</v>
      </c>
      <c r="EU47" s="55">
        <v>0</v>
      </c>
      <c r="EV47" s="55">
        <v>1</v>
      </c>
      <c r="EW47" s="55">
        <v>0</v>
      </c>
      <c r="EX47" s="55">
        <v>0</v>
      </c>
      <c r="EY47" s="55">
        <v>0</v>
      </c>
      <c r="EZ47" s="55">
        <v>0</v>
      </c>
      <c r="FA47" s="55">
        <v>0</v>
      </c>
      <c r="FB47" s="55">
        <v>0</v>
      </c>
      <c r="FC47" s="55">
        <v>0</v>
      </c>
      <c r="FD47" s="79">
        <f t="shared" si="9"/>
        <v>1.5</v>
      </c>
      <c r="FE47" s="80">
        <v>1</v>
      </c>
      <c r="FF47" s="55">
        <v>1</v>
      </c>
      <c r="FG47" s="55">
        <v>1</v>
      </c>
      <c r="FH47" s="55">
        <v>1</v>
      </c>
      <c r="FI47" s="55">
        <v>1</v>
      </c>
      <c r="FJ47" s="55">
        <v>1</v>
      </c>
      <c r="FK47" s="55">
        <v>1</v>
      </c>
      <c r="FL47" s="55">
        <v>1</v>
      </c>
      <c r="FM47" s="55">
        <v>1</v>
      </c>
      <c r="FN47" s="81">
        <f t="shared" si="10"/>
        <v>8</v>
      </c>
      <c r="FO47" s="82">
        <v>1</v>
      </c>
      <c r="FP47" s="55">
        <v>10</v>
      </c>
      <c r="FQ47" s="55">
        <v>5</v>
      </c>
      <c r="FR47" s="55">
        <v>10</v>
      </c>
      <c r="FS47" s="55">
        <v>5</v>
      </c>
      <c r="FT47" s="55">
        <v>10</v>
      </c>
      <c r="FU47" s="55">
        <v>10</v>
      </c>
      <c r="FV47" s="55">
        <v>10</v>
      </c>
      <c r="FW47" s="55">
        <v>15</v>
      </c>
      <c r="FX47" s="55">
        <v>15</v>
      </c>
      <c r="FY47" s="55">
        <v>10</v>
      </c>
      <c r="FZ47" s="83">
        <f t="shared" si="11"/>
        <v>100</v>
      </c>
      <c r="GA47" s="84">
        <v>1</v>
      </c>
      <c r="GB47" s="55">
        <v>0</v>
      </c>
      <c r="GC47" s="85">
        <v>0.5</v>
      </c>
      <c r="GD47" s="85">
        <v>0</v>
      </c>
      <c r="GE47" s="85">
        <v>0</v>
      </c>
      <c r="GF47" s="85">
        <v>0</v>
      </c>
      <c r="GG47" s="85">
        <v>0</v>
      </c>
      <c r="GH47" s="85">
        <v>0</v>
      </c>
      <c r="GI47" s="55">
        <v>0</v>
      </c>
      <c r="GJ47" s="55">
        <v>0</v>
      </c>
      <c r="GK47" s="55">
        <v>0</v>
      </c>
      <c r="GL47" s="55">
        <v>0</v>
      </c>
      <c r="GM47" s="55">
        <v>0</v>
      </c>
      <c r="GN47" s="55">
        <v>0</v>
      </c>
      <c r="GO47" s="55">
        <v>0</v>
      </c>
      <c r="GP47" s="55">
        <v>0</v>
      </c>
      <c r="GQ47" s="55">
        <v>0</v>
      </c>
      <c r="GR47" s="55">
        <v>0</v>
      </c>
      <c r="GS47" s="55">
        <v>0</v>
      </c>
      <c r="GT47" s="55">
        <v>0</v>
      </c>
      <c r="GU47" s="86">
        <f t="shared" si="12"/>
        <v>0</v>
      </c>
      <c r="GV47" s="87" t="s">
        <v>301</v>
      </c>
      <c r="GW47" s="87">
        <v>0</v>
      </c>
      <c r="GX47" s="88" t="s">
        <v>267</v>
      </c>
      <c r="GY47" s="55">
        <v>5</v>
      </c>
      <c r="GZ47" s="55">
        <v>4</v>
      </c>
      <c r="HA47" s="55">
        <v>3</v>
      </c>
      <c r="HB47" s="55">
        <v>1</v>
      </c>
      <c r="HC47" s="55">
        <v>5</v>
      </c>
      <c r="HD47" s="55">
        <v>5</v>
      </c>
      <c r="HE47" s="55"/>
      <c r="HF47" s="55"/>
      <c r="HG47" s="55">
        <v>2</v>
      </c>
      <c r="HH47" s="55">
        <v>7</v>
      </c>
      <c r="HI47" s="55">
        <v>7</v>
      </c>
      <c r="HJ47" s="55"/>
      <c r="HK47" s="55">
        <v>2</v>
      </c>
      <c r="HL47" s="55">
        <v>6</v>
      </c>
      <c r="HM47" s="55">
        <v>6</v>
      </c>
      <c r="HN47" s="55">
        <v>1</v>
      </c>
      <c r="HO47" s="55">
        <v>3</v>
      </c>
      <c r="HP47" s="55">
        <v>1</v>
      </c>
      <c r="HQ47" s="55">
        <v>1</v>
      </c>
      <c r="HR47" s="55">
        <v>1</v>
      </c>
      <c r="HS47" s="55">
        <v>1</v>
      </c>
      <c r="HT47" s="55">
        <v>2</v>
      </c>
      <c r="HU47" s="55">
        <v>4</v>
      </c>
      <c r="HV47" s="55">
        <v>1</v>
      </c>
      <c r="HW47" s="55">
        <v>1</v>
      </c>
      <c r="HX47" s="55">
        <v>1</v>
      </c>
      <c r="HY47" s="55">
        <v>5</v>
      </c>
      <c r="HZ47" s="55">
        <v>4</v>
      </c>
      <c r="IA47" s="55">
        <v>4</v>
      </c>
      <c r="IB47" s="55">
        <v>7</v>
      </c>
      <c r="IC47" s="55"/>
      <c r="ID47" s="55">
        <f t="shared" ref="ID47:IG47" si="164">SUM(GY47)</f>
        <v>5</v>
      </c>
      <c r="IE47" s="55">
        <f t="shared" si="164"/>
        <v>4</v>
      </c>
      <c r="IF47" s="55">
        <f t="shared" si="164"/>
        <v>3</v>
      </c>
      <c r="IG47" s="55">
        <f t="shared" si="164"/>
        <v>1</v>
      </c>
      <c r="IH47" s="55">
        <f t="shared" si="14"/>
        <v>10</v>
      </c>
      <c r="II47" s="55">
        <f t="shared" si="15"/>
        <v>2</v>
      </c>
      <c r="IJ47" s="55">
        <f t="shared" si="16"/>
        <v>14</v>
      </c>
      <c r="IK47" s="55">
        <f t="shared" ref="IK47:IQ47" si="165">SUM(HK47)</f>
        <v>2</v>
      </c>
      <c r="IL47" s="55">
        <f t="shared" si="165"/>
        <v>6</v>
      </c>
      <c r="IM47" s="55">
        <f t="shared" si="165"/>
        <v>6</v>
      </c>
      <c r="IN47" s="55">
        <f t="shared" si="165"/>
        <v>1</v>
      </c>
      <c r="IO47" s="55">
        <f t="shared" si="165"/>
        <v>3</v>
      </c>
      <c r="IP47" s="55">
        <f t="shared" si="165"/>
        <v>1</v>
      </c>
      <c r="IQ47" s="55">
        <f t="shared" si="165"/>
        <v>1</v>
      </c>
      <c r="IR47" s="55">
        <f t="shared" si="18"/>
        <v>2</v>
      </c>
      <c r="IS47" s="55">
        <f t="shared" ref="IS47:JB47" si="166">SUM(HT47)</f>
        <v>2</v>
      </c>
      <c r="IT47" s="55">
        <f t="shared" si="166"/>
        <v>4</v>
      </c>
      <c r="IU47" s="55">
        <f t="shared" si="166"/>
        <v>1</v>
      </c>
      <c r="IV47" s="55">
        <f t="shared" si="166"/>
        <v>1</v>
      </c>
      <c r="IW47" s="55">
        <f t="shared" si="166"/>
        <v>1</v>
      </c>
      <c r="IX47" s="55">
        <f t="shared" si="166"/>
        <v>5</v>
      </c>
      <c r="IY47" s="55">
        <f t="shared" si="166"/>
        <v>4</v>
      </c>
      <c r="IZ47" s="55">
        <f t="shared" si="166"/>
        <v>4</v>
      </c>
      <c r="JA47" s="55">
        <f t="shared" si="166"/>
        <v>7</v>
      </c>
      <c r="JB47" s="55">
        <f t="shared" si="166"/>
        <v>0</v>
      </c>
      <c r="JC47" s="89">
        <f t="shared" si="20"/>
        <v>89</v>
      </c>
      <c r="JD47" s="90">
        <v>1</v>
      </c>
      <c r="JE47" s="90"/>
      <c r="JF47" s="91">
        <v>53</v>
      </c>
      <c r="JG47" s="91">
        <v>2</v>
      </c>
      <c r="JH47" s="55">
        <v>2</v>
      </c>
      <c r="JI47" s="55">
        <v>2</v>
      </c>
      <c r="JJ47" s="55">
        <v>2</v>
      </c>
      <c r="JK47" s="55">
        <v>0</v>
      </c>
      <c r="JL47" s="55">
        <v>0</v>
      </c>
      <c r="JM47" s="55">
        <v>0</v>
      </c>
      <c r="JN47" s="55">
        <v>0</v>
      </c>
      <c r="JO47" s="55">
        <v>0</v>
      </c>
      <c r="JP47" s="89">
        <v>2</v>
      </c>
      <c r="JQ47" s="55">
        <v>2</v>
      </c>
      <c r="JR47" s="55">
        <v>0</v>
      </c>
      <c r="JS47" s="55">
        <v>0</v>
      </c>
      <c r="JT47" s="55">
        <v>0</v>
      </c>
      <c r="JU47" s="55">
        <v>0</v>
      </c>
      <c r="JV47" s="55">
        <v>0</v>
      </c>
      <c r="JW47" s="55">
        <v>0</v>
      </c>
      <c r="JX47" s="92">
        <f t="shared" si="22"/>
        <v>2</v>
      </c>
      <c r="JY47" s="93">
        <f t="shared" si="23"/>
        <v>4</v>
      </c>
      <c r="JZ47" s="55">
        <v>3</v>
      </c>
      <c r="KA47" s="55">
        <v>3</v>
      </c>
      <c r="KB47" s="55">
        <v>2</v>
      </c>
      <c r="KC47" s="55">
        <v>0</v>
      </c>
      <c r="KD47" s="55">
        <v>0</v>
      </c>
      <c r="KE47" s="55">
        <v>0</v>
      </c>
      <c r="KF47" s="55">
        <v>0</v>
      </c>
      <c r="KG47" s="94">
        <f t="shared" si="24"/>
        <v>8</v>
      </c>
      <c r="KH47" s="95" t="s">
        <v>483</v>
      </c>
      <c r="KI47" s="55">
        <v>0</v>
      </c>
      <c r="KJ47" s="55">
        <v>2</v>
      </c>
      <c r="KK47" s="55">
        <v>0</v>
      </c>
      <c r="KL47" s="95" t="s">
        <v>484</v>
      </c>
      <c r="KM47" s="55">
        <v>2</v>
      </c>
      <c r="KN47" s="55">
        <v>0</v>
      </c>
      <c r="KO47" s="55">
        <v>0</v>
      </c>
      <c r="KP47" s="108">
        <v>45780</v>
      </c>
      <c r="KQ47" s="55">
        <v>0</v>
      </c>
      <c r="KR47" s="55">
        <v>2</v>
      </c>
      <c r="KS47" s="55">
        <v>1</v>
      </c>
      <c r="KT47" s="95" t="s">
        <v>485</v>
      </c>
      <c r="KU47" s="55">
        <v>0</v>
      </c>
      <c r="KV47" s="55">
        <v>2</v>
      </c>
      <c r="KW47" s="55">
        <v>1</v>
      </c>
      <c r="KX47" s="95" t="s">
        <v>486</v>
      </c>
      <c r="KY47" s="55">
        <v>0</v>
      </c>
      <c r="KZ47" s="55">
        <v>2</v>
      </c>
      <c r="LA47" s="55">
        <v>1</v>
      </c>
      <c r="LB47" s="95" t="s">
        <v>487</v>
      </c>
      <c r="LC47" s="55">
        <v>1</v>
      </c>
      <c r="LD47" s="55">
        <v>1</v>
      </c>
      <c r="LE47" s="55">
        <v>0</v>
      </c>
      <c r="LF47" s="95" t="s">
        <v>269</v>
      </c>
      <c r="LG47" s="55">
        <v>0</v>
      </c>
      <c r="LH47" s="55">
        <v>2</v>
      </c>
      <c r="LI47" s="55">
        <v>2</v>
      </c>
      <c r="LJ47" s="108">
        <v>45667</v>
      </c>
      <c r="LK47" s="55">
        <v>0</v>
      </c>
      <c r="LL47" s="55">
        <v>2</v>
      </c>
      <c r="LM47" s="55">
        <v>3</v>
      </c>
      <c r="LN47" s="96">
        <f t="shared" si="25"/>
        <v>21</v>
      </c>
      <c r="LO47" s="97">
        <f t="shared" si="26"/>
        <v>8</v>
      </c>
      <c r="LP47" s="97">
        <f t="shared" si="27"/>
        <v>33</v>
      </c>
    </row>
    <row r="48" spans="1:328" s="98" customFormat="1" ht="13.8">
      <c r="A48" s="55" t="s">
        <v>592</v>
      </c>
      <c r="B48" s="110">
        <v>45966</v>
      </c>
      <c r="C48" s="61">
        <v>27</v>
      </c>
      <c r="D48" s="62" t="s">
        <v>763</v>
      </c>
      <c r="E48" s="62"/>
      <c r="F48" s="61">
        <v>1</v>
      </c>
      <c r="G48" s="61">
        <v>1</v>
      </c>
      <c r="H48" s="61">
        <v>1</v>
      </c>
      <c r="I48" s="164">
        <v>6</v>
      </c>
      <c r="J48" s="164">
        <v>4</v>
      </c>
      <c r="K48" s="63">
        <v>0.14027777777777778</v>
      </c>
      <c r="L48" s="63">
        <v>7.5694444444444439E-2</v>
      </c>
      <c r="M48" s="63">
        <v>4.8611111111111112E-2</v>
      </c>
      <c r="N48" s="64" t="s">
        <v>1041</v>
      </c>
      <c r="O48" s="101" t="s">
        <v>1022</v>
      </c>
      <c r="P48" s="95" t="s">
        <v>653</v>
      </c>
      <c r="Q48" s="95">
        <v>1</v>
      </c>
      <c r="R48" s="125">
        <v>17536</v>
      </c>
      <c r="S48" s="95">
        <v>77</v>
      </c>
      <c r="T48" s="95" t="s">
        <v>259</v>
      </c>
      <c r="U48" s="95" t="s">
        <v>298</v>
      </c>
      <c r="V48" s="95">
        <v>2804058</v>
      </c>
      <c r="W48" s="95" t="s">
        <v>595</v>
      </c>
      <c r="X48" s="95" t="s">
        <v>596</v>
      </c>
      <c r="Y48" s="95" t="s">
        <v>311</v>
      </c>
      <c r="Z48" s="95" t="s">
        <v>262</v>
      </c>
      <c r="AA48" s="95" t="s">
        <v>488</v>
      </c>
      <c r="AB48" s="95" t="s">
        <v>264</v>
      </c>
      <c r="AC48" s="95" t="s">
        <v>597</v>
      </c>
      <c r="AD48" s="95" t="s">
        <v>597</v>
      </c>
      <c r="AE48" s="95" t="s">
        <v>654</v>
      </c>
      <c r="AF48" s="95" t="s">
        <v>597</v>
      </c>
      <c r="AG48" s="95" t="s">
        <v>597</v>
      </c>
      <c r="AH48" s="95" t="s">
        <v>597</v>
      </c>
      <c r="AI48" s="95" t="s">
        <v>599</v>
      </c>
      <c r="AJ48" s="125">
        <v>45883</v>
      </c>
      <c r="AK48" s="55" t="s">
        <v>655</v>
      </c>
      <c r="AL48" s="115">
        <v>1</v>
      </c>
      <c r="AM48" s="115">
        <v>1</v>
      </c>
      <c r="AN48" s="115">
        <v>1</v>
      </c>
      <c r="AO48" s="115">
        <v>1</v>
      </c>
      <c r="AP48" s="115">
        <v>1</v>
      </c>
      <c r="AQ48" s="115">
        <v>1</v>
      </c>
      <c r="AR48" s="115">
        <v>1</v>
      </c>
      <c r="AS48" s="115">
        <v>1</v>
      </c>
      <c r="AT48" s="70">
        <f t="shared" si="0"/>
        <v>8</v>
      </c>
      <c r="AU48" s="71">
        <v>1</v>
      </c>
      <c r="AV48" s="71">
        <v>1</v>
      </c>
      <c r="AW48" s="71">
        <v>1</v>
      </c>
      <c r="AX48" s="71">
        <v>1</v>
      </c>
      <c r="AY48" s="70">
        <f t="shared" si="1"/>
        <v>4</v>
      </c>
      <c r="AZ48" s="69">
        <v>1</v>
      </c>
      <c r="BA48" s="69">
        <v>1</v>
      </c>
      <c r="BB48" s="69">
        <v>1</v>
      </c>
      <c r="BC48" s="69">
        <v>1</v>
      </c>
      <c r="BD48" s="69">
        <v>1</v>
      </c>
      <c r="BE48" s="69">
        <v>1</v>
      </c>
      <c r="BF48" s="69">
        <v>1</v>
      </c>
      <c r="BG48" s="69">
        <v>1</v>
      </c>
      <c r="BH48" s="70">
        <f t="shared" si="2"/>
        <v>8</v>
      </c>
      <c r="BI48" s="69">
        <v>1</v>
      </c>
      <c r="BJ48" s="69">
        <v>1</v>
      </c>
      <c r="BK48" s="70">
        <f t="shared" si="3"/>
        <v>2</v>
      </c>
      <c r="BL48" s="72">
        <v>1</v>
      </c>
      <c r="BM48" s="72">
        <v>1</v>
      </c>
      <c r="BN48" s="72">
        <v>1</v>
      </c>
      <c r="BO48" s="72">
        <v>1</v>
      </c>
      <c r="BP48" s="72">
        <v>1</v>
      </c>
      <c r="BQ48" s="72">
        <v>1</v>
      </c>
      <c r="BR48" s="72">
        <v>1</v>
      </c>
      <c r="BS48" s="72">
        <v>1</v>
      </c>
      <c r="BT48" s="70">
        <f t="shared" si="4"/>
        <v>7</v>
      </c>
      <c r="BU48" s="70">
        <f t="shared" si="5"/>
        <v>29</v>
      </c>
      <c r="BV48" s="105">
        <v>5</v>
      </c>
      <c r="BW48" s="105">
        <v>5</v>
      </c>
      <c r="BX48" s="105">
        <v>5</v>
      </c>
      <c r="BY48" s="73">
        <v>1</v>
      </c>
      <c r="BZ48" s="105">
        <v>5</v>
      </c>
      <c r="CA48" s="73">
        <v>3</v>
      </c>
      <c r="CB48" s="105">
        <v>5</v>
      </c>
      <c r="CC48" s="73">
        <v>5</v>
      </c>
      <c r="CD48" s="73">
        <v>2</v>
      </c>
      <c r="CE48" s="73">
        <v>3</v>
      </c>
      <c r="CF48" s="73">
        <v>3</v>
      </c>
      <c r="CG48" s="73">
        <v>5</v>
      </c>
      <c r="CH48" s="74">
        <v>5</v>
      </c>
      <c r="CI48" s="105">
        <v>5</v>
      </c>
      <c r="CJ48" s="73">
        <v>3</v>
      </c>
      <c r="CK48" s="75">
        <f t="shared" si="96"/>
        <v>60</v>
      </c>
      <c r="CL48" s="76">
        <v>5</v>
      </c>
      <c r="CM48" s="76">
        <v>1</v>
      </c>
      <c r="CN48" s="76">
        <v>5</v>
      </c>
      <c r="CO48" s="76">
        <v>5</v>
      </c>
      <c r="CP48" s="76">
        <v>5</v>
      </c>
      <c r="CQ48" s="106">
        <v>5</v>
      </c>
      <c r="CR48" s="76">
        <v>1</v>
      </c>
      <c r="CS48" s="76">
        <v>5</v>
      </c>
      <c r="CT48" s="76">
        <v>5</v>
      </c>
      <c r="CU48" s="76">
        <v>5</v>
      </c>
      <c r="CV48" s="76">
        <v>5</v>
      </c>
      <c r="CW48" s="76">
        <v>1</v>
      </c>
      <c r="CX48" s="76">
        <v>1</v>
      </c>
      <c r="CY48" s="76">
        <v>5</v>
      </c>
      <c r="CZ48" s="76">
        <v>5</v>
      </c>
      <c r="DA48" s="76">
        <v>5</v>
      </c>
      <c r="DB48" s="76">
        <v>5</v>
      </c>
      <c r="DC48" s="76">
        <v>4</v>
      </c>
      <c r="DD48" s="76">
        <v>5</v>
      </c>
      <c r="DE48" s="76">
        <v>5</v>
      </c>
      <c r="DF48" s="76">
        <v>5</v>
      </c>
      <c r="DG48" s="76">
        <v>5</v>
      </c>
      <c r="DH48" s="76">
        <v>5</v>
      </c>
      <c r="DI48" s="76">
        <v>5</v>
      </c>
      <c r="DJ48" s="76">
        <v>1</v>
      </c>
      <c r="DK48" s="76">
        <v>5</v>
      </c>
      <c r="DL48" s="76">
        <v>3</v>
      </c>
      <c r="DM48" s="76">
        <v>1</v>
      </c>
      <c r="DN48" s="76">
        <f t="shared" si="7"/>
        <v>113</v>
      </c>
      <c r="DO48" s="76">
        <v>30</v>
      </c>
      <c r="DP48" s="55">
        <v>0</v>
      </c>
      <c r="DQ48" s="55">
        <v>0</v>
      </c>
      <c r="DR48" s="55">
        <v>0</v>
      </c>
      <c r="DS48" s="55">
        <v>0</v>
      </c>
      <c r="DT48" s="55">
        <v>0</v>
      </c>
      <c r="DU48" s="55">
        <v>1</v>
      </c>
      <c r="DV48" s="55">
        <v>0</v>
      </c>
      <c r="DW48" s="55">
        <v>0</v>
      </c>
      <c r="DX48" s="55">
        <v>0</v>
      </c>
      <c r="DY48" s="55">
        <v>0</v>
      </c>
      <c r="DZ48" s="55">
        <v>0</v>
      </c>
      <c r="EA48" s="55">
        <v>0</v>
      </c>
      <c r="EB48" s="55">
        <v>0</v>
      </c>
      <c r="EC48" s="55">
        <v>0</v>
      </c>
      <c r="ED48" s="55">
        <v>0</v>
      </c>
      <c r="EE48" s="77">
        <f t="shared" si="124"/>
        <v>1</v>
      </c>
      <c r="EF48" s="77" t="s">
        <v>265</v>
      </c>
      <c r="EG48" s="78">
        <f t="shared" si="8"/>
        <v>1</v>
      </c>
      <c r="EH48" s="55">
        <v>0</v>
      </c>
      <c r="EI48" s="55">
        <v>0</v>
      </c>
      <c r="EJ48" s="55">
        <v>0</v>
      </c>
      <c r="EK48" s="55">
        <v>0</v>
      </c>
      <c r="EL48" s="55">
        <v>0</v>
      </c>
      <c r="EM48" s="55">
        <v>0</v>
      </c>
      <c r="EN48" s="55">
        <v>0.5</v>
      </c>
      <c r="EO48" s="55">
        <v>0</v>
      </c>
      <c r="EP48" s="55">
        <v>0</v>
      </c>
      <c r="EQ48" s="55">
        <v>0</v>
      </c>
      <c r="ER48" s="55">
        <v>0</v>
      </c>
      <c r="ES48" s="55">
        <v>0</v>
      </c>
      <c r="ET48" s="55">
        <v>0</v>
      </c>
      <c r="EU48" s="55">
        <v>0</v>
      </c>
      <c r="EV48" s="55">
        <v>0</v>
      </c>
      <c r="EW48" s="55">
        <v>0</v>
      </c>
      <c r="EX48" s="55">
        <v>0</v>
      </c>
      <c r="EY48" s="55">
        <v>0</v>
      </c>
      <c r="EZ48" s="55">
        <v>0</v>
      </c>
      <c r="FA48" s="55">
        <v>0</v>
      </c>
      <c r="FB48" s="55">
        <v>0</v>
      </c>
      <c r="FC48" s="55">
        <v>0</v>
      </c>
      <c r="FD48" s="79">
        <f t="shared" si="9"/>
        <v>0.5</v>
      </c>
      <c r="FE48" s="80">
        <v>1</v>
      </c>
      <c r="FF48" s="55">
        <v>1</v>
      </c>
      <c r="FG48" s="55">
        <v>1</v>
      </c>
      <c r="FH48" s="55">
        <v>1</v>
      </c>
      <c r="FI48" s="55">
        <v>1</v>
      </c>
      <c r="FJ48" s="55">
        <v>1</v>
      </c>
      <c r="FK48" s="55">
        <v>1</v>
      </c>
      <c r="FL48" s="55">
        <v>1</v>
      </c>
      <c r="FM48" s="55">
        <v>1</v>
      </c>
      <c r="FN48" s="81">
        <f t="shared" si="10"/>
        <v>8</v>
      </c>
      <c r="FO48" s="82">
        <v>1</v>
      </c>
      <c r="FP48" s="55">
        <v>10</v>
      </c>
      <c r="FQ48" s="55">
        <v>5</v>
      </c>
      <c r="FR48" s="55">
        <v>10</v>
      </c>
      <c r="FS48" s="55">
        <v>5</v>
      </c>
      <c r="FT48" s="55">
        <v>10</v>
      </c>
      <c r="FU48" s="55">
        <v>10</v>
      </c>
      <c r="FV48" s="55">
        <v>10</v>
      </c>
      <c r="FW48" s="55">
        <v>15</v>
      </c>
      <c r="FX48" s="55">
        <v>15</v>
      </c>
      <c r="FY48" s="55">
        <v>10</v>
      </c>
      <c r="FZ48" s="83">
        <f t="shared" si="11"/>
        <v>100</v>
      </c>
      <c r="GA48" s="84">
        <v>1</v>
      </c>
      <c r="GB48" s="55">
        <v>0</v>
      </c>
      <c r="GC48" s="85">
        <v>0</v>
      </c>
      <c r="GD48" s="85">
        <v>0</v>
      </c>
      <c r="GE48" s="85">
        <v>0</v>
      </c>
      <c r="GF48" s="85">
        <v>0</v>
      </c>
      <c r="GG48" s="85">
        <v>0</v>
      </c>
      <c r="GH48" s="85">
        <v>0</v>
      </c>
      <c r="GI48" s="55">
        <v>0</v>
      </c>
      <c r="GJ48" s="55">
        <v>0</v>
      </c>
      <c r="GK48" s="55">
        <v>0</v>
      </c>
      <c r="GL48" s="55">
        <v>0</v>
      </c>
      <c r="GM48" s="55">
        <v>0</v>
      </c>
      <c r="GN48" s="55">
        <v>0</v>
      </c>
      <c r="GO48" s="55">
        <v>0</v>
      </c>
      <c r="GP48" s="55">
        <v>0</v>
      </c>
      <c r="GQ48" s="55">
        <v>0</v>
      </c>
      <c r="GR48" s="55">
        <v>0</v>
      </c>
      <c r="GS48" s="55">
        <v>0</v>
      </c>
      <c r="GT48" s="55">
        <v>0</v>
      </c>
      <c r="GU48" s="86">
        <f t="shared" si="12"/>
        <v>0</v>
      </c>
      <c r="GV48" s="87" t="s">
        <v>301</v>
      </c>
      <c r="GW48" s="87">
        <v>0</v>
      </c>
      <c r="GX48" s="88" t="s">
        <v>267</v>
      </c>
      <c r="GY48" s="55">
        <v>5</v>
      </c>
      <c r="GZ48" s="55">
        <v>5</v>
      </c>
      <c r="HA48" s="55">
        <v>3</v>
      </c>
      <c r="HB48" s="55">
        <v>3</v>
      </c>
      <c r="HC48" s="55">
        <v>5</v>
      </c>
      <c r="HD48" s="55">
        <v>5</v>
      </c>
      <c r="HE48" s="55"/>
      <c r="HF48" s="55"/>
      <c r="HG48" s="55">
        <v>3</v>
      </c>
      <c r="HH48" s="55">
        <v>7</v>
      </c>
      <c r="HI48" s="55">
        <v>7</v>
      </c>
      <c r="HJ48" s="55"/>
      <c r="HK48" s="55">
        <v>4</v>
      </c>
      <c r="HL48" s="55">
        <v>7</v>
      </c>
      <c r="HM48" s="55">
        <v>7</v>
      </c>
      <c r="HN48" s="55">
        <v>1</v>
      </c>
      <c r="HO48" s="55">
        <v>3</v>
      </c>
      <c r="HP48" s="55">
        <v>1</v>
      </c>
      <c r="HQ48" s="55">
        <v>2</v>
      </c>
      <c r="HR48" s="55">
        <v>1</v>
      </c>
      <c r="HS48" s="55">
        <v>1</v>
      </c>
      <c r="HT48" s="55">
        <v>2</v>
      </c>
      <c r="HU48" s="55">
        <v>4</v>
      </c>
      <c r="HV48" s="55">
        <v>1</v>
      </c>
      <c r="HW48" s="55">
        <v>1</v>
      </c>
      <c r="HX48" s="55">
        <v>2</v>
      </c>
      <c r="HY48" s="55">
        <v>5</v>
      </c>
      <c r="HZ48" s="55">
        <v>4</v>
      </c>
      <c r="IA48" s="55">
        <v>4</v>
      </c>
      <c r="IB48" s="55">
        <v>7</v>
      </c>
      <c r="IC48" s="55"/>
      <c r="ID48" s="55">
        <f t="shared" ref="ID48:IG48" si="167">SUM(GY48)</f>
        <v>5</v>
      </c>
      <c r="IE48" s="55">
        <f t="shared" si="167"/>
        <v>5</v>
      </c>
      <c r="IF48" s="55">
        <f t="shared" si="167"/>
        <v>3</v>
      </c>
      <c r="IG48" s="55">
        <f t="shared" si="167"/>
        <v>3</v>
      </c>
      <c r="IH48" s="55">
        <f t="shared" si="14"/>
        <v>10</v>
      </c>
      <c r="II48" s="55">
        <f t="shared" si="15"/>
        <v>3</v>
      </c>
      <c r="IJ48" s="55">
        <f t="shared" si="16"/>
        <v>14</v>
      </c>
      <c r="IK48" s="55">
        <f t="shared" ref="IK48:IQ48" si="168">SUM(HK48)</f>
        <v>4</v>
      </c>
      <c r="IL48" s="55">
        <f t="shared" si="168"/>
        <v>7</v>
      </c>
      <c r="IM48" s="55">
        <f t="shared" si="168"/>
        <v>7</v>
      </c>
      <c r="IN48" s="55">
        <f t="shared" si="168"/>
        <v>1</v>
      </c>
      <c r="IO48" s="55">
        <f t="shared" si="168"/>
        <v>3</v>
      </c>
      <c r="IP48" s="55">
        <f t="shared" si="168"/>
        <v>1</v>
      </c>
      <c r="IQ48" s="55">
        <f t="shared" si="168"/>
        <v>2</v>
      </c>
      <c r="IR48" s="55">
        <f t="shared" si="18"/>
        <v>2</v>
      </c>
      <c r="IS48" s="55">
        <f t="shared" ref="IS48:JB48" si="169">SUM(HT48)</f>
        <v>2</v>
      </c>
      <c r="IT48" s="55">
        <f t="shared" si="169"/>
        <v>4</v>
      </c>
      <c r="IU48" s="55">
        <f t="shared" si="169"/>
        <v>1</v>
      </c>
      <c r="IV48" s="55">
        <f t="shared" si="169"/>
        <v>1</v>
      </c>
      <c r="IW48" s="55">
        <f t="shared" si="169"/>
        <v>2</v>
      </c>
      <c r="IX48" s="55">
        <f t="shared" si="169"/>
        <v>5</v>
      </c>
      <c r="IY48" s="55">
        <f t="shared" si="169"/>
        <v>4</v>
      </c>
      <c r="IZ48" s="55">
        <f t="shared" si="169"/>
        <v>4</v>
      </c>
      <c r="JA48" s="55">
        <f t="shared" si="169"/>
        <v>7</v>
      </c>
      <c r="JB48" s="55">
        <f t="shared" si="169"/>
        <v>0</v>
      </c>
      <c r="JC48" s="89">
        <f t="shared" si="20"/>
        <v>97</v>
      </c>
      <c r="JD48" s="90">
        <v>1</v>
      </c>
      <c r="JE48" s="90">
        <v>1</v>
      </c>
      <c r="JF48" s="91">
        <v>46</v>
      </c>
      <c r="JG48" s="91">
        <v>2</v>
      </c>
      <c r="JH48" s="55">
        <v>2</v>
      </c>
      <c r="JI48" s="55">
        <v>2</v>
      </c>
      <c r="JJ48" s="55">
        <v>2</v>
      </c>
      <c r="JK48" s="55">
        <v>0</v>
      </c>
      <c r="JL48" s="55">
        <v>0</v>
      </c>
      <c r="JM48" s="55">
        <v>0</v>
      </c>
      <c r="JN48" s="55">
        <v>0</v>
      </c>
      <c r="JO48" s="55">
        <v>0</v>
      </c>
      <c r="JP48" s="89">
        <f t="shared" ref="JP48:JP65" si="170">SUM(JH48:JO48)</f>
        <v>6</v>
      </c>
      <c r="JQ48" s="55">
        <v>2</v>
      </c>
      <c r="JR48" s="55">
        <v>2</v>
      </c>
      <c r="JS48" s="55">
        <v>2</v>
      </c>
      <c r="JT48" s="55">
        <v>2</v>
      </c>
      <c r="JU48" s="55">
        <v>2</v>
      </c>
      <c r="JV48" s="55">
        <v>0</v>
      </c>
      <c r="JW48" s="55">
        <v>0</v>
      </c>
      <c r="JX48" s="92">
        <f t="shared" si="22"/>
        <v>10</v>
      </c>
      <c r="JY48" s="93">
        <f t="shared" si="23"/>
        <v>16</v>
      </c>
      <c r="JZ48" s="55">
        <v>3</v>
      </c>
      <c r="KA48" s="55">
        <v>3</v>
      </c>
      <c r="KB48" s="55">
        <v>1</v>
      </c>
      <c r="KC48" s="55">
        <v>0</v>
      </c>
      <c r="KD48" s="55">
        <v>0</v>
      </c>
      <c r="KE48" s="55">
        <v>0</v>
      </c>
      <c r="KF48" s="55">
        <v>0</v>
      </c>
      <c r="KG48" s="94">
        <f t="shared" si="24"/>
        <v>7</v>
      </c>
      <c r="KH48" s="95" t="s">
        <v>330</v>
      </c>
      <c r="KI48" s="55">
        <v>0</v>
      </c>
      <c r="KJ48" s="55">
        <v>2</v>
      </c>
      <c r="KK48" s="55">
        <v>0</v>
      </c>
      <c r="KL48" s="95" t="s">
        <v>330</v>
      </c>
      <c r="KM48" s="55">
        <v>0</v>
      </c>
      <c r="KN48" s="55">
        <v>2</v>
      </c>
      <c r="KO48" s="55">
        <v>0</v>
      </c>
      <c r="KP48" s="95" t="s">
        <v>332</v>
      </c>
      <c r="KQ48" s="55">
        <v>0</v>
      </c>
      <c r="KR48" s="55">
        <v>2</v>
      </c>
      <c r="KS48" s="55">
        <v>1</v>
      </c>
      <c r="KT48" s="95" t="s">
        <v>320</v>
      </c>
      <c r="KU48" s="55">
        <v>0</v>
      </c>
      <c r="KV48" s="55">
        <v>2</v>
      </c>
      <c r="KW48" s="55">
        <v>1</v>
      </c>
      <c r="KX48" s="95" t="s">
        <v>321</v>
      </c>
      <c r="KY48" s="55">
        <v>0</v>
      </c>
      <c r="KZ48" s="55">
        <v>2</v>
      </c>
      <c r="LA48" s="55">
        <v>0</v>
      </c>
      <c r="LB48" s="95" t="s">
        <v>315</v>
      </c>
      <c r="LC48" s="55">
        <v>0</v>
      </c>
      <c r="LD48" s="55">
        <v>2</v>
      </c>
      <c r="LE48" s="55">
        <v>1</v>
      </c>
      <c r="LF48" s="95" t="s">
        <v>489</v>
      </c>
      <c r="LG48" s="55">
        <v>1</v>
      </c>
      <c r="LH48" s="55">
        <v>1</v>
      </c>
      <c r="LI48" s="55">
        <v>0</v>
      </c>
      <c r="LJ48" s="95" t="s">
        <v>464</v>
      </c>
      <c r="LK48" s="55">
        <v>0</v>
      </c>
      <c r="LL48" s="55">
        <v>2</v>
      </c>
      <c r="LM48" s="55">
        <v>1</v>
      </c>
      <c r="LN48" s="96">
        <f t="shared" si="25"/>
        <v>19</v>
      </c>
      <c r="LO48" s="97">
        <f t="shared" si="26"/>
        <v>4</v>
      </c>
      <c r="LP48" s="97">
        <f t="shared" si="27"/>
        <v>42</v>
      </c>
    </row>
    <row r="49" spans="1:328" s="98" customFormat="1" ht="13.2">
      <c r="A49" s="154" t="s">
        <v>629</v>
      </c>
      <c r="B49" s="117"/>
      <c r="C49" s="117"/>
      <c r="D49" s="49"/>
      <c r="E49" s="49"/>
      <c r="F49" s="40"/>
      <c r="G49" s="40"/>
      <c r="H49" s="40"/>
      <c r="I49" s="40"/>
      <c r="J49" s="40"/>
      <c r="K49" s="40"/>
      <c r="L49" s="40"/>
      <c r="M49" s="40"/>
      <c r="N49" s="64" t="s">
        <v>1040</v>
      </c>
      <c r="O49" s="101" t="s">
        <v>1023</v>
      </c>
      <c r="P49" s="95" t="s">
        <v>811</v>
      </c>
      <c r="Q49" s="95">
        <v>1</v>
      </c>
      <c r="R49" s="125">
        <v>18314</v>
      </c>
      <c r="S49" s="95">
        <v>75</v>
      </c>
      <c r="T49" s="95" t="s">
        <v>259</v>
      </c>
      <c r="U49" s="95" t="s">
        <v>276</v>
      </c>
      <c r="V49" s="130" t="s">
        <v>812</v>
      </c>
      <c r="W49" s="95" t="s">
        <v>624</v>
      </c>
      <c r="X49" s="95" t="s">
        <v>596</v>
      </c>
      <c r="Y49" s="95" t="s">
        <v>261</v>
      </c>
      <c r="Z49" s="95" t="s">
        <v>262</v>
      </c>
      <c r="AA49" s="95" t="s">
        <v>471</v>
      </c>
      <c r="AB49" s="95" t="s">
        <v>264</v>
      </c>
      <c r="AC49" s="95" t="s">
        <v>597</v>
      </c>
      <c r="AD49" s="95" t="s">
        <v>597</v>
      </c>
      <c r="AE49" s="95" t="s">
        <v>813</v>
      </c>
      <c r="AF49" s="95" t="s">
        <v>597</v>
      </c>
      <c r="AG49" s="95" t="s">
        <v>602</v>
      </c>
      <c r="AH49" s="95" t="s">
        <v>597</v>
      </c>
      <c r="AI49" s="95" t="s">
        <v>597</v>
      </c>
      <c r="AJ49" s="125">
        <v>45876</v>
      </c>
      <c r="AK49" s="97"/>
      <c r="AL49" s="115">
        <v>1</v>
      </c>
      <c r="AM49" s="115">
        <v>1</v>
      </c>
      <c r="AN49" s="115">
        <v>1</v>
      </c>
      <c r="AO49" s="115">
        <v>1</v>
      </c>
      <c r="AP49" s="115">
        <v>1</v>
      </c>
      <c r="AQ49" s="115">
        <v>1</v>
      </c>
      <c r="AR49" s="115">
        <v>1</v>
      </c>
      <c r="AS49" s="115">
        <v>1</v>
      </c>
      <c r="AT49" s="70">
        <f t="shared" si="0"/>
        <v>8</v>
      </c>
      <c r="AU49" s="71">
        <v>1</v>
      </c>
      <c r="AV49" s="71">
        <v>1</v>
      </c>
      <c r="AW49" s="71">
        <v>1</v>
      </c>
      <c r="AX49" s="71">
        <v>1</v>
      </c>
      <c r="AY49" s="70">
        <f t="shared" si="1"/>
        <v>4</v>
      </c>
      <c r="AZ49" s="69">
        <v>1</v>
      </c>
      <c r="BA49" s="69">
        <v>1</v>
      </c>
      <c r="BB49" s="69">
        <v>1</v>
      </c>
      <c r="BC49" s="69">
        <v>1</v>
      </c>
      <c r="BD49" s="69">
        <v>1</v>
      </c>
      <c r="BE49" s="69">
        <v>1</v>
      </c>
      <c r="BF49" s="69">
        <v>1</v>
      </c>
      <c r="BG49" s="69">
        <v>1</v>
      </c>
      <c r="BH49" s="70">
        <f t="shared" si="2"/>
        <v>8</v>
      </c>
      <c r="BI49" s="69">
        <v>1</v>
      </c>
      <c r="BJ49" s="69">
        <v>1</v>
      </c>
      <c r="BK49" s="70">
        <f t="shared" si="3"/>
        <v>2</v>
      </c>
      <c r="BL49" s="72">
        <v>1</v>
      </c>
      <c r="BM49" s="72">
        <v>1</v>
      </c>
      <c r="BN49" s="72">
        <v>1</v>
      </c>
      <c r="BO49" s="72">
        <v>1</v>
      </c>
      <c r="BP49" s="72">
        <v>1</v>
      </c>
      <c r="BQ49" s="72">
        <v>1</v>
      </c>
      <c r="BR49" s="72">
        <v>1</v>
      </c>
      <c r="BS49" s="72">
        <v>1</v>
      </c>
      <c r="BT49" s="70">
        <f t="shared" si="4"/>
        <v>7</v>
      </c>
      <c r="BU49" s="70">
        <f t="shared" si="5"/>
        <v>29</v>
      </c>
      <c r="BV49" s="126">
        <v>1</v>
      </c>
      <c r="BW49" s="126">
        <v>2</v>
      </c>
      <c r="BX49" s="126">
        <v>2</v>
      </c>
      <c r="BY49" s="126">
        <v>1</v>
      </c>
      <c r="BZ49" s="74">
        <v>1</v>
      </c>
      <c r="CA49" s="126">
        <v>5</v>
      </c>
      <c r="CB49" s="74">
        <v>2</v>
      </c>
      <c r="CC49" s="126">
        <v>2</v>
      </c>
      <c r="CD49" s="126">
        <v>1</v>
      </c>
      <c r="CE49" s="126">
        <v>1</v>
      </c>
      <c r="CF49" s="126">
        <v>5</v>
      </c>
      <c r="CG49" s="126">
        <v>5</v>
      </c>
      <c r="CH49" s="74">
        <v>5</v>
      </c>
      <c r="CI49" s="126">
        <v>5</v>
      </c>
      <c r="CJ49" s="126">
        <v>2</v>
      </c>
      <c r="CK49" s="127">
        <f t="shared" si="96"/>
        <v>40</v>
      </c>
      <c r="CL49" s="118"/>
      <c r="CM49" s="118"/>
      <c r="CN49" s="118"/>
      <c r="CO49" s="118"/>
      <c r="CP49" s="118"/>
      <c r="CQ49" s="123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>
        <f t="shared" si="7"/>
        <v>0</v>
      </c>
      <c r="DO49" s="118">
        <v>18</v>
      </c>
      <c r="DP49" s="97">
        <v>0</v>
      </c>
      <c r="DQ49" s="97">
        <v>1</v>
      </c>
      <c r="DR49" s="97">
        <v>0</v>
      </c>
      <c r="DS49" s="97">
        <v>0</v>
      </c>
      <c r="DT49" s="97">
        <v>0</v>
      </c>
      <c r="DU49" s="97">
        <v>1</v>
      </c>
      <c r="DV49" s="97">
        <v>0</v>
      </c>
      <c r="DW49" s="97">
        <v>0</v>
      </c>
      <c r="DX49" s="97">
        <v>0</v>
      </c>
      <c r="DY49" s="97">
        <v>0</v>
      </c>
      <c r="DZ49" s="97">
        <v>0</v>
      </c>
      <c r="EA49" s="97">
        <v>0</v>
      </c>
      <c r="EB49" s="97">
        <v>0</v>
      </c>
      <c r="EC49" s="97">
        <v>0</v>
      </c>
      <c r="ED49" s="97">
        <v>0</v>
      </c>
      <c r="EE49" s="77">
        <f t="shared" si="124"/>
        <v>2</v>
      </c>
      <c r="EF49" s="77" t="s">
        <v>265</v>
      </c>
      <c r="EG49" s="78">
        <f t="shared" si="8"/>
        <v>2</v>
      </c>
      <c r="EH49" s="97">
        <v>0</v>
      </c>
      <c r="EI49" s="97">
        <v>0</v>
      </c>
      <c r="EJ49" s="97">
        <v>0</v>
      </c>
      <c r="EK49" s="97">
        <v>0</v>
      </c>
      <c r="EL49" s="97">
        <v>0.5</v>
      </c>
      <c r="EM49" s="97">
        <v>0</v>
      </c>
      <c r="EN49" s="97">
        <v>0</v>
      </c>
      <c r="EO49" s="97">
        <v>1</v>
      </c>
      <c r="EP49" s="97">
        <v>0</v>
      </c>
      <c r="EQ49" s="97">
        <v>0</v>
      </c>
      <c r="ER49" s="97">
        <v>0</v>
      </c>
      <c r="ES49" s="97">
        <v>0</v>
      </c>
      <c r="ET49" s="97">
        <v>0</v>
      </c>
      <c r="EU49" s="97">
        <v>0</v>
      </c>
      <c r="EV49" s="97">
        <v>0</v>
      </c>
      <c r="EW49" s="97">
        <v>0</v>
      </c>
      <c r="EX49" s="97">
        <v>0</v>
      </c>
      <c r="EY49" s="97">
        <v>1</v>
      </c>
      <c r="EZ49" s="97">
        <v>0</v>
      </c>
      <c r="FA49" s="97">
        <v>0</v>
      </c>
      <c r="FB49" s="97">
        <v>0</v>
      </c>
      <c r="FC49" s="97">
        <v>1</v>
      </c>
      <c r="FD49" s="79">
        <f t="shared" si="9"/>
        <v>3.5</v>
      </c>
      <c r="FE49" s="80">
        <v>1</v>
      </c>
      <c r="FF49" s="97">
        <v>1</v>
      </c>
      <c r="FG49" s="97">
        <v>1</v>
      </c>
      <c r="FH49" s="97">
        <v>1</v>
      </c>
      <c r="FI49" s="97">
        <v>1</v>
      </c>
      <c r="FJ49" s="97">
        <v>1</v>
      </c>
      <c r="FK49" s="97">
        <v>1</v>
      </c>
      <c r="FL49" s="97">
        <v>1</v>
      </c>
      <c r="FM49" s="97">
        <v>1</v>
      </c>
      <c r="FN49" s="81">
        <f t="shared" si="10"/>
        <v>8</v>
      </c>
      <c r="FO49" s="82">
        <v>1</v>
      </c>
      <c r="FP49" s="97">
        <v>10</v>
      </c>
      <c r="FQ49" s="97">
        <v>5</v>
      </c>
      <c r="FR49" s="97">
        <v>10</v>
      </c>
      <c r="FS49" s="97">
        <v>5</v>
      </c>
      <c r="FT49" s="97">
        <v>10</v>
      </c>
      <c r="FU49" s="97">
        <v>10</v>
      </c>
      <c r="FV49" s="97">
        <v>10</v>
      </c>
      <c r="FW49" s="97">
        <v>15</v>
      </c>
      <c r="FX49" s="97">
        <v>15</v>
      </c>
      <c r="FY49" s="97">
        <v>10</v>
      </c>
      <c r="FZ49" s="83">
        <f t="shared" si="11"/>
        <v>100</v>
      </c>
      <c r="GA49" s="84">
        <v>1</v>
      </c>
      <c r="GB49" s="55">
        <v>1</v>
      </c>
      <c r="GC49" s="85">
        <v>0.5</v>
      </c>
      <c r="GD49" s="85">
        <v>0</v>
      </c>
      <c r="GE49" s="85">
        <v>1</v>
      </c>
      <c r="GF49" s="85">
        <v>0</v>
      </c>
      <c r="GG49" s="85">
        <v>0</v>
      </c>
      <c r="GH49" s="85">
        <v>0</v>
      </c>
      <c r="GI49" s="97">
        <v>0</v>
      </c>
      <c r="GJ49" s="97">
        <v>1</v>
      </c>
      <c r="GK49" s="97">
        <v>0</v>
      </c>
      <c r="GL49" s="97">
        <v>1</v>
      </c>
      <c r="GM49" s="97">
        <v>1</v>
      </c>
      <c r="GN49" s="97">
        <v>1</v>
      </c>
      <c r="GO49" s="97">
        <v>2</v>
      </c>
      <c r="GP49" s="97">
        <v>2</v>
      </c>
      <c r="GQ49" s="97">
        <v>1</v>
      </c>
      <c r="GR49" s="97">
        <v>0</v>
      </c>
      <c r="GS49" s="97">
        <v>1</v>
      </c>
      <c r="GT49" s="97">
        <v>1</v>
      </c>
      <c r="GU49" s="86">
        <f t="shared" si="12"/>
        <v>11</v>
      </c>
      <c r="GV49" s="128" t="s">
        <v>324</v>
      </c>
      <c r="GW49" s="87">
        <v>0</v>
      </c>
      <c r="GX49" s="129" t="s">
        <v>265</v>
      </c>
      <c r="GY49" s="97">
        <v>5</v>
      </c>
      <c r="GZ49" s="97">
        <v>5</v>
      </c>
      <c r="HA49" s="97">
        <v>3</v>
      </c>
      <c r="HB49" s="97">
        <v>1</v>
      </c>
      <c r="HC49" s="97">
        <v>2</v>
      </c>
      <c r="HD49" s="97">
        <v>2</v>
      </c>
      <c r="HE49" s="97"/>
      <c r="HF49" s="97"/>
      <c r="HG49" s="97">
        <v>1</v>
      </c>
      <c r="HH49" s="97">
        <v>6</v>
      </c>
      <c r="HI49" s="97">
        <v>6</v>
      </c>
      <c r="HJ49" s="97"/>
      <c r="HK49" s="97">
        <v>2</v>
      </c>
      <c r="HL49" s="97">
        <v>2</v>
      </c>
      <c r="HM49" s="97">
        <v>2</v>
      </c>
      <c r="HN49" s="97">
        <v>1</v>
      </c>
      <c r="HO49" s="97">
        <v>3</v>
      </c>
      <c r="HP49" s="97">
        <v>1</v>
      </c>
      <c r="HQ49" s="97">
        <v>0</v>
      </c>
      <c r="HR49" s="97">
        <v>1</v>
      </c>
      <c r="HS49" s="97">
        <v>0</v>
      </c>
      <c r="HT49" s="97">
        <v>2</v>
      </c>
      <c r="HU49" s="97">
        <v>3</v>
      </c>
      <c r="HV49" s="97">
        <v>1</v>
      </c>
      <c r="HW49" s="97">
        <v>1</v>
      </c>
      <c r="HX49" s="97">
        <v>2</v>
      </c>
      <c r="HY49" s="97">
        <v>5</v>
      </c>
      <c r="HZ49" s="97">
        <v>4</v>
      </c>
      <c r="IA49" s="97">
        <v>1</v>
      </c>
      <c r="IB49" s="97">
        <v>4</v>
      </c>
      <c r="IC49" s="55">
        <v>4</v>
      </c>
      <c r="ID49" s="55">
        <f t="shared" ref="ID49:IG49" si="171">SUM(GY49)</f>
        <v>5</v>
      </c>
      <c r="IE49" s="55">
        <f t="shared" si="171"/>
        <v>5</v>
      </c>
      <c r="IF49" s="55">
        <f t="shared" si="171"/>
        <v>3</v>
      </c>
      <c r="IG49" s="55">
        <f t="shared" si="171"/>
        <v>1</v>
      </c>
      <c r="IH49" s="55">
        <f t="shared" si="14"/>
        <v>4</v>
      </c>
      <c r="II49" s="55">
        <f t="shared" si="15"/>
        <v>1</v>
      </c>
      <c r="IJ49" s="55">
        <f t="shared" si="16"/>
        <v>12</v>
      </c>
      <c r="IK49" s="55">
        <f t="shared" ref="IK49:IQ49" si="172">SUM(HK49)</f>
        <v>2</v>
      </c>
      <c r="IL49" s="55">
        <f t="shared" si="172"/>
        <v>2</v>
      </c>
      <c r="IM49" s="55">
        <f t="shared" si="172"/>
        <v>2</v>
      </c>
      <c r="IN49" s="55">
        <f t="shared" si="172"/>
        <v>1</v>
      </c>
      <c r="IO49" s="55">
        <f t="shared" si="172"/>
        <v>3</v>
      </c>
      <c r="IP49" s="55">
        <f t="shared" si="172"/>
        <v>1</v>
      </c>
      <c r="IQ49" s="55">
        <f t="shared" si="172"/>
        <v>0</v>
      </c>
      <c r="IR49" s="55">
        <f t="shared" si="18"/>
        <v>1</v>
      </c>
      <c r="IS49" s="55">
        <f t="shared" ref="IS49:JB49" si="173">SUM(HT49)</f>
        <v>2</v>
      </c>
      <c r="IT49" s="55">
        <f t="shared" si="173"/>
        <v>3</v>
      </c>
      <c r="IU49" s="55">
        <f t="shared" si="173"/>
        <v>1</v>
      </c>
      <c r="IV49" s="55">
        <f t="shared" si="173"/>
        <v>1</v>
      </c>
      <c r="IW49" s="55">
        <f t="shared" si="173"/>
        <v>2</v>
      </c>
      <c r="IX49" s="55">
        <f t="shared" si="173"/>
        <v>5</v>
      </c>
      <c r="IY49" s="55">
        <f t="shared" si="173"/>
        <v>4</v>
      </c>
      <c r="IZ49" s="55">
        <f t="shared" si="173"/>
        <v>1</v>
      </c>
      <c r="JA49" s="55">
        <f t="shared" si="173"/>
        <v>4</v>
      </c>
      <c r="JB49" s="55">
        <f t="shared" si="173"/>
        <v>4</v>
      </c>
      <c r="JC49" s="89">
        <f t="shared" si="20"/>
        <v>69</v>
      </c>
      <c r="JD49" s="90">
        <v>1</v>
      </c>
      <c r="JE49" s="90">
        <v>1</v>
      </c>
      <c r="JF49" s="91">
        <v>15</v>
      </c>
      <c r="JG49" s="91">
        <v>2</v>
      </c>
      <c r="JH49" s="97">
        <v>2</v>
      </c>
      <c r="JI49" s="97">
        <v>2</v>
      </c>
      <c r="JJ49" s="97">
        <v>2</v>
      </c>
      <c r="JK49" s="97">
        <v>0</v>
      </c>
      <c r="JL49" s="97">
        <v>0</v>
      </c>
      <c r="JM49" s="97">
        <v>0</v>
      </c>
      <c r="JN49" s="97">
        <v>0</v>
      </c>
      <c r="JO49" s="97">
        <v>0</v>
      </c>
      <c r="JP49" s="89">
        <f t="shared" si="170"/>
        <v>6</v>
      </c>
      <c r="JQ49" s="97">
        <v>2</v>
      </c>
      <c r="JR49" s="97">
        <v>2</v>
      </c>
      <c r="JS49" s="97">
        <v>2</v>
      </c>
      <c r="JT49" s="97">
        <v>1</v>
      </c>
      <c r="JU49" s="97">
        <v>0</v>
      </c>
      <c r="JV49" s="97">
        <v>0</v>
      </c>
      <c r="JW49" s="97">
        <v>0</v>
      </c>
      <c r="JX49" s="92">
        <f t="shared" si="22"/>
        <v>7</v>
      </c>
      <c r="JY49" s="93">
        <f t="shared" si="23"/>
        <v>13</v>
      </c>
      <c r="JZ49" s="97">
        <v>3</v>
      </c>
      <c r="KA49" s="97">
        <v>3</v>
      </c>
      <c r="KB49" s="97">
        <v>0</v>
      </c>
      <c r="KC49" s="97">
        <v>0</v>
      </c>
      <c r="KD49" s="97">
        <v>0</v>
      </c>
      <c r="KE49" s="97">
        <v>0</v>
      </c>
      <c r="KF49" s="97">
        <v>0</v>
      </c>
      <c r="KG49" s="94">
        <f t="shared" si="24"/>
        <v>6</v>
      </c>
      <c r="KH49" s="95" t="s">
        <v>321</v>
      </c>
      <c r="KI49" s="97">
        <v>0</v>
      </c>
      <c r="KJ49" s="97">
        <v>2</v>
      </c>
      <c r="KK49" s="97">
        <v>0</v>
      </c>
      <c r="KL49" s="95" t="s">
        <v>321</v>
      </c>
      <c r="KM49" s="97">
        <v>0</v>
      </c>
      <c r="KN49" s="97">
        <v>2</v>
      </c>
      <c r="KO49" s="97">
        <v>0</v>
      </c>
      <c r="KP49" s="95" t="s">
        <v>320</v>
      </c>
      <c r="KQ49" s="97">
        <v>0</v>
      </c>
      <c r="KR49" s="97">
        <v>2</v>
      </c>
      <c r="KS49" s="97">
        <v>0</v>
      </c>
      <c r="KT49" s="95" t="s">
        <v>319</v>
      </c>
      <c r="KU49" s="97">
        <v>0</v>
      </c>
      <c r="KV49" s="97">
        <v>2</v>
      </c>
      <c r="KW49" s="97">
        <v>0</v>
      </c>
      <c r="KX49" s="95" t="s">
        <v>291</v>
      </c>
      <c r="KY49" s="97">
        <v>0</v>
      </c>
      <c r="KZ49" s="97">
        <v>2</v>
      </c>
      <c r="LA49" s="97">
        <v>0</v>
      </c>
      <c r="LB49" s="95" t="s">
        <v>327</v>
      </c>
      <c r="LC49" s="97">
        <v>0</v>
      </c>
      <c r="LD49" s="97">
        <v>2</v>
      </c>
      <c r="LE49" s="97">
        <v>0</v>
      </c>
      <c r="LF49" s="95" t="s">
        <v>814</v>
      </c>
      <c r="LG49" s="97">
        <v>0</v>
      </c>
      <c r="LH49" s="97">
        <v>2</v>
      </c>
      <c r="LI49" s="97">
        <v>0</v>
      </c>
      <c r="LJ49" s="95" t="s">
        <v>331</v>
      </c>
      <c r="LK49" s="97">
        <v>0</v>
      </c>
      <c r="LL49" s="97">
        <v>2</v>
      </c>
      <c r="LM49" s="97">
        <v>3</v>
      </c>
      <c r="LN49" s="96">
        <f t="shared" si="25"/>
        <v>19</v>
      </c>
      <c r="LO49" s="97">
        <f t="shared" si="26"/>
        <v>3</v>
      </c>
      <c r="LP49" s="97">
        <f t="shared" si="27"/>
        <v>38</v>
      </c>
    </row>
    <row r="50" spans="1:328" s="98" customFormat="1" ht="13.8">
      <c r="A50" s="55" t="s">
        <v>634</v>
      </c>
      <c r="B50" s="40"/>
      <c r="C50" s="40">
        <v>62</v>
      </c>
      <c r="D50" s="62" t="s">
        <v>763</v>
      </c>
      <c r="E50" s="62"/>
      <c r="F50" s="61">
        <v>1</v>
      </c>
      <c r="G50" s="61">
        <v>1</v>
      </c>
      <c r="H50" s="61">
        <v>1</v>
      </c>
      <c r="I50" s="164">
        <v>6</v>
      </c>
      <c r="J50" s="164">
        <v>4</v>
      </c>
      <c r="K50" s="63">
        <v>7.4999999999999997E-2</v>
      </c>
      <c r="L50" s="63">
        <v>9.0277777777777776E-2</v>
      </c>
      <c r="M50" s="63">
        <v>5.2777777777777778E-2</v>
      </c>
      <c r="N50" s="64" t="s">
        <v>1041</v>
      </c>
      <c r="O50" s="101" t="s">
        <v>1024</v>
      </c>
      <c r="P50" s="95" t="s">
        <v>729</v>
      </c>
      <c r="Q50" s="95">
        <v>1</v>
      </c>
      <c r="R50" s="103">
        <v>18826</v>
      </c>
      <c r="S50" s="102">
        <v>75</v>
      </c>
      <c r="T50" s="102" t="s">
        <v>259</v>
      </c>
      <c r="U50" s="102" t="s">
        <v>276</v>
      </c>
      <c r="V50" s="102">
        <v>995930332</v>
      </c>
      <c r="W50" s="102" t="s">
        <v>595</v>
      </c>
      <c r="X50" s="102" t="s">
        <v>596</v>
      </c>
      <c r="Y50" s="102" t="s">
        <v>277</v>
      </c>
      <c r="Z50" s="102" t="s">
        <v>262</v>
      </c>
      <c r="AA50" s="102" t="s">
        <v>490</v>
      </c>
      <c r="AB50" s="102" t="s">
        <v>279</v>
      </c>
      <c r="AC50" s="102" t="s">
        <v>597</v>
      </c>
      <c r="AD50" s="102" t="s">
        <v>597</v>
      </c>
      <c r="AE50" s="102" t="s">
        <v>730</v>
      </c>
      <c r="AF50" s="102" t="s">
        <v>597</v>
      </c>
      <c r="AG50" s="102" t="s">
        <v>731</v>
      </c>
      <c r="AH50" s="102" t="s">
        <v>597</v>
      </c>
      <c r="AI50" s="102" t="s">
        <v>597</v>
      </c>
      <c r="AJ50" s="103">
        <v>45658</v>
      </c>
      <c r="AK50" s="122"/>
      <c r="AL50" s="115">
        <v>1</v>
      </c>
      <c r="AM50" s="115">
        <v>1</v>
      </c>
      <c r="AN50" s="115">
        <v>1</v>
      </c>
      <c r="AO50" s="115">
        <v>1</v>
      </c>
      <c r="AP50" s="115">
        <v>1</v>
      </c>
      <c r="AQ50" s="115">
        <v>1</v>
      </c>
      <c r="AR50" s="115">
        <v>1</v>
      </c>
      <c r="AS50" s="115">
        <v>1</v>
      </c>
      <c r="AT50" s="70">
        <f t="shared" si="0"/>
        <v>8</v>
      </c>
      <c r="AU50" s="71">
        <v>1</v>
      </c>
      <c r="AV50" s="71">
        <v>1</v>
      </c>
      <c r="AW50" s="71">
        <v>1</v>
      </c>
      <c r="AX50" s="71">
        <v>1</v>
      </c>
      <c r="AY50" s="70">
        <f t="shared" si="1"/>
        <v>4</v>
      </c>
      <c r="AZ50" s="69">
        <v>1</v>
      </c>
      <c r="BA50" s="69">
        <v>1</v>
      </c>
      <c r="BB50" s="69">
        <v>1</v>
      </c>
      <c r="BC50" s="69">
        <v>1</v>
      </c>
      <c r="BD50" s="69">
        <v>1</v>
      </c>
      <c r="BE50" s="69">
        <v>1</v>
      </c>
      <c r="BF50" s="69">
        <v>1</v>
      </c>
      <c r="BG50" s="69">
        <v>1</v>
      </c>
      <c r="BH50" s="70">
        <f t="shared" si="2"/>
        <v>8</v>
      </c>
      <c r="BI50" s="69">
        <v>1</v>
      </c>
      <c r="BJ50" s="69">
        <v>1</v>
      </c>
      <c r="BK50" s="70">
        <f t="shared" si="3"/>
        <v>2</v>
      </c>
      <c r="BL50" s="72">
        <v>1</v>
      </c>
      <c r="BM50" s="72">
        <v>1</v>
      </c>
      <c r="BN50" s="72">
        <v>1</v>
      </c>
      <c r="BO50" s="72">
        <v>1</v>
      </c>
      <c r="BP50" s="72">
        <v>1</v>
      </c>
      <c r="BQ50" s="72">
        <v>1</v>
      </c>
      <c r="BR50" s="72">
        <v>1</v>
      </c>
      <c r="BS50" s="72">
        <v>1</v>
      </c>
      <c r="BT50" s="70">
        <f t="shared" si="4"/>
        <v>7</v>
      </c>
      <c r="BU50" s="70">
        <f t="shared" si="5"/>
        <v>29</v>
      </c>
      <c r="BV50" s="126">
        <v>1</v>
      </c>
      <c r="BW50" s="126">
        <v>2</v>
      </c>
      <c r="BX50" s="126">
        <v>2</v>
      </c>
      <c r="BY50" s="126">
        <v>1</v>
      </c>
      <c r="BZ50" s="74">
        <v>1</v>
      </c>
      <c r="CA50" s="126">
        <v>5</v>
      </c>
      <c r="CB50" s="74">
        <v>2</v>
      </c>
      <c r="CC50" s="126">
        <v>2</v>
      </c>
      <c r="CD50" s="126">
        <v>1</v>
      </c>
      <c r="CE50" s="126">
        <v>1</v>
      </c>
      <c r="CF50" s="126">
        <v>5</v>
      </c>
      <c r="CG50" s="126">
        <v>5</v>
      </c>
      <c r="CH50" s="74">
        <v>5</v>
      </c>
      <c r="CI50" s="126">
        <v>5</v>
      </c>
      <c r="CJ50" s="126">
        <v>2</v>
      </c>
      <c r="CK50" s="127">
        <f t="shared" si="96"/>
        <v>40</v>
      </c>
      <c r="CL50" s="118">
        <v>1</v>
      </c>
      <c r="CM50" s="118">
        <v>5</v>
      </c>
      <c r="CN50" s="118">
        <v>5</v>
      </c>
      <c r="CO50" s="118">
        <v>5</v>
      </c>
      <c r="CP50" s="118">
        <v>1</v>
      </c>
      <c r="CQ50" s="123">
        <v>5</v>
      </c>
      <c r="CR50" s="118">
        <v>1</v>
      </c>
      <c r="CS50" s="118">
        <v>3</v>
      </c>
      <c r="CT50" s="118">
        <v>3</v>
      </c>
      <c r="CU50" s="118">
        <v>1</v>
      </c>
      <c r="CV50" s="118">
        <v>5</v>
      </c>
      <c r="CW50" s="118">
        <v>1</v>
      </c>
      <c r="CX50" s="118">
        <v>1</v>
      </c>
      <c r="CY50" s="118">
        <v>4</v>
      </c>
      <c r="CZ50" s="118">
        <v>5</v>
      </c>
      <c r="DA50" s="118">
        <v>1</v>
      </c>
      <c r="DB50" s="118">
        <v>5</v>
      </c>
      <c r="DC50" s="118">
        <v>5</v>
      </c>
      <c r="DD50" s="118">
        <v>2</v>
      </c>
      <c r="DE50" s="118">
        <v>4</v>
      </c>
      <c r="DF50" s="118">
        <v>5</v>
      </c>
      <c r="DG50" s="118">
        <v>5</v>
      </c>
      <c r="DH50" s="118">
        <v>3</v>
      </c>
      <c r="DI50" s="118">
        <v>5</v>
      </c>
      <c r="DJ50" s="118">
        <v>2</v>
      </c>
      <c r="DK50" s="118">
        <v>2</v>
      </c>
      <c r="DL50" s="118">
        <v>3</v>
      </c>
      <c r="DM50" s="118">
        <v>1</v>
      </c>
      <c r="DN50" s="118">
        <f t="shared" si="7"/>
        <v>89</v>
      </c>
      <c r="DO50" s="123">
        <v>30</v>
      </c>
      <c r="DP50" s="97">
        <v>0</v>
      </c>
      <c r="DQ50" s="97">
        <v>0</v>
      </c>
      <c r="DR50" s="97">
        <v>0</v>
      </c>
      <c r="DS50" s="97">
        <v>0</v>
      </c>
      <c r="DT50" s="97">
        <v>0</v>
      </c>
      <c r="DU50" s="97">
        <v>0</v>
      </c>
      <c r="DV50" s="97">
        <v>0</v>
      </c>
      <c r="DW50" s="97">
        <v>0</v>
      </c>
      <c r="DX50" s="97">
        <v>0</v>
      </c>
      <c r="DY50" s="97">
        <v>0</v>
      </c>
      <c r="DZ50" s="97">
        <v>0</v>
      </c>
      <c r="EA50" s="97">
        <v>0</v>
      </c>
      <c r="EB50" s="97">
        <v>0</v>
      </c>
      <c r="EC50" s="97">
        <v>0</v>
      </c>
      <c r="ED50" s="97">
        <v>0</v>
      </c>
      <c r="EE50" s="77">
        <f t="shared" si="124"/>
        <v>0</v>
      </c>
      <c r="EF50" s="77" t="s">
        <v>265</v>
      </c>
      <c r="EG50" s="78">
        <f t="shared" si="8"/>
        <v>0</v>
      </c>
      <c r="EH50" s="97">
        <v>0</v>
      </c>
      <c r="EI50" s="97">
        <v>0</v>
      </c>
      <c r="EJ50" s="97">
        <v>0</v>
      </c>
      <c r="EK50" s="97">
        <v>0</v>
      </c>
      <c r="EL50" s="97">
        <v>0</v>
      </c>
      <c r="EM50" s="97">
        <v>0</v>
      </c>
      <c r="EN50" s="97">
        <v>0</v>
      </c>
      <c r="EO50" s="97">
        <v>0</v>
      </c>
      <c r="EP50" s="97">
        <v>0</v>
      </c>
      <c r="EQ50" s="97">
        <v>0</v>
      </c>
      <c r="ER50" s="97">
        <v>0</v>
      </c>
      <c r="ES50" s="97">
        <v>0</v>
      </c>
      <c r="ET50" s="97">
        <v>0</v>
      </c>
      <c r="EU50" s="97">
        <v>0</v>
      </c>
      <c r="EV50" s="97">
        <v>0</v>
      </c>
      <c r="EW50" s="97">
        <v>0</v>
      </c>
      <c r="EX50" s="97">
        <v>1</v>
      </c>
      <c r="EY50" s="97">
        <v>0</v>
      </c>
      <c r="EZ50" s="97">
        <v>0</v>
      </c>
      <c r="FA50" s="97">
        <v>0</v>
      </c>
      <c r="FB50" s="97">
        <v>0</v>
      </c>
      <c r="FC50" s="97">
        <v>0</v>
      </c>
      <c r="FD50" s="79">
        <f t="shared" si="9"/>
        <v>1</v>
      </c>
      <c r="FE50" s="80">
        <v>1</v>
      </c>
      <c r="FF50" s="97">
        <v>1</v>
      </c>
      <c r="FG50" s="97">
        <v>1</v>
      </c>
      <c r="FH50" s="97">
        <v>1</v>
      </c>
      <c r="FI50" s="97">
        <v>1</v>
      </c>
      <c r="FJ50" s="97">
        <v>1</v>
      </c>
      <c r="FK50" s="97">
        <v>1</v>
      </c>
      <c r="FL50" s="97">
        <v>1</v>
      </c>
      <c r="FM50" s="97">
        <v>1</v>
      </c>
      <c r="FN50" s="81">
        <f t="shared" si="10"/>
        <v>8</v>
      </c>
      <c r="FO50" s="82">
        <v>1</v>
      </c>
      <c r="FP50" s="97">
        <v>10</v>
      </c>
      <c r="FQ50" s="97">
        <v>5</v>
      </c>
      <c r="FR50" s="97">
        <v>10</v>
      </c>
      <c r="FS50" s="97">
        <v>5</v>
      </c>
      <c r="FT50" s="97">
        <v>10</v>
      </c>
      <c r="FU50" s="97">
        <v>10</v>
      </c>
      <c r="FV50" s="97">
        <v>10</v>
      </c>
      <c r="FW50" s="97">
        <v>15</v>
      </c>
      <c r="FX50" s="97">
        <v>15</v>
      </c>
      <c r="FY50" s="97">
        <v>10</v>
      </c>
      <c r="FZ50" s="83">
        <f t="shared" si="11"/>
        <v>100</v>
      </c>
      <c r="GA50" s="84">
        <v>1</v>
      </c>
      <c r="GB50" s="55">
        <v>1</v>
      </c>
      <c r="GC50" s="85">
        <v>0.5</v>
      </c>
      <c r="GD50" s="85">
        <v>0</v>
      </c>
      <c r="GE50" s="85">
        <v>1</v>
      </c>
      <c r="GF50" s="85">
        <v>0</v>
      </c>
      <c r="GG50" s="85">
        <v>0</v>
      </c>
      <c r="GH50" s="85">
        <v>0</v>
      </c>
      <c r="GI50" s="97">
        <v>0</v>
      </c>
      <c r="GJ50" s="97">
        <v>1</v>
      </c>
      <c r="GK50" s="97">
        <v>0</v>
      </c>
      <c r="GL50" s="97">
        <v>0</v>
      </c>
      <c r="GM50" s="97">
        <v>0</v>
      </c>
      <c r="GN50" s="97">
        <v>0</v>
      </c>
      <c r="GO50" s="97">
        <v>0</v>
      </c>
      <c r="GP50" s="97">
        <v>0</v>
      </c>
      <c r="GQ50" s="97">
        <v>0</v>
      </c>
      <c r="GR50" s="97">
        <v>0</v>
      </c>
      <c r="GS50" s="97">
        <v>1</v>
      </c>
      <c r="GT50" s="97">
        <v>0</v>
      </c>
      <c r="GU50" s="86">
        <f t="shared" si="12"/>
        <v>2</v>
      </c>
      <c r="GV50" s="87" t="s">
        <v>266</v>
      </c>
      <c r="GW50" s="87">
        <v>0</v>
      </c>
      <c r="GX50" s="88" t="s">
        <v>265</v>
      </c>
      <c r="GY50" s="55">
        <v>5</v>
      </c>
      <c r="GZ50" s="55">
        <v>5</v>
      </c>
      <c r="HA50" s="55">
        <v>3</v>
      </c>
      <c r="HB50" s="55">
        <v>1</v>
      </c>
      <c r="HC50" s="55">
        <v>5</v>
      </c>
      <c r="HD50" s="55">
        <v>5</v>
      </c>
      <c r="HE50" s="55"/>
      <c r="HF50" s="55"/>
      <c r="HG50" s="55">
        <v>2</v>
      </c>
      <c r="HH50" s="55">
        <v>7</v>
      </c>
      <c r="HI50" s="55">
        <v>7</v>
      </c>
      <c r="HJ50" s="55"/>
      <c r="HK50" s="55">
        <v>4</v>
      </c>
      <c r="HL50" s="55">
        <v>4</v>
      </c>
      <c r="HM50" s="55">
        <v>2</v>
      </c>
      <c r="HN50" s="55">
        <v>1</v>
      </c>
      <c r="HO50" s="55">
        <v>3</v>
      </c>
      <c r="HP50" s="55">
        <v>1</v>
      </c>
      <c r="HQ50" s="55">
        <v>2</v>
      </c>
      <c r="HR50" s="55">
        <v>1</v>
      </c>
      <c r="HS50" s="55">
        <v>1</v>
      </c>
      <c r="HT50" s="55">
        <v>2</v>
      </c>
      <c r="HU50" s="55">
        <v>4</v>
      </c>
      <c r="HV50" s="55">
        <v>1</v>
      </c>
      <c r="HW50" s="55">
        <v>1</v>
      </c>
      <c r="HX50" s="55">
        <v>1</v>
      </c>
      <c r="HY50" s="55">
        <v>5</v>
      </c>
      <c r="HZ50" s="55">
        <v>4</v>
      </c>
      <c r="IA50" s="55">
        <v>4</v>
      </c>
      <c r="IB50" s="55">
        <v>7</v>
      </c>
      <c r="IC50" s="55"/>
      <c r="ID50" s="55">
        <f t="shared" ref="ID50:IG50" si="174">SUM(GY50)</f>
        <v>5</v>
      </c>
      <c r="IE50" s="55">
        <f t="shared" si="174"/>
        <v>5</v>
      </c>
      <c r="IF50" s="55">
        <f t="shared" si="174"/>
        <v>3</v>
      </c>
      <c r="IG50" s="55">
        <f t="shared" si="174"/>
        <v>1</v>
      </c>
      <c r="IH50" s="55">
        <f t="shared" si="14"/>
        <v>10</v>
      </c>
      <c r="II50" s="55">
        <f t="shared" si="15"/>
        <v>2</v>
      </c>
      <c r="IJ50" s="55">
        <f t="shared" si="16"/>
        <v>14</v>
      </c>
      <c r="IK50" s="55">
        <f t="shared" ref="IK50:IQ50" si="175">SUM(HK50)</f>
        <v>4</v>
      </c>
      <c r="IL50" s="55">
        <f t="shared" si="175"/>
        <v>4</v>
      </c>
      <c r="IM50" s="55">
        <f t="shared" si="175"/>
        <v>2</v>
      </c>
      <c r="IN50" s="55">
        <f t="shared" si="175"/>
        <v>1</v>
      </c>
      <c r="IO50" s="55">
        <f t="shared" si="175"/>
        <v>3</v>
      </c>
      <c r="IP50" s="55">
        <f t="shared" si="175"/>
        <v>1</v>
      </c>
      <c r="IQ50" s="55">
        <f t="shared" si="175"/>
        <v>2</v>
      </c>
      <c r="IR50" s="55">
        <f t="shared" si="18"/>
        <v>2</v>
      </c>
      <c r="IS50" s="55">
        <f t="shared" ref="IS50:JB50" si="176">SUM(HT50)</f>
        <v>2</v>
      </c>
      <c r="IT50" s="55">
        <f t="shared" si="176"/>
        <v>4</v>
      </c>
      <c r="IU50" s="55">
        <f t="shared" si="176"/>
        <v>1</v>
      </c>
      <c r="IV50" s="55">
        <f t="shared" si="176"/>
        <v>1</v>
      </c>
      <c r="IW50" s="55">
        <f t="shared" si="176"/>
        <v>1</v>
      </c>
      <c r="IX50" s="55">
        <f t="shared" si="176"/>
        <v>5</v>
      </c>
      <c r="IY50" s="55">
        <f t="shared" si="176"/>
        <v>4</v>
      </c>
      <c r="IZ50" s="55">
        <f t="shared" si="176"/>
        <v>4</v>
      </c>
      <c r="JA50" s="55">
        <f t="shared" si="176"/>
        <v>7</v>
      </c>
      <c r="JB50" s="55">
        <f t="shared" si="176"/>
        <v>0</v>
      </c>
      <c r="JC50" s="89">
        <f t="shared" si="20"/>
        <v>87</v>
      </c>
      <c r="JD50" s="90">
        <v>1</v>
      </c>
      <c r="JE50" s="90"/>
      <c r="JF50" s="91">
        <v>35</v>
      </c>
      <c r="JG50" s="91">
        <v>2</v>
      </c>
      <c r="JH50" s="97">
        <v>2</v>
      </c>
      <c r="JI50" s="97">
        <v>2</v>
      </c>
      <c r="JJ50" s="97">
        <v>2</v>
      </c>
      <c r="JK50" s="97">
        <v>2</v>
      </c>
      <c r="JL50" s="97">
        <v>1</v>
      </c>
      <c r="JM50" s="97">
        <v>0</v>
      </c>
      <c r="JN50" s="97">
        <v>0</v>
      </c>
      <c r="JO50" s="97">
        <v>0</v>
      </c>
      <c r="JP50" s="89">
        <f t="shared" si="170"/>
        <v>9</v>
      </c>
      <c r="JQ50" s="97">
        <v>2</v>
      </c>
      <c r="JR50" s="97">
        <v>2</v>
      </c>
      <c r="JS50" s="97">
        <v>2</v>
      </c>
      <c r="JT50" s="97">
        <v>2</v>
      </c>
      <c r="JU50" s="97">
        <v>2</v>
      </c>
      <c r="JV50" s="97">
        <v>0</v>
      </c>
      <c r="JW50" s="97">
        <v>0</v>
      </c>
      <c r="JX50" s="92">
        <f t="shared" si="22"/>
        <v>10</v>
      </c>
      <c r="JY50" s="93">
        <f t="shared" si="23"/>
        <v>19</v>
      </c>
      <c r="JZ50" s="97">
        <v>3</v>
      </c>
      <c r="KA50" s="97">
        <v>2</v>
      </c>
      <c r="KB50" s="97">
        <v>0</v>
      </c>
      <c r="KC50" s="97">
        <v>0</v>
      </c>
      <c r="KD50" s="97">
        <v>0</v>
      </c>
      <c r="KE50" s="97">
        <v>0</v>
      </c>
      <c r="KF50" s="97">
        <v>0</v>
      </c>
      <c r="KG50" s="94">
        <f t="shared" si="24"/>
        <v>5</v>
      </c>
      <c r="KH50" s="95" t="s">
        <v>332</v>
      </c>
      <c r="KI50" s="97">
        <v>0</v>
      </c>
      <c r="KJ50" s="97">
        <v>2</v>
      </c>
      <c r="KK50" s="97">
        <v>3</v>
      </c>
      <c r="KL50" s="95" t="s">
        <v>330</v>
      </c>
      <c r="KM50" s="97">
        <v>0</v>
      </c>
      <c r="KN50" s="97">
        <v>2</v>
      </c>
      <c r="KO50" s="97">
        <v>0</v>
      </c>
      <c r="KP50" s="95" t="s">
        <v>320</v>
      </c>
      <c r="KQ50" s="97">
        <v>0</v>
      </c>
      <c r="KR50" s="97">
        <v>2</v>
      </c>
      <c r="KS50" s="97">
        <v>0</v>
      </c>
      <c r="KT50" s="95" t="s">
        <v>315</v>
      </c>
      <c r="KU50" s="97">
        <v>0</v>
      </c>
      <c r="KV50" s="97">
        <v>2</v>
      </c>
      <c r="KW50" s="97">
        <v>0</v>
      </c>
      <c r="KX50" s="95" t="s">
        <v>320</v>
      </c>
      <c r="KY50" s="97">
        <v>0</v>
      </c>
      <c r="KZ50" s="97">
        <v>2</v>
      </c>
      <c r="LA50" s="97">
        <v>3</v>
      </c>
      <c r="LB50" s="95" t="s">
        <v>332</v>
      </c>
      <c r="LC50" s="97">
        <v>0</v>
      </c>
      <c r="LD50" s="97">
        <v>2</v>
      </c>
      <c r="LE50" s="97">
        <v>3</v>
      </c>
      <c r="LF50" s="95" t="s">
        <v>330</v>
      </c>
      <c r="LG50" s="97">
        <v>0</v>
      </c>
      <c r="LH50" s="97">
        <v>2</v>
      </c>
      <c r="LI50" s="97">
        <v>3</v>
      </c>
      <c r="LJ50" s="95" t="s">
        <v>331</v>
      </c>
      <c r="LK50" s="97">
        <v>0</v>
      </c>
      <c r="LL50" s="97">
        <v>2</v>
      </c>
      <c r="LM50" s="97">
        <v>3</v>
      </c>
      <c r="LN50" s="96">
        <f t="shared" si="25"/>
        <v>31</v>
      </c>
      <c r="LO50" s="97">
        <f t="shared" si="26"/>
        <v>15</v>
      </c>
      <c r="LP50" s="97">
        <f t="shared" si="27"/>
        <v>55</v>
      </c>
    </row>
    <row r="51" spans="1:328" s="98" customFormat="1" ht="13.8">
      <c r="A51" s="55" t="s">
        <v>592</v>
      </c>
      <c r="B51" s="110">
        <v>45952</v>
      </c>
      <c r="C51" s="61">
        <v>5</v>
      </c>
      <c r="D51" s="62" t="s">
        <v>778</v>
      </c>
      <c r="E51" s="62"/>
      <c r="F51" s="61">
        <v>1</v>
      </c>
      <c r="G51" s="61">
        <v>0</v>
      </c>
      <c r="H51" s="61">
        <v>0</v>
      </c>
      <c r="I51" s="164">
        <v>0</v>
      </c>
      <c r="J51" s="164">
        <v>0</v>
      </c>
      <c r="K51" s="63">
        <v>8.1250000000000003E-2</v>
      </c>
      <c r="L51" s="63">
        <v>0</v>
      </c>
      <c r="M51" s="63">
        <v>0</v>
      </c>
      <c r="N51" s="64" t="s">
        <v>1040</v>
      </c>
      <c r="O51" s="101" t="s">
        <v>1025</v>
      </c>
      <c r="P51" s="134"/>
      <c r="Q51" s="95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39"/>
      <c r="AL51" s="115">
        <v>1</v>
      </c>
      <c r="AM51" s="115">
        <v>1</v>
      </c>
      <c r="AN51" s="115">
        <v>1</v>
      </c>
      <c r="AO51" s="115">
        <v>1</v>
      </c>
      <c r="AP51" s="115">
        <v>1</v>
      </c>
      <c r="AQ51" s="115">
        <v>1</v>
      </c>
      <c r="AR51" s="115">
        <v>1</v>
      </c>
      <c r="AS51" s="115">
        <v>1</v>
      </c>
      <c r="AT51" s="70">
        <f t="shared" si="0"/>
        <v>8</v>
      </c>
      <c r="AU51" s="71">
        <v>1</v>
      </c>
      <c r="AV51" s="71">
        <v>1</v>
      </c>
      <c r="AW51" s="71">
        <v>1</v>
      </c>
      <c r="AX51" s="71">
        <v>1</v>
      </c>
      <c r="AY51" s="70">
        <f t="shared" si="1"/>
        <v>4</v>
      </c>
      <c r="AZ51" s="69">
        <v>1</v>
      </c>
      <c r="BA51" s="69">
        <v>1</v>
      </c>
      <c r="BB51" s="69">
        <v>1</v>
      </c>
      <c r="BC51" s="69">
        <v>1</v>
      </c>
      <c r="BD51" s="69">
        <v>1</v>
      </c>
      <c r="BE51" s="69">
        <v>1</v>
      </c>
      <c r="BF51" s="69">
        <v>1</v>
      </c>
      <c r="BG51" s="69">
        <v>1</v>
      </c>
      <c r="BH51" s="70">
        <f t="shared" si="2"/>
        <v>8</v>
      </c>
      <c r="BI51" s="69">
        <v>1</v>
      </c>
      <c r="BJ51" s="69">
        <v>1</v>
      </c>
      <c r="BK51" s="70">
        <f t="shared" si="3"/>
        <v>2</v>
      </c>
      <c r="BL51" s="72">
        <v>1</v>
      </c>
      <c r="BM51" s="72">
        <v>0</v>
      </c>
      <c r="BN51" s="72">
        <v>0</v>
      </c>
      <c r="BO51" s="72">
        <v>0</v>
      </c>
      <c r="BP51" s="72">
        <v>1</v>
      </c>
      <c r="BQ51" s="72">
        <v>0</v>
      </c>
      <c r="BR51" s="72">
        <v>0</v>
      </c>
      <c r="BS51" s="72">
        <v>0</v>
      </c>
      <c r="BT51" s="70">
        <f t="shared" si="4"/>
        <v>1</v>
      </c>
      <c r="BU51" s="70">
        <f t="shared" si="5"/>
        <v>23</v>
      </c>
      <c r="BV51" s="73">
        <v>5</v>
      </c>
      <c r="BW51" s="73">
        <v>5</v>
      </c>
      <c r="BX51" s="73">
        <v>5</v>
      </c>
      <c r="BY51" s="73">
        <v>1</v>
      </c>
      <c r="BZ51" s="105">
        <v>5</v>
      </c>
      <c r="CA51" s="73">
        <v>3</v>
      </c>
      <c r="CB51" s="105">
        <v>5</v>
      </c>
      <c r="CC51" s="73">
        <v>5</v>
      </c>
      <c r="CD51" s="73">
        <v>2</v>
      </c>
      <c r="CE51" s="73">
        <v>3</v>
      </c>
      <c r="CF51" s="73">
        <v>3</v>
      </c>
      <c r="CG51" s="73">
        <v>5</v>
      </c>
      <c r="CH51" s="74">
        <v>5</v>
      </c>
      <c r="CI51" s="73">
        <v>5</v>
      </c>
      <c r="CJ51" s="73">
        <v>3</v>
      </c>
      <c r="CK51" s="75">
        <f t="shared" ref="CK51:CK52" si="177">SUM(BV40:CJ40)</f>
        <v>60</v>
      </c>
      <c r="CL51" s="76">
        <v>5</v>
      </c>
      <c r="CM51" s="76">
        <v>1</v>
      </c>
      <c r="CN51" s="76">
        <v>5</v>
      </c>
      <c r="CO51" s="76">
        <v>5</v>
      </c>
      <c r="CP51" s="76">
        <v>5</v>
      </c>
      <c r="CQ51" s="106">
        <v>5</v>
      </c>
      <c r="CR51" s="76">
        <v>1</v>
      </c>
      <c r="CS51" s="76">
        <v>5</v>
      </c>
      <c r="CT51" s="76">
        <v>5</v>
      </c>
      <c r="CU51" s="76">
        <v>5</v>
      </c>
      <c r="CV51" s="76">
        <v>5</v>
      </c>
      <c r="CW51" s="76">
        <v>1</v>
      </c>
      <c r="CX51" s="76">
        <v>1</v>
      </c>
      <c r="CY51" s="76">
        <v>4</v>
      </c>
      <c r="CZ51" s="76">
        <v>5</v>
      </c>
      <c r="DA51" s="76">
        <v>5</v>
      </c>
      <c r="DB51" s="76">
        <v>5</v>
      </c>
      <c r="DC51" s="76">
        <v>4</v>
      </c>
      <c r="DD51" s="76">
        <v>5</v>
      </c>
      <c r="DE51" s="76">
        <v>5</v>
      </c>
      <c r="DF51" s="76">
        <v>5</v>
      </c>
      <c r="DG51" s="76">
        <v>5</v>
      </c>
      <c r="DH51" s="76">
        <v>5</v>
      </c>
      <c r="DI51" s="76">
        <v>5</v>
      </c>
      <c r="DJ51" s="76">
        <v>1</v>
      </c>
      <c r="DK51" s="76">
        <v>5</v>
      </c>
      <c r="DL51" s="76">
        <v>3</v>
      </c>
      <c r="DM51" s="76">
        <v>1</v>
      </c>
      <c r="DN51" s="76">
        <f t="shared" si="7"/>
        <v>112</v>
      </c>
      <c r="DO51" s="135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77">
        <f t="shared" si="124"/>
        <v>0</v>
      </c>
      <c r="EF51" s="77" t="s">
        <v>265</v>
      </c>
      <c r="EG51" s="78">
        <f t="shared" si="8"/>
        <v>0</v>
      </c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79">
        <f t="shared" si="9"/>
        <v>0</v>
      </c>
      <c r="FE51" s="80">
        <v>1</v>
      </c>
      <c r="FF51" s="39"/>
      <c r="FG51" s="39"/>
      <c r="FH51" s="39"/>
      <c r="FI51" s="39"/>
      <c r="FJ51" s="39"/>
      <c r="FK51" s="39"/>
      <c r="FL51" s="39"/>
      <c r="FM51" s="39"/>
      <c r="FN51" s="81">
        <f t="shared" si="10"/>
        <v>0</v>
      </c>
      <c r="FO51" s="155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83">
        <f t="shared" si="11"/>
        <v>0</v>
      </c>
      <c r="GA51" s="84"/>
      <c r="GB51" s="39"/>
      <c r="GC51" s="156"/>
      <c r="GD51" s="156"/>
      <c r="GE51" s="156"/>
      <c r="GF51" s="156"/>
      <c r="GG51" s="156"/>
      <c r="GH51" s="156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86">
        <f t="shared" si="12"/>
        <v>0</v>
      </c>
      <c r="GV51" s="87" t="s">
        <v>301</v>
      </c>
      <c r="GW51" s="87">
        <v>0</v>
      </c>
      <c r="GX51" s="88" t="s">
        <v>267</v>
      </c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55">
        <f t="shared" ref="ID51:IG51" si="178">SUM(GY51)</f>
        <v>0</v>
      </c>
      <c r="IE51" s="55">
        <f t="shared" si="178"/>
        <v>0</v>
      </c>
      <c r="IF51" s="55">
        <f t="shared" si="178"/>
        <v>0</v>
      </c>
      <c r="IG51" s="55">
        <f t="shared" si="178"/>
        <v>0</v>
      </c>
      <c r="IH51" s="55">
        <f t="shared" si="14"/>
        <v>0</v>
      </c>
      <c r="II51" s="55">
        <f t="shared" si="15"/>
        <v>0</v>
      </c>
      <c r="IJ51" s="55">
        <f t="shared" si="16"/>
        <v>0</v>
      </c>
      <c r="IK51" s="55">
        <f t="shared" ref="IK51:IQ51" si="179">SUM(HK51)</f>
        <v>0</v>
      </c>
      <c r="IL51" s="55">
        <f t="shared" si="179"/>
        <v>0</v>
      </c>
      <c r="IM51" s="55">
        <f t="shared" si="179"/>
        <v>0</v>
      </c>
      <c r="IN51" s="55">
        <f t="shared" si="179"/>
        <v>0</v>
      </c>
      <c r="IO51" s="55">
        <f t="shared" si="179"/>
        <v>0</v>
      </c>
      <c r="IP51" s="55">
        <f t="shared" si="179"/>
        <v>0</v>
      </c>
      <c r="IQ51" s="55">
        <f t="shared" si="179"/>
        <v>0</v>
      </c>
      <c r="IR51" s="55">
        <f t="shared" si="18"/>
        <v>0</v>
      </c>
      <c r="IS51" s="55">
        <f t="shared" ref="IS51:JB51" si="180">SUM(HT51)</f>
        <v>0</v>
      </c>
      <c r="IT51" s="55">
        <f t="shared" si="180"/>
        <v>0</v>
      </c>
      <c r="IU51" s="55">
        <f t="shared" si="180"/>
        <v>0</v>
      </c>
      <c r="IV51" s="55">
        <f t="shared" si="180"/>
        <v>0</v>
      </c>
      <c r="IW51" s="55">
        <f t="shared" si="180"/>
        <v>0</v>
      </c>
      <c r="IX51" s="55">
        <f t="shared" si="180"/>
        <v>0</v>
      </c>
      <c r="IY51" s="55">
        <f t="shared" si="180"/>
        <v>0</v>
      </c>
      <c r="IZ51" s="55">
        <f t="shared" si="180"/>
        <v>0</v>
      </c>
      <c r="JA51" s="55">
        <f t="shared" si="180"/>
        <v>0</v>
      </c>
      <c r="JB51" s="55">
        <f t="shared" si="180"/>
        <v>0</v>
      </c>
      <c r="JC51" s="89">
        <f t="shared" si="20"/>
        <v>0</v>
      </c>
      <c r="JD51" s="137"/>
      <c r="JE51" s="137"/>
      <c r="JF51" s="138"/>
      <c r="JG51" s="138"/>
      <c r="JH51" s="39"/>
      <c r="JI51" s="39"/>
      <c r="JJ51" s="39"/>
      <c r="JK51" s="39"/>
      <c r="JL51" s="39"/>
      <c r="JM51" s="39"/>
      <c r="JN51" s="39"/>
      <c r="JO51" s="39"/>
      <c r="JP51" s="89">
        <f t="shared" si="170"/>
        <v>0</v>
      </c>
      <c r="JQ51" s="39"/>
      <c r="JR51" s="39"/>
      <c r="JS51" s="39"/>
      <c r="JT51" s="39"/>
      <c r="JU51" s="39"/>
      <c r="JV51" s="39"/>
      <c r="JW51" s="39"/>
      <c r="JX51" s="92">
        <f t="shared" si="22"/>
        <v>0</v>
      </c>
      <c r="JY51" s="93">
        <f t="shared" si="23"/>
        <v>0</v>
      </c>
      <c r="JZ51" s="39"/>
      <c r="KA51" s="39"/>
      <c r="KB51" s="39"/>
      <c r="KC51" s="39"/>
      <c r="KD51" s="39"/>
      <c r="KE51" s="39"/>
      <c r="KF51" s="39"/>
      <c r="KG51" s="94">
        <f t="shared" si="24"/>
        <v>0</v>
      </c>
      <c r="KH51" s="134"/>
      <c r="KI51" s="39"/>
      <c r="KJ51" s="39"/>
      <c r="KK51" s="39"/>
      <c r="KL51" s="134"/>
      <c r="KM51" s="39"/>
      <c r="KN51" s="39"/>
      <c r="KO51" s="39"/>
      <c r="KP51" s="134"/>
      <c r="KQ51" s="39"/>
      <c r="KR51" s="39"/>
      <c r="KS51" s="39"/>
      <c r="KT51" s="134"/>
      <c r="KU51" s="39"/>
      <c r="KV51" s="39"/>
      <c r="KW51" s="39"/>
      <c r="KX51" s="134"/>
      <c r="KY51" s="39"/>
      <c r="KZ51" s="39"/>
      <c r="LA51" s="39"/>
      <c r="LB51" s="134"/>
      <c r="LC51" s="39"/>
      <c r="LD51" s="39"/>
      <c r="LE51" s="39"/>
      <c r="LF51" s="134"/>
      <c r="LG51" s="39"/>
      <c r="LH51" s="39"/>
      <c r="LI51" s="39"/>
      <c r="LJ51" s="134"/>
      <c r="LK51" s="39"/>
      <c r="LL51" s="39"/>
      <c r="LM51" s="39"/>
      <c r="LN51" s="96">
        <f t="shared" si="25"/>
        <v>0</v>
      </c>
      <c r="LO51" s="97">
        <f t="shared" si="26"/>
        <v>0</v>
      </c>
      <c r="LP51" s="97">
        <f t="shared" si="27"/>
        <v>0</v>
      </c>
    </row>
    <row r="52" spans="1:328" s="98" customFormat="1" ht="13.8">
      <c r="A52" s="55" t="s">
        <v>634</v>
      </c>
      <c r="B52" s="40"/>
      <c r="C52" s="40">
        <v>61</v>
      </c>
      <c r="D52" s="62" t="s">
        <v>763</v>
      </c>
      <c r="E52" s="62"/>
      <c r="F52" s="61">
        <v>1</v>
      </c>
      <c r="G52" s="61">
        <v>1</v>
      </c>
      <c r="H52" s="61">
        <v>1</v>
      </c>
      <c r="I52" s="164">
        <v>8</v>
      </c>
      <c r="J52" s="164">
        <v>8</v>
      </c>
      <c r="K52" s="63">
        <v>8.819444444444445E-2</v>
      </c>
      <c r="L52" s="63">
        <v>0.12569444444444444</v>
      </c>
      <c r="M52" s="63">
        <v>0.12569444444444444</v>
      </c>
      <c r="N52" s="64" t="s">
        <v>1041</v>
      </c>
      <c r="O52" s="101" t="s">
        <v>1026</v>
      </c>
      <c r="P52" s="66" t="s">
        <v>728</v>
      </c>
      <c r="Q52" s="66">
        <v>1</v>
      </c>
      <c r="R52" s="141">
        <v>18977</v>
      </c>
      <c r="S52" s="140">
        <v>73</v>
      </c>
      <c r="T52" s="140" t="s">
        <v>259</v>
      </c>
      <c r="U52" s="140" t="s">
        <v>298</v>
      </c>
      <c r="V52" s="140">
        <v>995872073</v>
      </c>
      <c r="W52" s="140" t="s">
        <v>595</v>
      </c>
      <c r="X52" s="140" t="s">
        <v>596</v>
      </c>
      <c r="Y52" s="140" t="s">
        <v>277</v>
      </c>
      <c r="Z52" s="140" t="s">
        <v>262</v>
      </c>
      <c r="AA52" s="140" t="s">
        <v>428</v>
      </c>
      <c r="AB52" s="140" t="s">
        <v>279</v>
      </c>
      <c r="AC52" s="140" t="s">
        <v>597</v>
      </c>
      <c r="AD52" s="140" t="s">
        <v>597</v>
      </c>
      <c r="AE52" s="140" t="s">
        <v>597</v>
      </c>
      <c r="AF52" s="140" t="s">
        <v>597</v>
      </c>
      <c r="AG52" s="140" t="s">
        <v>649</v>
      </c>
      <c r="AH52" s="140" t="s">
        <v>597</v>
      </c>
      <c r="AI52" s="140" t="s">
        <v>597</v>
      </c>
      <c r="AJ52" s="141">
        <v>45658</v>
      </c>
      <c r="AK52" s="144" t="s">
        <v>610</v>
      </c>
      <c r="AL52" s="71">
        <v>1</v>
      </c>
      <c r="AM52" s="71">
        <v>1</v>
      </c>
      <c r="AN52" s="71">
        <v>1</v>
      </c>
      <c r="AO52" s="71">
        <v>1</v>
      </c>
      <c r="AP52" s="71">
        <v>0</v>
      </c>
      <c r="AQ52" s="71">
        <v>0</v>
      </c>
      <c r="AR52" s="71">
        <v>0</v>
      </c>
      <c r="AS52" s="71">
        <v>0</v>
      </c>
      <c r="AT52" s="70">
        <f t="shared" si="0"/>
        <v>4</v>
      </c>
      <c r="AU52" s="71">
        <v>0</v>
      </c>
      <c r="AV52" s="71">
        <v>0</v>
      </c>
      <c r="AW52" s="71">
        <v>0</v>
      </c>
      <c r="AX52" s="71">
        <v>0</v>
      </c>
      <c r="AY52" s="70">
        <f t="shared" si="1"/>
        <v>0</v>
      </c>
      <c r="AZ52" s="71">
        <v>0</v>
      </c>
      <c r="BA52" s="71">
        <v>0</v>
      </c>
      <c r="BB52" s="71">
        <v>0</v>
      </c>
      <c r="BC52" s="71">
        <v>0</v>
      </c>
      <c r="BD52" s="71">
        <v>0</v>
      </c>
      <c r="BE52" s="71">
        <v>0</v>
      </c>
      <c r="BF52" s="71">
        <v>0</v>
      </c>
      <c r="BG52" s="71">
        <v>0</v>
      </c>
      <c r="BH52" s="70">
        <f t="shared" si="2"/>
        <v>0</v>
      </c>
      <c r="BI52" s="69">
        <v>1</v>
      </c>
      <c r="BJ52" s="69">
        <v>1</v>
      </c>
      <c r="BK52" s="70">
        <f t="shared" si="3"/>
        <v>2</v>
      </c>
      <c r="BL52" s="72">
        <v>1</v>
      </c>
      <c r="BM52" s="72">
        <v>0</v>
      </c>
      <c r="BN52" s="72">
        <v>0</v>
      </c>
      <c r="BO52" s="72">
        <v>0</v>
      </c>
      <c r="BP52" s="72">
        <v>1</v>
      </c>
      <c r="BQ52" s="72">
        <v>0</v>
      </c>
      <c r="BR52" s="72">
        <v>0</v>
      </c>
      <c r="BS52" s="72">
        <v>0</v>
      </c>
      <c r="BT52" s="70">
        <f t="shared" si="4"/>
        <v>1</v>
      </c>
      <c r="BU52" s="70">
        <f t="shared" si="5"/>
        <v>7</v>
      </c>
      <c r="BV52" s="105">
        <v>5</v>
      </c>
      <c r="BW52" s="105">
        <v>5</v>
      </c>
      <c r="BX52" s="73">
        <v>5</v>
      </c>
      <c r="BY52" s="105">
        <v>1</v>
      </c>
      <c r="BZ52" s="105">
        <v>5</v>
      </c>
      <c r="CA52" s="73">
        <v>3</v>
      </c>
      <c r="CB52" s="105">
        <v>5</v>
      </c>
      <c r="CC52" s="105">
        <v>5</v>
      </c>
      <c r="CD52" s="105">
        <v>2</v>
      </c>
      <c r="CE52" s="105">
        <v>3</v>
      </c>
      <c r="CF52" s="105">
        <v>3</v>
      </c>
      <c r="CG52" s="105">
        <v>5</v>
      </c>
      <c r="CH52" s="74">
        <v>5</v>
      </c>
      <c r="CI52" s="105">
        <v>5</v>
      </c>
      <c r="CJ52" s="73">
        <v>3</v>
      </c>
      <c r="CK52" s="75">
        <f t="shared" si="177"/>
        <v>60</v>
      </c>
      <c r="CL52" s="76">
        <v>5</v>
      </c>
      <c r="CM52" s="76">
        <v>1</v>
      </c>
      <c r="CN52" s="106">
        <v>5</v>
      </c>
      <c r="CO52" s="76">
        <v>5</v>
      </c>
      <c r="CP52" s="76">
        <v>5</v>
      </c>
      <c r="CQ52" s="106">
        <v>5</v>
      </c>
      <c r="CR52" s="76">
        <v>1</v>
      </c>
      <c r="CS52" s="76">
        <v>5</v>
      </c>
      <c r="CT52" s="76">
        <v>5</v>
      </c>
      <c r="CU52" s="76">
        <v>5</v>
      </c>
      <c r="CV52" s="76">
        <v>5</v>
      </c>
      <c r="CW52" s="76">
        <v>1</v>
      </c>
      <c r="CX52" s="76">
        <v>1</v>
      </c>
      <c r="CY52" s="76">
        <v>4</v>
      </c>
      <c r="CZ52" s="76">
        <v>5</v>
      </c>
      <c r="DA52" s="76">
        <v>5</v>
      </c>
      <c r="DB52" s="76">
        <v>5</v>
      </c>
      <c r="DC52" s="76">
        <v>4</v>
      </c>
      <c r="DD52" s="76">
        <v>5</v>
      </c>
      <c r="DE52" s="76">
        <v>5</v>
      </c>
      <c r="DF52" s="76">
        <v>5</v>
      </c>
      <c r="DG52" s="76">
        <v>5</v>
      </c>
      <c r="DH52" s="76">
        <v>5</v>
      </c>
      <c r="DI52" s="76">
        <v>5</v>
      </c>
      <c r="DJ52" s="76">
        <v>1</v>
      </c>
      <c r="DK52" s="76">
        <v>5</v>
      </c>
      <c r="DL52" s="76">
        <v>3</v>
      </c>
      <c r="DM52" s="76">
        <v>1</v>
      </c>
      <c r="DN52" s="76">
        <f t="shared" si="7"/>
        <v>112</v>
      </c>
      <c r="DO52" s="106">
        <v>28</v>
      </c>
      <c r="DP52" s="40">
        <v>0</v>
      </c>
      <c r="DQ52" s="40">
        <v>0</v>
      </c>
      <c r="DR52" s="40">
        <v>0</v>
      </c>
      <c r="DS52" s="40">
        <v>0</v>
      </c>
      <c r="DT52" s="40">
        <v>0</v>
      </c>
      <c r="DU52" s="40">
        <v>0</v>
      </c>
      <c r="DV52" s="40">
        <v>0</v>
      </c>
      <c r="DW52" s="40">
        <v>0</v>
      </c>
      <c r="DX52" s="40">
        <v>0</v>
      </c>
      <c r="DY52" s="40">
        <v>0</v>
      </c>
      <c r="DZ52" s="40">
        <v>0</v>
      </c>
      <c r="EA52" s="40">
        <v>0</v>
      </c>
      <c r="EB52" s="40">
        <v>0</v>
      </c>
      <c r="EC52" s="40">
        <v>0</v>
      </c>
      <c r="ED52" s="40">
        <v>0</v>
      </c>
      <c r="EE52" s="77">
        <f t="shared" si="124"/>
        <v>0</v>
      </c>
      <c r="EF52" s="77" t="s">
        <v>265</v>
      </c>
      <c r="EG52" s="78">
        <f t="shared" si="8"/>
        <v>0</v>
      </c>
      <c r="EH52" s="55">
        <v>0</v>
      </c>
      <c r="EI52" s="55">
        <v>0</v>
      </c>
      <c r="EJ52" s="55">
        <v>0.5</v>
      </c>
      <c r="EK52" s="55">
        <v>0</v>
      </c>
      <c r="EL52" s="55">
        <v>0</v>
      </c>
      <c r="EM52" s="55">
        <v>0</v>
      </c>
      <c r="EN52" s="55">
        <v>0</v>
      </c>
      <c r="EO52" s="55">
        <v>0.5</v>
      </c>
      <c r="EP52" s="55">
        <v>0</v>
      </c>
      <c r="EQ52" s="55">
        <v>0</v>
      </c>
      <c r="ER52" s="55">
        <v>0</v>
      </c>
      <c r="ES52" s="55">
        <v>0</v>
      </c>
      <c r="ET52" s="55">
        <v>0</v>
      </c>
      <c r="EU52" s="55">
        <v>0</v>
      </c>
      <c r="EV52" s="55">
        <v>0</v>
      </c>
      <c r="EW52" s="55">
        <v>0</v>
      </c>
      <c r="EX52" s="55">
        <v>0</v>
      </c>
      <c r="EY52" s="55">
        <v>0</v>
      </c>
      <c r="EZ52" s="55">
        <v>0</v>
      </c>
      <c r="FA52" s="55">
        <v>0</v>
      </c>
      <c r="FB52" s="55">
        <v>0</v>
      </c>
      <c r="FC52" s="55">
        <v>0</v>
      </c>
      <c r="FD52" s="79">
        <f t="shared" si="9"/>
        <v>1</v>
      </c>
      <c r="FE52" s="80">
        <v>1</v>
      </c>
      <c r="FF52" s="55">
        <v>1</v>
      </c>
      <c r="FG52" s="55">
        <v>1</v>
      </c>
      <c r="FH52" s="55">
        <v>1</v>
      </c>
      <c r="FI52" s="55">
        <v>1</v>
      </c>
      <c r="FJ52" s="55">
        <v>1</v>
      </c>
      <c r="FK52" s="55">
        <v>1</v>
      </c>
      <c r="FL52" s="55">
        <v>1</v>
      </c>
      <c r="FM52" s="55">
        <v>1</v>
      </c>
      <c r="FN52" s="81">
        <f t="shared" si="10"/>
        <v>8</v>
      </c>
      <c r="FO52" s="82">
        <v>1</v>
      </c>
      <c r="FP52" s="55">
        <v>10</v>
      </c>
      <c r="FQ52" s="55">
        <v>5</v>
      </c>
      <c r="FR52" s="55">
        <v>10</v>
      </c>
      <c r="FS52" s="55">
        <v>5</v>
      </c>
      <c r="FT52" s="55">
        <v>10</v>
      </c>
      <c r="FU52" s="55">
        <v>10</v>
      </c>
      <c r="FV52" s="55">
        <v>10</v>
      </c>
      <c r="FW52" s="55">
        <v>15</v>
      </c>
      <c r="FX52" s="55">
        <v>15</v>
      </c>
      <c r="FY52" s="55">
        <v>10</v>
      </c>
      <c r="FZ52" s="83">
        <f t="shared" si="11"/>
        <v>100</v>
      </c>
      <c r="GA52" s="84">
        <v>1</v>
      </c>
      <c r="GB52" s="55">
        <v>2</v>
      </c>
      <c r="GC52" s="85">
        <v>1</v>
      </c>
      <c r="GD52" s="85">
        <v>2</v>
      </c>
      <c r="GE52" s="85">
        <v>1</v>
      </c>
      <c r="GF52" s="85">
        <v>0</v>
      </c>
      <c r="GG52" s="85">
        <v>0</v>
      </c>
      <c r="GH52" s="85">
        <v>0</v>
      </c>
      <c r="GI52" s="55">
        <v>0</v>
      </c>
      <c r="GJ52" s="55">
        <v>0</v>
      </c>
      <c r="GK52" s="55">
        <v>0</v>
      </c>
      <c r="GL52" s="55">
        <v>0</v>
      </c>
      <c r="GM52" s="55">
        <v>0</v>
      </c>
      <c r="GN52" s="55">
        <v>0</v>
      </c>
      <c r="GO52" s="55">
        <v>0</v>
      </c>
      <c r="GP52" s="55">
        <v>0</v>
      </c>
      <c r="GQ52" s="55">
        <v>0</v>
      </c>
      <c r="GR52" s="55">
        <v>0</v>
      </c>
      <c r="GS52" s="55">
        <v>0</v>
      </c>
      <c r="GT52" s="55">
        <v>1</v>
      </c>
      <c r="GU52" s="86">
        <f t="shared" si="12"/>
        <v>1</v>
      </c>
      <c r="GV52" s="87" t="s">
        <v>266</v>
      </c>
      <c r="GW52" s="87">
        <v>0</v>
      </c>
      <c r="GX52" s="88" t="s">
        <v>267</v>
      </c>
      <c r="GY52" s="55">
        <v>0</v>
      </c>
      <c r="GZ52" s="55">
        <v>0</v>
      </c>
      <c r="HA52" s="55">
        <v>3</v>
      </c>
      <c r="HB52" s="55">
        <v>1</v>
      </c>
      <c r="HC52" s="55">
        <v>5</v>
      </c>
      <c r="HD52" s="55">
        <v>5</v>
      </c>
      <c r="HE52" s="55"/>
      <c r="HF52" s="55"/>
      <c r="HG52" s="55">
        <v>0</v>
      </c>
      <c r="HH52" s="55">
        <v>7</v>
      </c>
      <c r="HI52" s="55">
        <v>7</v>
      </c>
      <c r="HJ52" s="55"/>
      <c r="HK52" s="55">
        <v>4</v>
      </c>
      <c r="HL52" s="55">
        <v>4</v>
      </c>
      <c r="HM52" s="55">
        <v>2</v>
      </c>
      <c r="HN52" s="55">
        <v>1</v>
      </c>
      <c r="HO52" s="55">
        <v>3</v>
      </c>
      <c r="HP52" s="55">
        <v>1</v>
      </c>
      <c r="HQ52" s="55">
        <v>2</v>
      </c>
      <c r="HR52" s="55">
        <v>1</v>
      </c>
      <c r="HS52" s="55">
        <v>1</v>
      </c>
      <c r="HT52" s="55">
        <v>2</v>
      </c>
      <c r="HU52" s="55">
        <v>4</v>
      </c>
      <c r="HV52" s="55">
        <v>1</v>
      </c>
      <c r="HW52" s="55">
        <v>1</v>
      </c>
      <c r="HX52" s="55">
        <v>2</v>
      </c>
      <c r="HY52" s="55">
        <v>5</v>
      </c>
      <c r="HZ52" s="55">
        <v>4</v>
      </c>
      <c r="IA52" s="55">
        <v>4</v>
      </c>
      <c r="IB52" s="55">
        <v>7</v>
      </c>
      <c r="IC52" s="55"/>
      <c r="ID52" s="55">
        <f t="shared" ref="ID52:IG52" si="181">SUM(GY52)</f>
        <v>0</v>
      </c>
      <c r="IE52" s="55">
        <f t="shared" si="181"/>
        <v>0</v>
      </c>
      <c r="IF52" s="55">
        <f t="shared" si="181"/>
        <v>3</v>
      </c>
      <c r="IG52" s="55">
        <f t="shared" si="181"/>
        <v>1</v>
      </c>
      <c r="IH52" s="55">
        <f t="shared" si="14"/>
        <v>10</v>
      </c>
      <c r="II52" s="55">
        <f t="shared" si="15"/>
        <v>0</v>
      </c>
      <c r="IJ52" s="55">
        <f t="shared" si="16"/>
        <v>14</v>
      </c>
      <c r="IK52" s="55">
        <f t="shared" ref="IK52:IQ52" si="182">SUM(HK52)</f>
        <v>4</v>
      </c>
      <c r="IL52" s="55">
        <f t="shared" si="182"/>
        <v>4</v>
      </c>
      <c r="IM52" s="55">
        <f t="shared" si="182"/>
        <v>2</v>
      </c>
      <c r="IN52" s="55">
        <f t="shared" si="182"/>
        <v>1</v>
      </c>
      <c r="IO52" s="55">
        <f t="shared" si="182"/>
        <v>3</v>
      </c>
      <c r="IP52" s="55">
        <f t="shared" si="182"/>
        <v>1</v>
      </c>
      <c r="IQ52" s="55">
        <f t="shared" si="182"/>
        <v>2</v>
      </c>
      <c r="IR52" s="55">
        <f t="shared" si="18"/>
        <v>2</v>
      </c>
      <c r="IS52" s="55">
        <f t="shared" ref="IS52:JB52" si="183">SUM(HT52)</f>
        <v>2</v>
      </c>
      <c r="IT52" s="55">
        <f t="shared" si="183"/>
        <v>4</v>
      </c>
      <c r="IU52" s="55">
        <f t="shared" si="183"/>
        <v>1</v>
      </c>
      <c r="IV52" s="55">
        <f t="shared" si="183"/>
        <v>1</v>
      </c>
      <c r="IW52" s="55">
        <f t="shared" si="183"/>
        <v>2</v>
      </c>
      <c r="IX52" s="55">
        <f t="shared" si="183"/>
        <v>5</v>
      </c>
      <c r="IY52" s="55">
        <f t="shared" si="183"/>
        <v>4</v>
      </c>
      <c r="IZ52" s="55">
        <f t="shared" si="183"/>
        <v>4</v>
      </c>
      <c r="JA52" s="55">
        <f t="shared" si="183"/>
        <v>7</v>
      </c>
      <c r="JB52" s="55">
        <f t="shared" si="183"/>
        <v>0</v>
      </c>
      <c r="JC52" s="89">
        <f t="shared" si="20"/>
        <v>76</v>
      </c>
      <c r="JD52" s="90">
        <v>2</v>
      </c>
      <c r="JE52" s="90"/>
      <c r="JF52" s="91">
        <v>87</v>
      </c>
      <c r="JG52" s="91">
        <v>2</v>
      </c>
      <c r="JH52" s="55">
        <v>2</v>
      </c>
      <c r="JI52" s="55">
        <v>2</v>
      </c>
      <c r="JJ52" s="55">
        <v>2</v>
      </c>
      <c r="JK52" s="55">
        <v>2</v>
      </c>
      <c r="JL52" s="55">
        <v>2</v>
      </c>
      <c r="JM52" s="55">
        <v>2</v>
      </c>
      <c r="JN52" s="55">
        <v>0</v>
      </c>
      <c r="JO52" s="55">
        <v>0</v>
      </c>
      <c r="JP52" s="89">
        <f t="shared" si="170"/>
        <v>12</v>
      </c>
      <c r="JQ52" s="55">
        <v>2</v>
      </c>
      <c r="JR52" s="55">
        <v>2</v>
      </c>
      <c r="JS52" s="55">
        <v>2</v>
      </c>
      <c r="JT52" s="55">
        <v>0</v>
      </c>
      <c r="JU52" s="55">
        <v>0</v>
      </c>
      <c r="JV52" s="55">
        <v>0</v>
      </c>
      <c r="JW52" s="55">
        <v>0</v>
      </c>
      <c r="JX52" s="92">
        <f t="shared" si="22"/>
        <v>6</v>
      </c>
      <c r="JY52" s="93">
        <f t="shared" si="23"/>
        <v>18</v>
      </c>
      <c r="JZ52" s="55">
        <v>3</v>
      </c>
      <c r="KA52" s="55">
        <v>3</v>
      </c>
      <c r="KB52" s="55">
        <v>2</v>
      </c>
      <c r="KC52" s="55">
        <v>2</v>
      </c>
      <c r="KD52" s="55">
        <v>0</v>
      </c>
      <c r="KE52" s="55">
        <v>0</v>
      </c>
      <c r="KF52" s="55">
        <v>0</v>
      </c>
      <c r="KG52" s="94">
        <f t="shared" si="24"/>
        <v>10</v>
      </c>
      <c r="KH52" s="95" t="s">
        <v>330</v>
      </c>
      <c r="KI52" s="55">
        <v>0</v>
      </c>
      <c r="KJ52" s="55">
        <v>2</v>
      </c>
      <c r="KK52" s="55">
        <v>0</v>
      </c>
      <c r="KL52" s="95" t="s">
        <v>327</v>
      </c>
      <c r="KM52" s="55">
        <v>0</v>
      </c>
      <c r="KN52" s="55">
        <v>2</v>
      </c>
      <c r="KO52" s="55">
        <v>0</v>
      </c>
      <c r="KP52" s="95" t="s">
        <v>491</v>
      </c>
      <c r="KQ52" s="55">
        <v>0</v>
      </c>
      <c r="KR52" s="55">
        <v>2</v>
      </c>
      <c r="KS52" s="55">
        <v>1</v>
      </c>
      <c r="KT52" s="95" t="s">
        <v>320</v>
      </c>
      <c r="KU52" s="55">
        <v>0</v>
      </c>
      <c r="KV52" s="55">
        <v>2</v>
      </c>
      <c r="KW52" s="55">
        <v>1</v>
      </c>
      <c r="KX52" s="95" t="s">
        <v>320</v>
      </c>
      <c r="KY52" s="55">
        <v>0</v>
      </c>
      <c r="KZ52" s="55">
        <v>2</v>
      </c>
      <c r="LA52" s="55">
        <v>3</v>
      </c>
      <c r="LB52" s="95" t="s">
        <v>332</v>
      </c>
      <c r="LC52" s="55">
        <v>0</v>
      </c>
      <c r="LD52" s="55">
        <v>2</v>
      </c>
      <c r="LE52" s="55">
        <v>3</v>
      </c>
      <c r="LF52" s="95" t="s">
        <v>331</v>
      </c>
      <c r="LG52" s="55">
        <v>0</v>
      </c>
      <c r="LH52" s="55">
        <v>2</v>
      </c>
      <c r="LI52" s="55">
        <v>3</v>
      </c>
      <c r="LJ52" s="95" t="s">
        <v>331</v>
      </c>
      <c r="LK52" s="55">
        <v>1</v>
      </c>
      <c r="LL52" s="55">
        <v>1</v>
      </c>
      <c r="LM52" s="55">
        <v>3</v>
      </c>
      <c r="LN52" s="96">
        <f t="shared" si="25"/>
        <v>29</v>
      </c>
      <c r="LO52" s="97">
        <f t="shared" si="26"/>
        <v>14</v>
      </c>
      <c r="LP52" s="97">
        <f t="shared" si="27"/>
        <v>57</v>
      </c>
    </row>
    <row r="53" spans="1:328" s="98" customFormat="1" ht="13.8">
      <c r="A53" s="55" t="s">
        <v>634</v>
      </c>
      <c r="B53" s="110">
        <v>45967</v>
      </c>
      <c r="C53" s="61">
        <v>39</v>
      </c>
      <c r="D53" s="62"/>
      <c r="E53" s="62" t="s">
        <v>815</v>
      </c>
      <c r="F53" s="61">
        <v>1</v>
      </c>
      <c r="G53" s="61">
        <v>1</v>
      </c>
      <c r="H53" s="61">
        <v>1</v>
      </c>
      <c r="I53" s="164">
        <v>6</v>
      </c>
      <c r="J53" s="164">
        <v>4</v>
      </c>
      <c r="K53" s="63">
        <v>9.0277777777777776E-2</v>
      </c>
      <c r="L53" s="63">
        <v>8.5416666666666669E-2</v>
      </c>
      <c r="M53" s="63">
        <v>5.2777777777777778E-2</v>
      </c>
      <c r="N53" s="64" t="s">
        <v>1040</v>
      </c>
      <c r="O53" s="101" t="s">
        <v>1027</v>
      </c>
      <c r="P53" s="95" t="s">
        <v>685</v>
      </c>
      <c r="Q53" s="95">
        <v>1</v>
      </c>
      <c r="R53" s="125">
        <v>55180</v>
      </c>
      <c r="S53" s="95">
        <v>75</v>
      </c>
      <c r="T53" s="95" t="s">
        <v>259</v>
      </c>
      <c r="U53" s="95" t="s">
        <v>287</v>
      </c>
      <c r="V53" s="130" t="s">
        <v>686</v>
      </c>
      <c r="W53" s="95" t="s">
        <v>595</v>
      </c>
      <c r="X53" s="95" t="s">
        <v>596</v>
      </c>
      <c r="Y53" s="95" t="s">
        <v>311</v>
      </c>
      <c r="Z53" s="95" t="s">
        <v>262</v>
      </c>
      <c r="AA53" s="95" t="s">
        <v>492</v>
      </c>
      <c r="AB53" s="95" t="s">
        <v>264</v>
      </c>
      <c r="AC53" s="95" t="s">
        <v>597</v>
      </c>
      <c r="AD53" s="95" t="s">
        <v>597</v>
      </c>
      <c r="AE53" s="95" t="s">
        <v>687</v>
      </c>
      <c r="AF53" s="95" t="s">
        <v>597</v>
      </c>
      <c r="AG53" s="95" t="s">
        <v>597</v>
      </c>
      <c r="AH53" s="95" t="s">
        <v>597</v>
      </c>
      <c r="AI53" s="95" t="s">
        <v>599</v>
      </c>
      <c r="AJ53" s="125">
        <v>45763</v>
      </c>
      <c r="AK53" s="55" t="s">
        <v>610</v>
      </c>
      <c r="AL53" s="115">
        <v>1</v>
      </c>
      <c r="AM53" s="115">
        <v>1</v>
      </c>
      <c r="AN53" s="115">
        <v>1</v>
      </c>
      <c r="AO53" s="115">
        <v>1</v>
      </c>
      <c r="AP53" s="115">
        <v>1</v>
      </c>
      <c r="AQ53" s="115">
        <v>1</v>
      </c>
      <c r="AR53" s="115">
        <v>1</v>
      </c>
      <c r="AS53" s="115">
        <v>1</v>
      </c>
      <c r="AT53" s="70">
        <f t="shared" si="0"/>
        <v>8</v>
      </c>
      <c r="AU53" s="71">
        <v>1</v>
      </c>
      <c r="AV53" s="71">
        <v>1</v>
      </c>
      <c r="AW53" s="71">
        <v>1</v>
      </c>
      <c r="AX53" s="71">
        <v>1</v>
      </c>
      <c r="AY53" s="70">
        <f t="shared" si="1"/>
        <v>4</v>
      </c>
      <c r="AZ53" s="69">
        <v>1</v>
      </c>
      <c r="BA53" s="69">
        <v>1</v>
      </c>
      <c r="BB53" s="69">
        <v>1</v>
      </c>
      <c r="BC53" s="69">
        <v>1</v>
      </c>
      <c r="BD53" s="69">
        <v>1</v>
      </c>
      <c r="BE53" s="69">
        <v>1</v>
      </c>
      <c r="BF53" s="69">
        <v>1</v>
      </c>
      <c r="BG53" s="69">
        <v>1</v>
      </c>
      <c r="BH53" s="70">
        <f t="shared" si="2"/>
        <v>8</v>
      </c>
      <c r="BI53" s="69">
        <v>1</v>
      </c>
      <c r="BJ53" s="69">
        <v>1</v>
      </c>
      <c r="BK53" s="70">
        <f t="shared" si="3"/>
        <v>2</v>
      </c>
      <c r="BL53" s="72">
        <v>1</v>
      </c>
      <c r="BM53" s="72">
        <v>1</v>
      </c>
      <c r="BN53" s="72">
        <v>1</v>
      </c>
      <c r="BO53" s="72">
        <v>1</v>
      </c>
      <c r="BP53" s="72">
        <v>1</v>
      </c>
      <c r="BQ53" s="72">
        <v>1</v>
      </c>
      <c r="BR53" s="72">
        <v>1</v>
      </c>
      <c r="BS53" s="72">
        <v>1</v>
      </c>
      <c r="BT53" s="70">
        <f t="shared" si="4"/>
        <v>7</v>
      </c>
      <c r="BU53" s="70">
        <f t="shared" si="5"/>
        <v>29</v>
      </c>
      <c r="BV53" s="105">
        <v>5</v>
      </c>
      <c r="BW53" s="105">
        <v>5</v>
      </c>
      <c r="BX53" s="105">
        <v>5</v>
      </c>
      <c r="BY53" s="73">
        <v>1</v>
      </c>
      <c r="BZ53" s="105">
        <v>5</v>
      </c>
      <c r="CA53" s="73">
        <v>3</v>
      </c>
      <c r="CB53" s="105">
        <v>5</v>
      </c>
      <c r="CC53" s="73">
        <v>5</v>
      </c>
      <c r="CD53" s="73">
        <v>2</v>
      </c>
      <c r="CE53" s="73">
        <v>3</v>
      </c>
      <c r="CF53" s="73">
        <v>3</v>
      </c>
      <c r="CG53" s="73">
        <v>5</v>
      </c>
      <c r="CH53" s="74">
        <v>5</v>
      </c>
      <c r="CI53" s="105">
        <v>5</v>
      </c>
      <c r="CJ53" s="73">
        <v>3</v>
      </c>
      <c r="CK53" s="75">
        <f t="shared" ref="CK53:CK65" si="184">SUM(BV53:CJ53)</f>
        <v>60</v>
      </c>
      <c r="CL53" s="76">
        <v>5</v>
      </c>
      <c r="CM53" s="76">
        <v>1</v>
      </c>
      <c r="CN53" s="76">
        <v>5</v>
      </c>
      <c r="CO53" s="76">
        <v>5</v>
      </c>
      <c r="CP53" s="76">
        <v>5</v>
      </c>
      <c r="CQ53" s="106">
        <v>5</v>
      </c>
      <c r="CR53" s="76">
        <v>1</v>
      </c>
      <c r="CS53" s="76">
        <v>5</v>
      </c>
      <c r="CT53" s="76">
        <v>5</v>
      </c>
      <c r="CU53" s="76">
        <v>5</v>
      </c>
      <c r="CV53" s="76">
        <v>5</v>
      </c>
      <c r="CW53" s="76">
        <v>1</v>
      </c>
      <c r="CX53" s="76">
        <v>1</v>
      </c>
      <c r="CY53" s="76">
        <v>5</v>
      </c>
      <c r="CZ53" s="76">
        <v>5</v>
      </c>
      <c r="DA53" s="76">
        <v>5</v>
      </c>
      <c r="DB53" s="76">
        <v>5</v>
      </c>
      <c r="DC53" s="76">
        <v>4</v>
      </c>
      <c r="DD53" s="76">
        <v>5</v>
      </c>
      <c r="DE53" s="76">
        <v>5</v>
      </c>
      <c r="DF53" s="76">
        <v>5</v>
      </c>
      <c r="DG53" s="76">
        <v>5</v>
      </c>
      <c r="DH53" s="76">
        <v>5</v>
      </c>
      <c r="DI53" s="76">
        <v>5</v>
      </c>
      <c r="DJ53" s="76">
        <v>1</v>
      </c>
      <c r="DK53" s="76">
        <v>5</v>
      </c>
      <c r="DL53" s="76">
        <v>3</v>
      </c>
      <c r="DM53" s="76">
        <v>1</v>
      </c>
      <c r="DN53" s="76">
        <f t="shared" si="7"/>
        <v>113</v>
      </c>
      <c r="DO53" s="76">
        <v>30</v>
      </c>
      <c r="DP53" s="55">
        <v>0</v>
      </c>
      <c r="DQ53" s="55">
        <v>0</v>
      </c>
      <c r="DR53" s="55">
        <v>0</v>
      </c>
      <c r="DS53" s="55">
        <v>0</v>
      </c>
      <c r="DT53" s="55">
        <v>0</v>
      </c>
      <c r="DU53" s="55">
        <v>0</v>
      </c>
      <c r="DV53" s="55">
        <v>0</v>
      </c>
      <c r="DW53" s="55">
        <v>0</v>
      </c>
      <c r="DX53" s="55">
        <v>0</v>
      </c>
      <c r="DY53" s="55">
        <v>0</v>
      </c>
      <c r="DZ53" s="55">
        <v>0</v>
      </c>
      <c r="EA53" s="55">
        <v>0</v>
      </c>
      <c r="EB53" s="55">
        <v>0</v>
      </c>
      <c r="EC53" s="55">
        <v>1</v>
      </c>
      <c r="ED53" s="55">
        <v>0</v>
      </c>
      <c r="EE53" s="77">
        <f t="shared" si="124"/>
        <v>1</v>
      </c>
      <c r="EF53" s="77" t="s">
        <v>265</v>
      </c>
      <c r="EG53" s="78">
        <f t="shared" si="8"/>
        <v>1</v>
      </c>
      <c r="EH53" s="55">
        <v>0</v>
      </c>
      <c r="EI53" s="55">
        <v>0</v>
      </c>
      <c r="EJ53" s="55">
        <v>0</v>
      </c>
      <c r="EK53" s="55">
        <v>0</v>
      </c>
      <c r="EL53" s="55">
        <v>0</v>
      </c>
      <c r="EM53" s="55">
        <v>0</v>
      </c>
      <c r="EN53" s="55">
        <v>0</v>
      </c>
      <c r="EO53" s="55">
        <v>0.5</v>
      </c>
      <c r="EP53" s="55">
        <v>0</v>
      </c>
      <c r="EQ53" s="55">
        <v>0</v>
      </c>
      <c r="ER53" s="55">
        <v>0</v>
      </c>
      <c r="ES53" s="55">
        <v>0</v>
      </c>
      <c r="ET53" s="55">
        <v>0</v>
      </c>
      <c r="EU53" s="55">
        <v>0</v>
      </c>
      <c r="EV53" s="55">
        <v>0</v>
      </c>
      <c r="EW53" s="55">
        <v>0</v>
      </c>
      <c r="EX53" s="55">
        <v>0</v>
      </c>
      <c r="EY53" s="55">
        <v>0</v>
      </c>
      <c r="EZ53" s="55">
        <v>0</v>
      </c>
      <c r="FA53" s="55">
        <v>0</v>
      </c>
      <c r="FB53" s="55">
        <v>0</v>
      </c>
      <c r="FC53" s="55">
        <v>0</v>
      </c>
      <c r="FD53" s="79">
        <f t="shared" si="9"/>
        <v>0.5</v>
      </c>
      <c r="FE53" s="80">
        <v>1</v>
      </c>
      <c r="FF53" s="55">
        <v>1</v>
      </c>
      <c r="FG53" s="55">
        <v>1</v>
      </c>
      <c r="FH53" s="55">
        <v>1</v>
      </c>
      <c r="FI53" s="55">
        <v>1</v>
      </c>
      <c r="FJ53" s="55">
        <v>1</v>
      </c>
      <c r="FK53" s="55">
        <v>1</v>
      </c>
      <c r="FL53" s="55">
        <v>1</v>
      </c>
      <c r="FM53" s="55">
        <v>1</v>
      </c>
      <c r="FN53" s="81">
        <f t="shared" si="10"/>
        <v>8</v>
      </c>
      <c r="FO53" s="82">
        <v>1</v>
      </c>
      <c r="FP53" s="55">
        <v>10</v>
      </c>
      <c r="FQ53" s="55">
        <v>5</v>
      </c>
      <c r="FR53" s="55">
        <v>10</v>
      </c>
      <c r="FS53" s="55">
        <v>5</v>
      </c>
      <c r="FT53" s="55">
        <v>10</v>
      </c>
      <c r="FU53" s="55">
        <v>10</v>
      </c>
      <c r="FV53" s="55">
        <v>10</v>
      </c>
      <c r="FW53" s="55">
        <v>15</v>
      </c>
      <c r="FX53" s="55">
        <v>15</v>
      </c>
      <c r="FY53" s="55">
        <v>10</v>
      </c>
      <c r="FZ53" s="83">
        <f t="shared" si="11"/>
        <v>100</v>
      </c>
      <c r="GA53" s="84">
        <v>1</v>
      </c>
      <c r="GB53" s="55">
        <v>0</v>
      </c>
      <c r="GC53" s="85">
        <v>0.5</v>
      </c>
      <c r="GD53" s="85">
        <v>0</v>
      </c>
      <c r="GE53" s="85">
        <v>0</v>
      </c>
      <c r="GF53" s="85">
        <v>0</v>
      </c>
      <c r="GG53" s="85">
        <v>0</v>
      </c>
      <c r="GH53" s="85">
        <v>0</v>
      </c>
      <c r="GI53" s="55">
        <v>0</v>
      </c>
      <c r="GJ53" s="55">
        <v>0</v>
      </c>
      <c r="GK53" s="55">
        <v>0</v>
      </c>
      <c r="GL53" s="55">
        <v>1</v>
      </c>
      <c r="GM53" s="55">
        <v>0</v>
      </c>
      <c r="GN53" s="55">
        <v>0</v>
      </c>
      <c r="GO53" s="55">
        <v>0</v>
      </c>
      <c r="GP53" s="55">
        <v>0</v>
      </c>
      <c r="GQ53" s="55">
        <v>0</v>
      </c>
      <c r="GR53" s="55">
        <v>0</v>
      </c>
      <c r="GS53" s="55">
        <v>0</v>
      </c>
      <c r="GT53" s="55">
        <v>1</v>
      </c>
      <c r="GU53" s="86">
        <f t="shared" si="12"/>
        <v>2</v>
      </c>
      <c r="GV53" s="128" t="s">
        <v>266</v>
      </c>
      <c r="GW53" s="87">
        <v>0</v>
      </c>
      <c r="GX53" s="88" t="s">
        <v>267</v>
      </c>
      <c r="GY53" s="97">
        <v>5</v>
      </c>
      <c r="GZ53" s="97">
        <v>5</v>
      </c>
      <c r="HA53" s="97">
        <v>3</v>
      </c>
      <c r="HB53" s="97">
        <v>3</v>
      </c>
      <c r="HC53" s="97">
        <v>5</v>
      </c>
      <c r="HD53" s="97">
        <v>5</v>
      </c>
      <c r="HE53" s="97"/>
      <c r="HF53" s="97"/>
      <c r="HG53" s="97">
        <v>3</v>
      </c>
      <c r="HH53" s="97">
        <v>7</v>
      </c>
      <c r="HI53" s="97">
        <v>7</v>
      </c>
      <c r="HJ53" s="97"/>
      <c r="HK53" s="97">
        <v>2</v>
      </c>
      <c r="HL53" s="97">
        <v>7</v>
      </c>
      <c r="HM53" s="97">
        <v>7</v>
      </c>
      <c r="HN53" s="97">
        <v>1</v>
      </c>
      <c r="HO53" s="97">
        <v>3</v>
      </c>
      <c r="HP53" s="97">
        <v>1</v>
      </c>
      <c r="HQ53" s="97">
        <v>0</v>
      </c>
      <c r="HR53" s="97">
        <v>1</v>
      </c>
      <c r="HS53" s="97">
        <v>1</v>
      </c>
      <c r="HT53" s="97">
        <v>2</v>
      </c>
      <c r="HU53" s="97">
        <v>4</v>
      </c>
      <c r="HV53" s="97">
        <v>1</v>
      </c>
      <c r="HW53" s="97">
        <v>1</v>
      </c>
      <c r="HX53" s="97">
        <v>2</v>
      </c>
      <c r="HY53" s="97">
        <v>5</v>
      </c>
      <c r="HZ53" s="97">
        <v>4</v>
      </c>
      <c r="IA53" s="97">
        <v>3</v>
      </c>
      <c r="IB53" s="97">
        <v>7</v>
      </c>
      <c r="IC53" s="55"/>
      <c r="ID53" s="55">
        <f t="shared" ref="ID53:IG53" si="185">SUM(GY53)</f>
        <v>5</v>
      </c>
      <c r="IE53" s="55">
        <f t="shared" si="185"/>
        <v>5</v>
      </c>
      <c r="IF53" s="55">
        <f t="shared" si="185"/>
        <v>3</v>
      </c>
      <c r="IG53" s="55">
        <f t="shared" si="185"/>
        <v>3</v>
      </c>
      <c r="IH53" s="55">
        <f t="shared" si="14"/>
        <v>10</v>
      </c>
      <c r="II53" s="55">
        <f t="shared" si="15"/>
        <v>3</v>
      </c>
      <c r="IJ53" s="55">
        <f t="shared" si="16"/>
        <v>14</v>
      </c>
      <c r="IK53" s="55">
        <f t="shared" ref="IK53:IQ53" si="186">SUM(HK53)</f>
        <v>2</v>
      </c>
      <c r="IL53" s="55">
        <f t="shared" si="186"/>
        <v>7</v>
      </c>
      <c r="IM53" s="55">
        <f t="shared" si="186"/>
        <v>7</v>
      </c>
      <c r="IN53" s="55">
        <f t="shared" si="186"/>
        <v>1</v>
      </c>
      <c r="IO53" s="55">
        <f t="shared" si="186"/>
        <v>3</v>
      </c>
      <c r="IP53" s="55">
        <f t="shared" si="186"/>
        <v>1</v>
      </c>
      <c r="IQ53" s="55">
        <f t="shared" si="186"/>
        <v>0</v>
      </c>
      <c r="IR53" s="55">
        <f t="shared" si="18"/>
        <v>2</v>
      </c>
      <c r="IS53" s="55">
        <f t="shared" ref="IS53:JB53" si="187">SUM(HT53)</f>
        <v>2</v>
      </c>
      <c r="IT53" s="55">
        <f t="shared" si="187"/>
        <v>4</v>
      </c>
      <c r="IU53" s="55">
        <f t="shared" si="187"/>
        <v>1</v>
      </c>
      <c r="IV53" s="55">
        <f t="shared" si="187"/>
        <v>1</v>
      </c>
      <c r="IW53" s="55">
        <f t="shared" si="187"/>
        <v>2</v>
      </c>
      <c r="IX53" s="55">
        <f t="shared" si="187"/>
        <v>5</v>
      </c>
      <c r="IY53" s="55">
        <f t="shared" si="187"/>
        <v>4</v>
      </c>
      <c r="IZ53" s="55">
        <f t="shared" si="187"/>
        <v>3</v>
      </c>
      <c r="JA53" s="55">
        <f t="shared" si="187"/>
        <v>7</v>
      </c>
      <c r="JB53" s="55">
        <f t="shared" si="187"/>
        <v>0</v>
      </c>
      <c r="JC53" s="89">
        <f t="shared" si="20"/>
        <v>92</v>
      </c>
      <c r="JD53" s="90">
        <v>1</v>
      </c>
      <c r="JE53" s="90">
        <v>1</v>
      </c>
      <c r="JF53" s="91">
        <v>26</v>
      </c>
      <c r="JG53" s="91">
        <v>2</v>
      </c>
      <c r="JH53" s="55">
        <v>2</v>
      </c>
      <c r="JI53" s="55">
        <v>2</v>
      </c>
      <c r="JJ53" s="55">
        <v>2</v>
      </c>
      <c r="JK53" s="55">
        <v>0</v>
      </c>
      <c r="JL53" s="55">
        <v>0</v>
      </c>
      <c r="JM53" s="55">
        <v>0</v>
      </c>
      <c r="JN53" s="55">
        <v>0</v>
      </c>
      <c r="JO53" s="55">
        <v>0</v>
      </c>
      <c r="JP53" s="89">
        <f t="shared" si="170"/>
        <v>6</v>
      </c>
      <c r="JQ53" s="55">
        <v>2</v>
      </c>
      <c r="JR53" s="55">
        <v>2</v>
      </c>
      <c r="JS53" s="55">
        <v>0</v>
      </c>
      <c r="JT53" s="55">
        <v>1</v>
      </c>
      <c r="JU53" s="55">
        <v>0</v>
      </c>
      <c r="JV53" s="55">
        <v>0</v>
      </c>
      <c r="JW53" s="55">
        <v>0</v>
      </c>
      <c r="JX53" s="92">
        <f t="shared" si="22"/>
        <v>5</v>
      </c>
      <c r="JY53" s="93">
        <f t="shared" si="23"/>
        <v>11</v>
      </c>
      <c r="JZ53" s="55">
        <v>3</v>
      </c>
      <c r="KA53" s="55">
        <v>1</v>
      </c>
      <c r="KB53" s="55">
        <v>2</v>
      </c>
      <c r="KC53" s="55">
        <v>0</v>
      </c>
      <c r="KD53" s="55">
        <v>0</v>
      </c>
      <c r="KE53" s="55">
        <v>0</v>
      </c>
      <c r="KF53" s="55">
        <v>0</v>
      </c>
      <c r="KG53" s="94">
        <f t="shared" si="24"/>
        <v>6</v>
      </c>
      <c r="KH53" s="95" t="s">
        <v>333</v>
      </c>
      <c r="KI53" s="55">
        <v>0</v>
      </c>
      <c r="KJ53" s="55">
        <v>2</v>
      </c>
      <c r="KK53" s="55">
        <v>1</v>
      </c>
      <c r="KL53" s="95" t="s">
        <v>319</v>
      </c>
      <c r="KM53" s="55">
        <v>0</v>
      </c>
      <c r="KN53" s="55">
        <v>2</v>
      </c>
      <c r="KO53" s="55">
        <v>0</v>
      </c>
      <c r="KP53" s="95" t="s">
        <v>491</v>
      </c>
      <c r="KQ53" s="55">
        <v>0</v>
      </c>
      <c r="KR53" s="55">
        <v>2</v>
      </c>
      <c r="KS53" s="55">
        <v>1</v>
      </c>
      <c r="KT53" s="95" t="s">
        <v>315</v>
      </c>
      <c r="KU53" s="55">
        <v>0</v>
      </c>
      <c r="KV53" s="55">
        <v>2</v>
      </c>
      <c r="KW53" s="55">
        <v>0</v>
      </c>
      <c r="KX53" s="95" t="s">
        <v>330</v>
      </c>
      <c r="KY53" s="55">
        <v>0</v>
      </c>
      <c r="KZ53" s="55">
        <v>2</v>
      </c>
      <c r="LA53" s="55">
        <v>1</v>
      </c>
      <c r="LB53" s="95" t="s">
        <v>333</v>
      </c>
      <c r="LC53" s="55">
        <v>0</v>
      </c>
      <c r="LD53" s="55">
        <v>2</v>
      </c>
      <c r="LE53" s="55">
        <v>0</v>
      </c>
      <c r="LF53" s="95" t="s">
        <v>489</v>
      </c>
      <c r="LG53" s="55">
        <v>0</v>
      </c>
      <c r="LH53" s="55">
        <v>2</v>
      </c>
      <c r="LI53" s="55">
        <v>0</v>
      </c>
      <c r="LJ53" s="95" t="s">
        <v>489</v>
      </c>
      <c r="LK53" s="55">
        <v>0</v>
      </c>
      <c r="LL53" s="55">
        <v>2</v>
      </c>
      <c r="LM53" s="55">
        <v>1</v>
      </c>
      <c r="LN53" s="96">
        <f t="shared" si="25"/>
        <v>20</v>
      </c>
      <c r="LO53" s="97">
        <f t="shared" si="26"/>
        <v>4</v>
      </c>
      <c r="LP53" s="97">
        <f t="shared" si="27"/>
        <v>37</v>
      </c>
    </row>
    <row r="54" spans="1:328" s="98" customFormat="1" ht="13.8">
      <c r="A54" s="55" t="s">
        <v>634</v>
      </c>
      <c r="B54" s="110">
        <v>45974</v>
      </c>
      <c r="C54" s="61">
        <v>46</v>
      </c>
      <c r="D54" s="62"/>
      <c r="E54" s="62" t="s">
        <v>815</v>
      </c>
      <c r="F54" s="61">
        <v>1</v>
      </c>
      <c r="G54" s="61">
        <v>1</v>
      </c>
      <c r="H54" s="61">
        <v>1</v>
      </c>
      <c r="I54" s="164">
        <v>6</v>
      </c>
      <c r="J54" s="164">
        <v>4</v>
      </c>
      <c r="K54" s="63">
        <v>0.16111111111111112</v>
      </c>
      <c r="L54" s="63">
        <v>8.611111111111111E-2</v>
      </c>
      <c r="M54" s="63">
        <v>5.347222222222222E-2</v>
      </c>
      <c r="N54" s="64" t="s">
        <v>1041</v>
      </c>
      <c r="O54" s="101" t="s">
        <v>1028</v>
      </c>
      <c r="P54" s="111" t="s">
        <v>705</v>
      </c>
      <c r="Q54" s="111">
        <v>1</v>
      </c>
      <c r="R54" s="112">
        <v>17563</v>
      </c>
      <c r="S54" s="111">
        <v>77</v>
      </c>
      <c r="T54" s="111" t="s">
        <v>310</v>
      </c>
      <c r="U54" s="111" t="s">
        <v>298</v>
      </c>
      <c r="V54" s="113" t="s">
        <v>706</v>
      </c>
      <c r="W54" s="111" t="s">
        <v>624</v>
      </c>
      <c r="X54" s="111" t="s">
        <v>596</v>
      </c>
      <c r="Y54" s="111" t="s">
        <v>277</v>
      </c>
      <c r="Z54" s="111" t="s">
        <v>262</v>
      </c>
      <c r="AA54" s="111" t="s">
        <v>493</v>
      </c>
      <c r="AB54" s="111" t="s">
        <v>300</v>
      </c>
      <c r="AC54" s="111" t="s">
        <v>597</v>
      </c>
      <c r="AD54" s="111" t="s">
        <v>597</v>
      </c>
      <c r="AE54" s="111" t="s">
        <v>602</v>
      </c>
      <c r="AF54" s="111" t="s">
        <v>599</v>
      </c>
      <c r="AG54" s="111" t="s">
        <v>612</v>
      </c>
      <c r="AH54" s="111" t="s">
        <v>599</v>
      </c>
      <c r="AI54" s="111" t="s">
        <v>597</v>
      </c>
      <c r="AJ54" s="112">
        <v>45890</v>
      </c>
      <c r="AK54" s="124"/>
      <c r="AL54" s="115">
        <v>1</v>
      </c>
      <c r="AM54" s="115">
        <v>1</v>
      </c>
      <c r="AN54" s="115">
        <v>1</v>
      </c>
      <c r="AO54" s="115">
        <v>1</v>
      </c>
      <c r="AP54" s="115">
        <v>1</v>
      </c>
      <c r="AQ54" s="115">
        <v>1</v>
      </c>
      <c r="AR54" s="115">
        <v>1</v>
      </c>
      <c r="AS54" s="115">
        <v>1</v>
      </c>
      <c r="AT54" s="70">
        <f t="shared" si="0"/>
        <v>8</v>
      </c>
      <c r="AU54" s="71">
        <v>1</v>
      </c>
      <c r="AV54" s="71">
        <v>1</v>
      </c>
      <c r="AW54" s="71">
        <v>1</v>
      </c>
      <c r="AX54" s="71">
        <v>1</v>
      </c>
      <c r="AY54" s="70">
        <f t="shared" si="1"/>
        <v>4</v>
      </c>
      <c r="AZ54" s="69">
        <v>1</v>
      </c>
      <c r="BA54" s="69">
        <v>1</v>
      </c>
      <c r="BB54" s="69">
        <v>1</v>
      </c>
      <c r="BC54" s="69">
        <v>1</v>
      </c>
      <c r="BD54" s="69">
        <v>1</v>
      </c>
      <c r="BE54" s="69">
        <v>1</v>
      </c>
      <c r="BF54" s="69">
        <v>1</v>
      </c>
      <c r="BG54" s="69">
        <v>1</v>
      </c>
      <c r="BH54" s="70">
        <f t="shared" si="2"/>
        <v>8</v>
      </c>
      <c r="BI54" s="69">
        <v>1</v>
      </c>
      <c r="BJ54" s="69">
        <v>1</v>
      </c>
      <c r="BK54" s="70">
        <f t="shared" si="3"/>
        <v>2</v>
      </c>
      <c r="BL54" s="72">
        <v>1</v>
      </c>
      <c r="BM54" s="72">
        <v>1</v>
      </c>
      <c r="BN54" s="72">
        <v>1</v>
      </c>
      <c r="BO54" s="72">
        <v>1</v>
      </c>
      <c r="BP54" s="72">
        <v>1</v>
      </c>
      <c r="BQ54" s="72">
        <v>1</v>
      </c>
      <c r="BR54" s="72">
        <v>1</v>
      </c>
      <c r="BS54" s="72">
        <v>1</v>
      </c>
      <c r="BT54" s="70">
        <f t="shared" si="4"/>
        <v>7</v>
      </c>
      <c r="BU54" s="70">
        <f t="shared" si="5"/>
        <v>29</v>
      </c>
      <c r="BV54" s="73">
        <v>5</v>
      </c>
      <c r="BW54" s="73">
        <v>5</v>
      </c>
      <c r="BX54" s="73">
        <v>5</v>
      </c>
      <c r="BY54" s="73">
        <v>1</v>
      </c>
      <c r="BZ54" s="105">
        <v>5</v>
      </c>
      <c r="CA54" s="73">
        <v>3</v>
      </c>
      <c r="CB54" s="105">
        <v>5</v>
      </c>
      <c r="CC54" s="73">
        <v>5</v>
      </c>
      <c r="CD54" s="73">
        <v>2</v>
      </c>
      <c r="CE54" s="73">
        <v>3</v>
      </c>
      <c r="CF54" s="73">
        <v>3</v>
      </c>
      <c r="CG54" s="73">
        <v>5</v>
      </c>
      <c r="CH54" s="74">
        <v>5</v>
      </c>
      <c r="CI54" s="73">
        <v>5</v>
      </c>
      <c r="CJ54" s="73">
        <v>3</v>
      </c>
      <c r="CK54" s="75">
        <f t="shared" si="184"/>
        <v>60</v>
      </c>
      <c r="CL54" s="76">
        <v>5</v>
      </c>
      <c r="CM54" s="76">
        <v>1</v>
      </c>
      <c r="CN54" s="76">
        <v>5</v>
      </c>
      <c r="CO54" s="76">
        <v>5</v>
      </c>
      <c r="CP54" s="76">
        <v>5</v>
      </c>
      <c r="CQ54" s="106">
        <v>5</v>
      </c>
      <c r="CR54" s="76">
        <v>1</v>
      </c>
      <c r="CS54" s="76">
        <v>5</v>
      </c>
      <c r="CT54" s="76">
        <v>5</v>
      </c>
      <c r="CU54" s="76">
        <v>5</v>
      </c>
      <c r="CV54" s="76">
        <v>5</v>
      </c>
      <c r="CW54" s="76">
        <v>1</v>
      </c>
      <c r="CX54" s="76">
        <v>1</v>
      </c>
      <c r="CY54" s="76">
        <v>4</v>
      </c>
      <c r="CZ54" s="76">
        <v>5</v>
      </c>
      <c r="DA54" s="76">
        <v>5</v>
      </c>
      <c r="DB54" s="76">
        <v>5</v>
      </c>
      <c r="DC54" s="76">
        <v>4</v>
      </c>
      <c r="DD54" s="76">
        <v>5</v>
      </c>
      <c r="DE54" s="76">
        <v>5</v>
      </c>
      <c r="DF54" s="76">
        <v>5</v>
      </c>
      <c r="DG54" s="76">
        <v>5</v>
      </c>
      <c r="DH54" s="76">
        <v>5</v>
      </c>
      <c r="DI54" s="76">
        <v>5</v>
      </c>
      <c r="DJ54" s="76">
        <v>1</v>
      </c>
      <c r="DK54" s="76">
        <v>5</v>
      </c>
      <c r="DL54" s="76">
        <v>3</v>
      </c>
      <c r="DM54" s="76">
        <v>1</v>
      </c>
      <c r="DN54" s="76">
        <f t="shared" si="7"/>
        <v>112</v>
      </c>
      <c r="DO54" s="118">
        <v>30</v>
      </c>
      <c r="DP54" s="97">
        <v>0</v>
      </c>
      <c r="DQ54" s="97">
        <v>0</v>
      </c>
      <c r="DR54" s="97">
        <v>0</v>
      </c>
      <c r="DS54" s="97">
        <v>0</v>
      </c>
      <c r="DT54" s="97">
        <v>0</v>
      </c>
      <c r="DU54" s="97">
        <v>0</v>
      </c>
      <c r="DV54" s="97">
        <v>0</v>
      </c>
      <c r="DW54" s="97">
        <v>0</v>
      </c>
      <c r="DX54" s="97">
        <v>1</v>
      </c>
      <c r="DY54" s="97">
        <v>1</v>
      </c>
      <c r="DZ54" s="97">
        <v>0</v>
      </c>
      <c r="EA54" s="97">
        <v>0</v>
      </c>
      <c r="EB54" s="97">
        <v>0</v>
      </c>
      <c r="EC54" s="97">
        <v>0</v>
      </c>
      <c r="ED54" s="97">
        <v>0</v>
      </c>
      <c r="EE54" s="77">
        <f t="shared" si="124"/>
        <v>2</v>
      </c>
      <c r="EF54" s="77" t="s">
        <v>265</v>
      </c>
      <c r="EG54" s="78">
        <f t="shared" si="8"/>
        <v>2</v>
      </c>
      <c r="EH54" s="97">
        <v>0</v>
      </c>
      <c r="EI54" s="97">
        <v>0</v>
      </c>
      <c r="EJ54" s="97">
        <v>1</v>
      </c>
      <c r="EK54" s="97">
        <v>0</v>
      </c>
      <c r="EL54" s="97">
        <v>0</v>
      </c>
      <c r="EM54" s="97">
        <v>0</v>
      </c>
      <c r="EN54" s="97">
        <v>1</v>
      </c>
      <c r="EO54" s="97">
        <v>0</v>
      </c>
      <c r="EP54" s="97">
        <v>0</v>
      </c>
      <c r="EQ54" s="97">
        <v>0</v>
      </c>
      <c r="ER54" s="97">
        <v>0</v>
      </c>
      <c r="ES54" s="97">
        <v>0</v>
      </c>
      <c r="ET54" s="97">
        <v>0</v>
      </c>
      <c r="EU54" s="97">
        <v>0</v>
      </c>
      <c r="EV54" s="97">
        <v>0</v>
      </c>
      <c r="EW54" s="97">
        <v>1</v>
      </c>
      <c r="EX54" s="97">
        <v>0</v>
      </c>
      <c r="EY54" s="97">
        <v>0</v>
      </c>
      <c r="EZ54" s="97">
        <v>0</v>
      </c>
      <c r="FA54" s="97">
        <v>0</v>
      </c>
      <c r="FB54" s="97">
        <v>0</v>
      </c>
      <c r="FC54" s="97">
        <v>0</v>
      </c>
      <c r="FD54" s="79">
        <f t="shared" si="9"/>
        <v>3</v>
      </c>
      <c r="FE54" s="80">
        <v>1</v>
      </c>
      <c r="FF54" s="97">
        <v>1</v>
      </c>
      <c r="FG54" s="97">
        <v>0</v>
      </c>
      <c r="FH54" s="97">
        <v>1</v>
      </c>
      <c r="FI54" s="97">
        <v>1</v>
      </c>
      <c r="FJ54" s="97">
        <v>0</v>
      </c>
      <c r="FK54" s="97">
        <v>1</v>
      </c>
      <c r="FL54" s="97">
        <v>1</v>
      </c>
      <c r="FM54" s="97">
        <v>1</v>
      </c>
      <c r="FN54" s="81">
        <f t="shared" si="10"/>
        <v>6</v>
      </c>
      <c r="FO54" s="81">
        <v>2</v>
      </c>
      <c r="FP54" s="97">
        <v>10</v>
      </c>
      <c r="FQ54" s="97">
        <v>5</v>
      </c>
      <c r="FR54" s="97">
        <v>10</v>
      </c>
      <c r="FS54" s="97">
        <v>5</v>
      </c>
      <c r="FT54" s="97">
        <v>10</v>
      </c>
      <c r="FU54" s="97">
        <v>10</v>
      </c>
      <c r="FV54" s="97">
        <v>10</v>
      </c>
      <c r="FW54" s="97">
        <v>15</v>
      </c>
      <c r="FX54" s="97">
        <v>15</v>
      </c>
      <c r="FY54" s="97">
        <v>10</v>
      </c>
      <c r="FZ54" s="83">
        <f t="shared" si="11"/>
        <v>100</v>
      </c>
      <c r="GA54" s="84">
        <v>1</v>
      </c>
      <c r="GB54" s="55">
        <v>0</v>
      </c>
      <c r="GC54" s="85">
        <v>0.5</v>
      </c>
      <c r="GD54" s="85">
        <v>0</v>
      </c>
      <c r="GE54" s="85">
        <v>0</v>
      </c>
      <c r="GF54" s="85">
        <v>0</v>
      </c>
      <c r="GG54" s="85">
        <v>0</v>
      </c>
      <c r="GH54" s="85">
        <v>0</v>
      </c>
      <c r="GI54" s="55">
        <v>0</v>
      </c>
      <c r="GJ54" s="55">
        <v>0</v>
      </c>
      <c r="GK54" s="55">
        <v>0</v>
      </c>
      <c r="GL54" s="55">
        <v>1</v>
      </c>
      <c r="GM54" s="55">
        <v>0</v>
      </c>
      <c r="GN54" s="55">
        <v>0</v>
      </c>
      <c r="GO54" s="55">
        <v>0</v>
      </c>
      <c r="GP54" s="55">
        <v>0</v>
      </c>
      <c r="GQ54" s="55">
        <v>0</v>
      </c>
      <c r="GR54" s="55">
        <v>0</v>
      </c>
      <c r="GS54" s="55">
        <v>1</v>
      </c>
      <c r="GT54" s="55">
        <v>0</v>
      </c>
      <c r="GU54" s="86">
        <f t="shared" si="12"/>
        <v>2</v>
      </c>
      <c r="GV54" s="128" t="s">
        <v>266</v>
      </c>
      <c r="GW54" s="87">
        <v>0</v>
      </c>
      <c r="GX54" s="88" t="s">
        <v>267</v>
      </c>
      <c r="GY54" s="97">
        <v>5</v>
      </c>
      <c r="GZ54" s="97">
        <v>5</v>
      </c>
      <c r="HA54" s="97">
        <v>3</v>
      </c>
      <c r="HB54" s="97">
        <v>1</v>
      </c>
      <c r="HC54" s="97">
        <v>4</v>
      </c>
      <c r="HD54" s="97">
        <v>4</v>
      </c>
      <c r="HE54" s="97"/>
      <c r="HF54" s="97"/>
      <c r="HG54" s="97">
        <v>0</v>
      </c>
      <c r="HH54" s="97">
        <v>7</v>
      </c>
      <c r="HI54" s="97">
        <v>7</v>
      </c>
      <c r="HJ54" s="97"/>
      <c r="HK54" s="97">
        <v>4</v>
      </c>
      <c r="HL54" s="97">
        <v>4</v>
      </c>
      <c r="HM54" s="97">
        <v>7</v>
      </c>
      <c r="HN54" s="97">
        <v>1</v>
      </c>
      <c r="HO54" s="97">
        <v>3</v>
      </c>
      <c r="HP54" s="97">
        <v>1</v>
      </c>
      <c r="HQ54" s="97">
        <v>2</v>
      </c>
      <c r="HR54" s="97">
        <v>1</v>
      </c>
      <c r="HS54" s="97">
        <v>1</v>
      </c>
      <c r="HT54" s="97">
        <v>2</v>
      </c>
      <c r="HU54" s="97">
        <v>4</v>
      </c>
      <c r="HV54" s="97">
        <v>1</v>
      </c>
      <c r="HW54" s="97">
        <v>1</v>
      </c>
      <c r="HX54" s="97">
        <v>1</v>
      </c>
      <c r="HY54" s="97">
        <v>1</v>
      </c>
      <c r="HZ54" s="97">
        <v>4</v>
      </c>
      <c r="IA54" s="97">
        <v>4</v>
      </c>
      <c r="IB54" s="97">
        <v>7</v>
      </c>
      <c r="IC54" s="55"/>
      <c r="ID54" s="55">
        <f t="shared" ref="ID54:IG54" si="188">SUM(GY54)</f>
        <v>5</v>
      </c>
      <c r="IE54" s="55">
        <f t="shared" si="188"/>
        <v>5</v>
      </c>
      <c r="IF54" s="55">
        <f t="shared" si="188"/>
        <v>3</v>
      </c>
      <c r="IG54" s="55">
        <f t="shared" si="188"/>
        <v>1</v>
      </c>
      <c r="IH54" s="55">
        <f t="shared" si="14"/>
        <v>8</v>
      </c>
      <c r="II54" s="55">
        <f t="shared" si="15"/>
        <v>0</v>
      </c>
      <c r="IJ54" s="55">
        <f t="shared" si="16"/>
        <v>14</v>
      </c>
      <c r="IK54" s="55">
        <f t="shared" ref="IK54:IQ54" si="189">SUM(HK54)</f>
        <v>4</v>
      </c>
      <c r="IL54" s="55">
        <f t="shared" si="189"/>
        <v>4</v>
      </c>
      <c r="IM54" s="55">
        <f t="shared" si="189"/>
        <v>7</v>
      </c>
      <c r="IN54" s="55">
        <f t="shared" si="189"/>
        <v>1</v>
      </c>
      <c r="IO54" s="55">
        <f t="shared" si="189"/>
        <v>3</v>
      </c>
      <c r="IP54" s="55">
        <f t="shared" si="189"/>
        <v>1</v>
      </c>
      <c r="IQ54" s="55">
        <f t="shared" si="189"/>
        <v>2</v>
      </c>
      <c r="IR54" s="55">
        <f t="shared" si="18"/>
        <v>2</v>
      </c>
      <c r="IS54" s="55">
        <f t="shared" ref="IS54:JB54" si="190">SUM(HT54)</f>
        <v>2</v>
      </c>
      <c r="IT54" s="55">
        <f t="shared" si="190"/>
        <v>4</v>
      </c>
      <c r="IU54" s="55">
        <f t="shared" si="190"/>
        <v>1</v>
      </c>
      <c r="IV54" s="55">
        <f t="shared" si="190"/>
        <v>1</v>
      </c>
      <c r="IW54" s="55">
        <f t="shared" si="190"/>
        <v>1</v>
      </c>
      <c r="IX54" s="55">
        <f t="shared" si="190"/>
        <v>1</v>
      </c>
      <c r="IY54" s="55">
        <f t="shared" si="190"/>
        <v>4</v>
      </c>
      <c r="IZ54" s="55">
        <f t="shared" si="190"/>
        <v>4</v>
      </c>
      <c r="JA54" s="55">
        <f t="shared" si="190"/>
        <v>7</v>
      </c>
      <c r="JB54" s="55">
        <f t="shared" si="190"/>
        <v>0</v>
      </c>
      <c r="JC54" s="89">
        <f t="shared" si="20"/>
        <v>84</v>
      </c>
      <c r="JD54" s="90">
        <v>1</v>
      </c>
      <c r="JE54" s="90"/>
      <c r="JF54" s="91">
        <v>21</v>
      </c>
      <c r="JG54" s="91">
        <v>2</v>
      </c>
      <c r="JH54" s="97">
        <v>2</v>
      </c>
      <c r="JI54" s="97">
        <v>2</v>
      </c>
      <c r="JJ54" s="97">
        <v>2</v>
      </c>
      <c r="JK54" s="97">
        <v>2</v>
      </c>
      <c r="JL54" s="97">
        <v>2</v>
      </c>
      <c r="JM54" s="97">
        <v>0</v>
      </c>
      <c r="JN54" s="97">
        <v>0</v>
      </c>
      <c r="JO54" s="97">
        <v>0</v>
      </c>
      <c r="JP54" s="89">
        <f t="shared" si="170"/>
        <v>10</v>
      </c>
      <c r="JQ54" s="97">
        <v>2</v>
      </c>
      <c r="JR54" s="97">
        <v>2</v>
      </c>
      <c r="JS54" s="97">
        <v>2</v>
      </c>
      <c r="JT54" s="97">
        <v>0</v>
      </c>
      <c r="JU54" s="97">
        <v>1</v>
      </c>
      <c r="JV54" s="97">
        <v>0</v>
      </c>
      <c r="JW54" s="97">
        <v>0</v>
      </c>
      <c r="JX54" s="92">
        <f t="shared" si="22"/>
        <v>7</v>
      </c>
      <c r="JY54" s="93">
        <f t="shared" si="23"/>
        <v>17</v>
      </c>
      <c r="JZ54" s="97">
        <v>3</v>
      </c>
      <c r="KA54" s="97">
        <v>3</v>
      </c>
      <c r="KB54" s="97">
        <v>3</v>
      </c>
      <c r="KC54" s="97">
        <v>3</v>
      </c>
      <c r="KD54" s="97">
        <v>0</v>
      </c>
      <c r="KE54" s="97">
        <v>0</v>
      </c>
      <c r="KF54" s="97">
        <v>0</v>
      </c>
      <c r="KG54" s="94">
        <f t="shared" si="24"/>
        <v>12</v>
      </c>
      <c r="KH54" s="95" t="s">
        <v>494</v>
      </c>
      <c r="KI54" s="97">
        <v>0</v>
      </c>
      <c r="KJ54" s="97">
        <v>2</v>
      </c>
      <c r="KK54" s="97">
        <v>1</v>
      </c>
      <c r="KL54" s="95" t="s">
        <v>495</v>
      </c>
      <c r="KM54" s="97">
        <v>0</v>
      </c>
      <c r="KN54" s="97">
        <v>2</v>
      </c>
      <c r="KO54" s="97">
        <v>0</v>
      </c>
      <c r="KP54" s="95" t="s">
        <v>496</v>
      </c>
      <c r="KQ54" s="97">
        <v>0</v>
      </c>
      <c r="KR54" s="97">
        <v>2</v>
      </c>
      <c r="KS54" s="97">
        <v>0</v>
      </c>
      <c r="KT54" s="95" t="s">
        <v>497</v>
      </c>
      <c r="KU54" s="97">
        <v>0</v>
      </c>
      <c r="KV54" s="97">
        <v>2</v>
      </c>
      <c r="KW54" s="97">
        <v>0</v>
      </c>
      <c r="KX54" s="95" t="s">
        <v>498</v>
      </c>
      <c r="KY54" s="97">
        <v>0</v>
      </c>
      <c r="KZ54" s="97">
        <v>2</v>
      </c>
      <c r="LA54" s="97">
        <v>1</v>
      </c>
      <c r="LB54" s="95" t="s">
        <v>499</v>
      </c>
      <c r="LC54" s="97">
        <v>0</v>
      </c>
      <c r="LD54" s="97">
        <v>2</v>
      </c>
      <c r="LE54" s="97">
        <v>0</v>
      </c>
      <c r="LF54" s="95" t="s">
        <v>500</v>
      </c>
      <c r="LG54" s="97">
        <v>2</v>
      </c>
      <c r="LH54" s="97">
        <v>0</v>
      </c>
      <c r="LI54" s="97">
        <v>0</v>
      </c>
      <c r="LJ54" s="95" t="s">
        <v>501</v>
      </c>
      <c r="LK54" s="97">
        <v>0</v>
      </c>
      <c r="LL54" s="97">
        <v>2</v>
      </c>
      <c r="LM54" s="97">
        <v>0</v>
      </c>
      <c r="LN54" s="96">
        <f t="shared" si="25"/>
        <v>16</v>
      </c>
      <c r="LO54" s="97">
        <f t="shared" si="26"/>
        <v>2</v>
      </c>
      <c r="LP54" s="97">
        <f t="shared" si="27"/>
        <v>45</v>
      </c>
    </row>
    <row r="55" spans="1:328" s="98" customFormat="1" ht="13.8">
      <c r="A55" s="55" t="s">
        <v>592</v>
      </c>
      <c r="B55" s="110">
        <v>45973</v>
      </c>
      <c r="C55" s="61">
        <v>41</v>
      </c>
      <c r="D55" s="62" t="s">
        <v>763</v>
      </c>
      <c r="E55" s="62"/>
      <c r="F55" s="61">
        <v>1</v>
      </c>
      <c r="G55" s="61">
        <v>1</v>
      </c>
      <c r="H55" s="61">
        <v>1</v>
      </c>
      <c r="I55" s="164">
        <v>6</v>
      </c>
      <c r="J55" s="164">
        <v>6</v>
      </c>
      <c r="K55" s="63">
        <v>0.10555555555555556</v>
      </c>
      <c r="L55" s="63">
        <v>8.6805555555555552E-2</v>
      </c>
      <c r="M55" s="63">
        <v>8.5416666666666669E-2</v>
      </c>
      <c r="N55" s="64" t="s">
        <v>1040</v>
      </c>
      <c r="O55" s="101" t="s">
        <v>1029</v>
      </c>
      <c r="P55" s="66" t="s">
        <v>691</v>
      </c>
      <c r="Q55" s="111">
        <v>1</v>
      </c>
      <c r="R55" s="66" t="s">
        <v>692</v>
      </c>
      <c r="S55" s="66">
        <v>66</v>
      </c>
      <c r="T55" s="66" t="s">
        <v>259</v>
      </c>
      <c r="U55" s="66" t="s">
        <v>298</v>
      </c>
      <c r="V55" s="66">
        <v>998901944</v>
      </c>
      <c r="W55" s="66" t="s">
        <v>595</v>
      </c>
      <c r="X55" s="66" t="s">
        <v>596</v>
      </c>
      <c r="Y55" s="66" t="s">
        <v>311</v>
      </c>
      <c r="Z55" s="66" t="s">
        <v>262</v>
      </c>
      <c r="AA55" s="66" t="s">
        <v>289</v>
      </c>
      <c r="AB55" s="66" t="s">
        <v>264</v>
      </c>
      <c r="AC55" s="66" t="s">
        <v>597</v>
      </c>
      <c r="AD55" s="66" t="s">
        <v>597</v>
      </c>
      <c r="AE55" s="66" t="s">
        <v>693</v>
      </c>
      <c r="AF55" s="66" t="s">
        <v>597</v>
      </c>
      <c r="AG55" s="66" t="s">
        <v>610</v>
      </c>
      <c r="AH55" s="66" t="s">
        <v>599</v>
      </c>
      <c r="AI55" s="66" t="s">
        <v>599</v>
      </c>
      <c r="AJ55" s="67">
        <v>43654</v>
      </c>
      <c r="AK55" s="114"/>
      <c r="AL55" s="115">
        <v>1</v>
      </c>
      <c r="AM55" s="115">
        <v>1</v>
      </c>
      <c r="AN55" s="115">
        <v>1</v>
      </c>
      <c r="AO55" s="115">
        <v>1</v>
      </c>
      <c r="AP55" s="115">
        <v>1</v>
      </c>
      <c r="AQ55" s="115">
        <v>1</v>
      </c>
      <c r="AR55" s="115">
        <v>1</v>
      </c>
      <c r="AS55" s="115">
        <v>1</v>
      </c>
      <c r="AT55" s="70">
        <f t="shared" si="0"/>
        <v>8</v>
      </c>
      <c r="AU55" s="71">
        <v>1</v>
      </c>
      <c r="AV55" s="71">
        <v>1</v>
      </c>
      <c r="AW55" s="71">
        <v>1</v>
      </c>
      <c r="AX55" s="71">
        <v>1</v>
      </c>
      <c r="AY55" s="70">
        <f t="shared" si="1"/>
        <v>4</v>
      </c>
      <c r="AZ55" s="69">
        <v>1</v>
      </c>
      <c r="BA55" s="69">
        <v>1</v>
      </c>
      <c r="BB55" s="69">
        <v>1</v>
      </c>
      <c r="BC55" s="69">
        <v>1</v>
      </c>
      <c r="BD55" s="69">
        <v>1</v>
      </c>
      <c r="BE55" s="69">
        <v>1</v>
      </c>
      <c r="BF55" s="69">
        <v>1</v>
      </c>
      <c r="BG55" s="69">
        <v>1</v>
      </c>
      <c r="BH55" s="70">
        <f t="shared" si="2"/>
        <v>8</v>
      </c>
      <c r="BI55" s="69">
        <v>1</v>
      </c>
      <c r="BJ55" s="69">
        <v>1</v>
      </c>
      <c r="BK55" s="70">
        <f t="shared" si="3"/>
        <v>2</v>
      </c>
      <c r="BL55" s="72">
        <v>1</v>
      </c>
      <c r="BM55" s="72">
        <v>1</v>
      </c>
      <c r="BN55" s="72">
        <v>1</v>
      </c>
      <c r="BO55" s="72">
        <v>1</v>
      </c>
      <c r="BP55" s="72">
        <v>1</v>
      </c>
      <c r="BQ55" s="72">
        <v>1</v>
      </c>
      <c r="BR55" s="72">
        <v>0</v>
      </c>
      <c r="BS55" s="72">
        <v>0</v>
      </c>
      <c r="BT55" s="70">
        <f t="shared" si="4"/>
        <v>5</v>
      </c>
      <c r="BU55" s="70">
        <f t="shared" si="5"/>
        <v>27</v>
      </c>
      <c r="BV55" s="126">
        <v>1</v>
      </c>
      <c r="BW55" s="126">
        <v>2</v>
      </c>
      <c r="BX55" s="126">
        <v>2</v>
      </c>
      <c r="BY55" s="126">
        <v>1</v>
      </c>
      <c r="BZ55" s="74">
        <v>1</v>
      </c>
      <c r="CA55" s="126">
        <v>5</v>
      </c>
      <c r="CB55" s="74">
        <v>2</v>
      </c>
      <c r="CC55" s="126">
        <v>2</v>
      </c>
      <c r="CD55" s="126">
        <v>1</v>
      </c>
      <c r="CE55" s="126">
        <v>1</v>
      </c>
      <c r="CF55" s="126">
        <v>5</v>
      </c>
      <c r="CG55" s="126">
        <v>5</v>
      </c>
      <c r="CH55" s="74">
        <v>5</v>
      </c>
      <c r="CI55" s="126">
        <v>5</v>
      </c>
      <c r="CJ55" s="126">
        <v>2</v>
      </c>
      <c r="CK55" s="127">
        <f t="shared" si="184"/>
        <v>40</v>
      </c>
      <c r="CL55" s="118">
        <v>1</v>
      </c>
      <c r="CM55" s="118">
        <v>5</v>
      </c>
      <c r="CN55" s="118">
        <v>5</v>
      </c>
      <c r="CO55" s="118">
        <v>5</v>
      </c>
      <c r="CP55" s="118">
        <v>1</v>
      </c>
      <c r="CQ55" s="123">
        <v>5</v>
      </c>
      <c r="CR55" s="118">
        <v>1</v>
      </c>
      <c r="CS55" s="118">
        <v>3</v>
      </c>
      <c r="CT55" s="118">
        <v>3</v>
      </c>
      <c r="CU55" s="118">
        <v>1</v>
      </c>
      <c r="CV55" s="118">
        <v>5</v>
      </c>
      <c r="CW55" s="118">
        <v>1</v>
      </c>
      <c r="CX55" s="118">
        <v>1</v>
      </c>
      <c r="CY55" s="76">
        <v>5</v>
      </c>
      <c r="CZ55" s="118">
        <v>5</v>
      </c>
      <c r="DA55" s="118">
        <v>1</v>
      </c>
      <c r="DB55" s="118">
        <v>5</v>
      </c>
      <c r="DC55" s="118">
        <v>5</v>
      </c>
      <c r="DD55" s="118">
        <v>2</v>
      </c>
      <c r="DE55" s="118">
        <v>4</v>
      </c>
      <c r="DF55" s="118">
        <v>5</v>
      </c>
      <c r="DG55" s="118">
        <v>5</v>
      </c>
      <c r="DH55" s="118">
        <v>3</v>
      </c>
      <c r="DI55" s="118">
        <v>5</v>
      </c>
      <c r="DJ55" s="118">
        <v>2</v>
      </c>
      <c r="DK55" s="118">
        <v>2</v>
      </c>
      <c r="DL55" s="118">
        <v>3</v>
      </c>
      <c r="DM55" s="118">
        <v>1</v>
      </c>
      <c r="DN55" s="118">
        <f t="shared" si="7"/>
        <v>90</v>
      </c>
      <c r="DO55" s="76">
        <v>21</v>
      </c>
      <c r="DP55" s="124">
        <v>0</v>
      </c>
      <c r="DQ55" s="124">
        <v>0</v>
      </c>
      <c r="DR55" s="124">
        <v>1</v>
      </c>
      <c r="DS55" s="124">
        <v>0</v>
      </c>
      <c r="DT55" s="124">
        <v>1</v>
      </c>
      <c r="DU55" s="124">
        <v>1</v>
      </c>
      <c r="DV55" s="124">
        <v>0</v>
      </c>
      <c r="DW55" s="124">
        <v>0</v>
      </c>
      <c r="DX55" s="124">
        <v>0</v>
      </c>
      <c r="DY55" s="124">
        <v>0</v>
      </c>
      <c r="DZ55" s="124">
        <v>0</v>
      </c>
      <c r="EA55" s="124">
        <v>0</v>
      </c>
      <c r="EB55" s="124">
        <v>0</v>
      </c>
      <c r="EC55" s="124">
        <v>0</v>
      </c>
      <c r="ED55" s="97">
        <v>0</v>
      </c>
      <c r="EE55" s="77">
        <f t="shared" si="124"/>
        <v>3</v>
      </c>
      <c r="EF55" s="77" t="s">
        <v>265</v>
      </c>
      <c r="EG55" s="78">
        <f t="shared" si="8"/>
        <v>3</v>
      </c>
      <c r="EH55" s="97">
        <v>0</v>
      </c>
      <c r="EI55" s="97">
        <v>0</v>
      </c>
      <c r="EJ55" s="97">
        <v>0.5</v>
      </c>
      <c r="EK55" s="97">
        <v>0</v>
      </c>
      <c r="EL55" s="97">
        <v>0</v>
      </c>
      <c r="EM55" s="97">
        <v>0</v>
      </c>
      <c r="EN55" s="97">
        <v>0</v>
      </c>
      <c r="EO55" s="97">
        <v>1</v>
      </c>
      <c r="EP55" s="97">
        <v>0</v>
      </c>
      <c r="EQ55" s="97">
        <v>0</v>
      </c>
      <c r="ER55" s="97">
        <v>1</v>
      </c>
      <c r="ES55" s="97">
        <v>1</v>
      </c>
      <c r="ET55" s="97">
        <v>1</v>
      </c>
      <c r="EU55" s="97">
        <v>0</v>
      </c>
      <c r="EV55" s="97">
        <v>0</v>
      </c>
      <c r="EW55" s="97">
        <v>0</v>
      </c>
      <c r="EX55" s="97">
        <v>0</v>
      </c>
      <c r="EY55" s="97">
        <v>0</v>
      </c>
      <c r="EZ55" s="97">
        <v>0</v>
      </c>
      <c r="FA55" s="97">
        <v>0</v>
      </c>
      <c r="FB55" s="97">
        <v>0</v>
      </c>
      <c r="FC55" s="97">
        <v>0</v>
      </c>
      <c r="FD55" s="79">
        <f t="shared" si="9"/>
        <v>4.5</v>
      </c>
      <c r="FE55" s="79">
        <v>2</v>
      </c>
      <c r="FF55" s="97">
        <v>1</v>
      </c>
      <c r="FG55" s="97">
        <v>1</v>
      </c>
      <c r="FH55" s="97">
        <v>1</v>
      </c>
      <c r="FI55" s="97">
        <v>1</v>
      </c>
      <c r="FJ55" s="97">
        <v>1</v>
      </c>
      <c r="FK55" s="97">
        <v>1</v>
      </c>
      <c r="FL55" s="97">
        <v>1</v>
      </c>
      <c r="FM55" s="97">
        <v>1</v>
      </c>
      <c r="FN55" s="81">
        <f t="shared" si="10"/>
        <v>8</v>
      </c>
      <c r="FO55" s="82">
        <v>1</v>
      </c>
      <c r="FP55" s="97">
        <v>10</v>
      </c>
      <c r="FQ55" s="97">
        <v>5</v>
      </c>
      <c r="FR55" s="97">
        <v>10</v>
      </c>
      <c r="FS55" s="97">
        <v>5</v>
      </c>
      <c r="FT55" s="97">
        <v>10</v>
      </c>
      <c r="FU55" s="97">
        <v>10</v>
      </c>
      <c r="FV55" s="97">
        <v>10</v>
      </c>
      <c r="FW55" s="97">
        <v>15</v>
      </c>
      <c r="FX55" s="97">
        <v>15</v>
      </c>
      <c r="FY55" s="97">
        <v>10</v>
      </c>
      <c r="FZ55" s="83">
        <f t="shared" si="11"/>
        <v>100</v>
      </c>
      <c r="GA55" s="84">
        <v>1</v>
      </c>
      <c r="GB55" s="55">
        <v>0</v>
      </c>
      <c r="GC55" s="85">
        <v>0</v>
      </c>
      <c r="GD55" s="85">
        <v>0</v>
      </c>
      <c r="GE55" s="85">
        <v>0</v>
      </c>
      <c r="GF55" s="85">
        <v>0</v>
      </c>
      <c r="GG55" s="85">
        <v>0</v>
      </c>
      <c r="GH55" s="85">
        <v>0</v>
      </c>
      <c r="GI55" s="97">
        <v>0</v>
      </c>
      <c r="GJ55" s="97">
        <v>3</v>
      </c>
      <c r="GK55" s="97">
        <v>0</v>
      </c>
      <c r="GL55" s="97">
        <v>1</v>
      </c>
      <c r="GM55" s="97">
        <v>1</v>
      </c>
      <c r="GN55" s="97">
        <v>0</v>
      </c>
      <c r="GO55" s="97">
        <v>0</v>
      </c>
      <c r="GP55" s="97">
        <v>0</v>
      </c>
      <c r="GQ55" s="97">
        <v>1</v>
      </c>
      <c r="GR55" s="97">
        <v>0</v>
      </c>
      <c r="GS55" s="97">
        <v>1</v>
      </c>
      <c r="GT55" s="97">
        <v>0</v>
      </c>
      <c r="GU55" s="86">
        <f t="shared" si="12"/>
        <v>7</v>
      </c>
      <c r="GV55" s="87" t="s">
        <v>266</v>
      </c>
      <c r="GW55" s="87">
        <v>0</v>
      </c>
      <c r="GX55" s="88" t="s">
        <v>265</v>
      </c>
      <c r="GY55" s="55">
        <v>5</v>
      </c>
      <c r="GZ55" s="55">
        <v>5</v>
      </c>
      <c r="HA55" s="55">
        <v>3</v>
      </c>
      <c r="HB55" s="55">
        <v>3</v>
      </c>
      <c r="HC55" s="55">
        <v>5</v>
      </c>
      <c r="HD55" s="55">
        <v>5</v>
      </c>
      <c r="HE55" s="55"/>
      <c r="HF55" s="55"/>
      <c r="HG55" s="55">
        <v>3</v>
      </c>
      <c r="HH55" s="55">
        <v>7</v>
      </c>
      <c r="HI55" s="55">
        <v>7</v>
      </c>
      <c r="HJ55" s="55"/>
      <c r="HK55" s="55">
        <v>3</v>
      </c>
      <c r="HL55" s="55">
        <v>6</v>
      </c>
      <c r="HM55" s="55">
        <v>5</v>
      </c>
      <c r="HN55" s="55">
        <v>1</v>
      </c>
      <c r="HO55" s="55">
        <v>3</v>
      </c>
      <c r="HP55" s="55">
        <v>1</v>
      </c>
      <c r="HQ55" s="55">
        <v>2</v>
      </c>
      <c r="HR55" s="55">
        <v>1</v>
      </c>
      <c r="HS55" s="55">
        <v>1</v>
      </c>
      <c r="HT55" s="55">
        <v>2</v>
      </c>
      <c r="HU55" s="55">
        <v>3</v>
      </c>
      <c r="HV55" s="55">
        <v>1</v>
      </c>
      <c r="HW55" s="55">
        <v>1</v>
      </c>
      <c r="HX55" s="55">
        <v>2</v>
      </c>
      <c r="HY55" s="55">
        <v>5</v>
      </c>
      <c r="HZ55" s="55">
        <v>4</v>
      </c>
      <c r="IA55" s="55">
        <v>4</v>
      </c>
      <c r="IB55" s="55">
        <v>7</v>
      </c>
      <c r="IC55" s="55"/>
      <c r="ID55" s="55">
        <f t="shared" ref="ID55:IG55" si="191">SUM(GY55)</f>
        <v>5</v>
      </c>
      <c r="IE55" s="55">
        <f t="shared" si="191"/>
        <v>5</v>
      </c>
      <c r="IF55" s="55">
        <f t="shared" si="191"/>
        <v>3</v>
      </c>
      <c r="IG55" s="55">
        <f t="shared" si="191"/>
        <v>3</v>
      </c>
      <c r="IH55" s="55">
        <f t="shared" si="14"/>
        <v>10</v>
      </c>
      <c r="II55" s="55">
        <f t="shared" si="15"/>
        <v>3</v>
      </c>
      <c r="IJ55" s="55">
        <f t="shared" si="16"/>
        <v>14</v>
      </c>
      <c r="IK55" s="55">
        <f t="shared" ref="IK55:IQ55" si="192">SUM(HK55)</f>
        <v>3</v>
      </c>
      <c r="IL55" s="55">
        <f t="shared" si="192"/>
        <v>6</v>
      </c>
      <c r="IM55" s="55">
        <f t="shared" si="192"/>
        <v>5</v>
      </c>
      <c r="IN55" s="55">
        <f t="shared" si="192"/>
        <v>1</v>
      </c>
      <c r="IO55" s="55">
        <f t="shared" si="192"/>
        <v>3</v>
      </c>
      <c r="IP55" s="55">
        <f t="shared" si="192"/>
        <v>1</v>
      </c>
      <c r="IQ55" s="55">
        <f t="shared" si="192"/>
        <v>2</v>
      </c>
      <c r="IR55" s="55">
        <f t="shared" si="18"/>
        <v>2</v>
      </c>
      <c r="IS55" s="55">
        <f t="shared" ref="IS55:JB55" si="193">SUM(HT55)</f>
        <v>2</v>
      </c>
      <c r="IT55" s="55">
        <f t="shared" si="193"/>
        <v>3</v>
      </c>
      <c r="IU55" s="55">
        <f t="shared" si="193"/>
        <v>1</v>
      </c>
      <c r="IV55" s="55">
        <f t="shared" si="193"/>
        <v>1</v>
      </c>
      <c r="IW55" s="55">
        <f t="shared" si="193"/>
        <v>2</v>
      </c>
      <c r="IX55" s="55">
        <f t="shared" si="193"/>
        <v>5</v>
      </c>
      <c r="IY55" s="55">
        <f t="shared" si="193"/>
        <v>4</v>
      </c>
      <c r="IZ55" s="55">
        <f t="shared" si="193"/>
        <v>4</v>
      </c>
      <c r="JA55" s="55">
        <f t="shared" si="193"/>
        <v>7</v>
      </c>
      <c r="JB55" s="55">
        <f t="shared" si="193"/>
        <v>0</v>
      </c>
      <c r="JC55" s="89">
        <f t="shared" si="20"/>
        <v>92</v>
      </c>
      <c r="JD55" s="90">
        <v>1</v>
      </c>
      <c r="JE55" s="90">
        <v>1</v>
      </c>
      <c r="JF55" s="91">
        <v>53</v>
      </c>
      <c r="JG55" s="91">
        <v>2</v>
      </c>
      <c r="JH55" s="55">
        <v>2</v>
      </c>
      <c r="JI55" s="55">
        <v>2</v>
      </c>
      <c r="JJ55" s="55">
        <v>2</v>
      </c>
      <c r="JK55" s="55">
        <v>0</v>
      </c>
      <c r="JL55" s="55">
        <v>0</v>
      </c>
      <c r="JM55" s="55">
        <v>0</v>
      </c>
      <c r="JN55" s="55">
        <v>0</v>
      </c>
      <c r="JO55" s="55">
        <v>0</v>
      </c>
      <c r="JP55" s="89">
        <f t="shared" si="170"/>
        <v>6</v>
      </c>
      <c r="JQ55" s="55">
        <v>2</v>
      </c>
      <c r="JR55" s="55">
        <v>0</v>
      </c>
      <c r="JS55" s="55">
        <v>0</v>
      </c>
      <c r="JT55" s="55">
        <v>0</v>
      </c>
      <c r="JU55" s="55">
        <v>0</v>
      </c>
      <c r="JV55" s="55">
        <v>0</v>
      </c>
      <c r="JW55" s="55">
        <v>0</v>
      </c>
      <c r="JX55" s="92">
        <f t="shared" si="22"/>
        <v>2</v>
      </c>
      <c r="JY55" s="93">
        <f t="shared" si="23"/>
        <v>8</v>
      </c>
      <c r="JZ55" s="55">
        <v>2</v>
      </c>
      <c r="KA55" s="55">
        <v>2</v>
      </c>
      <c r="KB55" s="55">
        <v>1</v>
      </c>
      <c r="KC55" s="55">
        <v>0</v>
      </c>
      <c r="KD55" s="55">
        <v>0</v>
      </c>
      <c r="KE55" s="55">
        <v>0</v>
      </c>
      <c r="KF55" s="55">
        <v>0</v>
      </c>
      <c r="KG55" s="94">
        <f t="shared" si="24"/>
        <v>5</v>
      </c>
      <c r="KH55" s="95" t="s">
        <v>333</v>
      </c>
      <c r="KI55" s="55">
        <v>0</v>
      </c>
      <c r="KJ55" s="55">
        <v>2</v>
      </c>
      <c r="KK55" s="55">
        <v>1</v>
      </c>
      <c r="KL55" s="95" t="s">
        <v>333</v>
      </c>
      <c r="KM55" s="55">
        <v>0</v>
      </c>
      <c r="KN55" s="55">
        <v>2</v>
      </c>
      <c r="KO55" s="55">
        <v>1</v>
      </c>
      <c r="KP55" s="95" t="s">
        <v>319</v>
      </c>
      <c r="KQ55" s="55">
        <v>0</v>
      </c>
      <c r="KR55" s="55">
        <v>2</v>
      </c>
      <c r="KS55" s="55">
        <v>0</v>
      </c>
      <c r="KT55" s="95" t="s">
        <v>320</v>
      </c>
      <c r="KU55" s="55">
        <v>0</v>
      </c>
      <c r="KV55" s="55">
        <v>2</v>
      </c>
      <c r="KW55" s="55">
        <v>1</v>
      </c>
      <c r="KX55" s="95" t="s">
        <v>319</v>
      </c>
      <c r="KY55" s="55">
        <v>0</v>
      </c>
      <c r="KZ55" s="55">
        <v>2</v>
      </c>
      <c r="LA55" s="55">
        <v>2</v>
      </c>
      <c r="LB55" s="95" t="s">
        <v>315</v>
      </c>
      <c r="LC55" s="55">
        <v>0</v>
      </c>
      <c r="LD55" s="55">
        <v>2</v>
      </c>
      <c r="LE55" s="55">
        <v>1</v>
      </c>
      <c r="LF55" s="95" t="s">
        <v>321</v>
      </c>
      <c r="LG55" s="55">
        <v>0</v>
      </c>
      <c r="LH55" s="55">
        <v>2</v>
      </c>
      <c r="LI55" s="55">
        <v>2</v>
      </c>
      <c r="LJ55" s="95" t="s">
        <v>322</v>
      </c>
      <c r="LK55" s="55">
        <v>0</v>
      </c>
      <c r="LL55" s="55">
        <v>2</v>
      </c>
      <c r="LM55" s="55">
        <v>3</v>
      </c>
      <c r="LN55" s="96">
        <f t="shared" si="25"/>
        <v>27</v>
      </c>
      <c r="LO55" s="97">
        <f t="shared" si="26"/>
        <v>11</v>
      </c>
      <c r="LP55" s="97">
        <f t="shared" si="27"/>
        <v>40</v>
      </c>
    </row>
    <row r="56" spans="1:328" s="98" customFormat="1" ht="13.8">
      <c r="A56" s="55" t="s">
        <v>604</v>
      </c>
      <c r="B56" s="110">
        <v>45966</v>
      </c>
      <c r="C56" s="61">
        <v>29</v>
      </c>
      <c r="D56" s="62" t="s">
        <v>763</v>
      </c>
      <c r="E56" s="62"/>
      <c r="F56" s="61">
        <v>1</v>
      </c>
      <c r="G56" s="61">
        <v>1</v>
      </c>
      <c r="H56" s="61">
        <v>1</v>
      </c>
      <c r="I56" s="164">
        <v>4</v>
      </c>
      <c r="J56" s="164">
        <v>2</v>
      </c>
      <c r="K56" s="63">
        <v>0.10972222222222222</v>
      </c>
      <c r="L56" s="63">
        <v>5.2083333333333336E-2</v>
      </c>
      <c r="M56" s="63">
        <v>2.0833333333333332E-2</v>
      </c>
      <c r="N56" s="64" t="s">
        <v>1041</v>
      </c>
      <c r="O56" s="101" t="s">
        <v>1030</v>
      </c>
      <c r="P56" s="95" t="s">
        <v>659</v>
      </c>
      <c r="Q56" s="95">
        <v>1</v>
      </c>
      <c r="R56" s="125">
        <v>19740</v>
      </c>
      <c r="S56" s="95">
        <v>71</v>
      </c>
      <c r="T56" s="95" t="s">
        <v>310</v>
      </c>
      <c r="U56" s="95" t="s">
        <v>276</v>
      </c>
      <c r="V56" s="130" t="s">
        <v>660</v>
      </c>
      <c r="W56" s="95" t="s">
        <v>595</v>
      </c>
      <c r="X56" s="95" t="s">
        <v>596</v>
      </c>
      <c r="Y56" s="95" t="s">
        <v>277</v>
      </c>
      <c r="Z56" s="95" t="s">
        <v>262</v>
      </c>
      <c r="AA56" s="95" t="s">
        <v>502</v>
      </c>
      <c r="AB56" s="95" t="s">
        <v>264</v>
      </c>
      <c r="AC56" s="95" t="s">
        <v>597</v>
      </c>
      <c r="AD56" s="95" t="s">
        <v>599</v>
      </c>
      <c r="AE56" s="95" t="s">
        <v>661</v>
      </c>
      <c r="AF56" s="95" t="s">
        <v>597</v>
      </c>
      <c r="AG56" s="95" t="s">
        <v>602</v>
      </c>
      <c r="AH56" s="95" t="s">
        <v>599</v>
      </c>
      <c r="AI56" s="95" t="s">
        <v>597</v>
      </c>
      <c r="AJ56" s="125">
        <v>45587</v>
      </c>
      <c r="AK56" s="55" t="s">
        <v>610</v>
      </c>
      <c r="AL56" s="115">
        <v>1</v>
      </c>
      <c r="AM56" s="115">
        <v>1</v>
      </c>
      <c r="AN56" s="115">
        <v>1</v>
      </c>
      <c r="AO56" s="115">
        <v>1</v>
      </c>
      <c r="AP56" s="115">
        <v>1</v>
      </c>
      <c r="AQ56" s="115">
        <v>1</v>
      </c>
      <c r="AR56" s="115">
        <v>1</v>
      </c>
      <c r="AS56" s="115">
        <v>1</v>
      </c>
      <c r="AT56" s="70">
        <f t="shared" si="0"/>
        <v>8</v>
      </c>
      <c r="AU56" s="71">
        <v>1</v>
      </c>
      <c r="AV56" s="71">
        <v>1</v>
      </c>
      <c r="AW56" s="71">
        <v>1</v>
      </c>
      <c r="AX56" s="71">
        <v>1</v>
      </c>
      <c r="AY56" s="70">
        <f t="shared" si="1"/>
        <v>4</v>
      </c>
      <c r="AZ56" s="69">
        <v>1</v>
      </c>
      <c r="BA56" s="69">
        <v>1</v>
      </c>
      <c r="BB56" s="69">
        <v>1</v>
      </c>
      <c r="BC56" s="69">
        <v>1</v>
      </c>
      <c r="BD56" s="69">
        <v>1</v>
      </c>
      <c r="BE56" s="69">
        <v>1</v>
      </c>
      <c r="BF56" s="69">
        <v>1</v>
      </c>
      <c r="BG56" s="69">
        <v>1</v>
      </c>
      <c r="BH56" s="70">
        <f t="shared" si="2"/>
        <v>8</v>
      </c>
      <c r="BI56" s="69">
        <v>1</v>
      </c>
      <c r="BJ56" s="69">
        <v>1</v>
      </c>
      <c r="BK56" s="70">
        <f t="shared" si="3"/>
        <v>2</v>
      </c>
      <c r="BL56" s="72">
        <v>1</v>
      </c>
      <c r="BM56" s="72">
        <v>1</v>
      </c>
      <c r="BN56" s="72">
        <v>1</v>
      </c>
      <c r="BO56" s="72">
        <v>1</v>
      </c>
      <c r="BP56" s="72">
        <v>1</v>
      </c>
      <c r="BQ56" s="72">
        <v>1</v>
      </c>
      <c r="BR56" s="72">
        <v>1</v>
      </c>
      <c r="BS56" s="72">
        <v>1</v>
      </c>
      <c r="BT56" s="70">
        <f t="shared" si="4"/>
        <v>7</v>
      </c>
      <c r="BU56" s="70">
        <f t="shared" si="5"/>
        <v>29</v>
      </c>
      <c r="BV56" s="105">
        <v>5</v>
      </c>
      <c r="BW56" s="105">
        <v>5</v>
      </c>
      <c r="BX56" s="105">
        <v>5</v>
      </c>
      <c r="BY56" s="73">
        <v>1</v>
      </c>
      <c r="BZ56" s="105">
        <v>5</v>
      </c>
      <c r="CA56" s="73">
        <v>3</v>
      </c>
      <c r="CB56" s="105">
        <v>5</v>
      </c>
      <c r="CC56" s="73">
        <v>5</v>
      </c>
      <c r="CD56" s="73">
        <v>2</v>
      </c>
      <c r="CE56" s="73">
        <v>3</v>
      </c>
      <c r="CF56" s="73">
        <v>3</v>
      </c>
      <c r="CG56" s="73">
        <v>5</v>
      </c>
      <c r="CH56" s="74">
        <v>5</v>
      </c>
      <c r="CI56" s="105">
        <v>5</v>
      </c>
      <c r="CJ56" s="73">
        <v>3</v>
      </c>
      <c r="CK56" s="75">
        <f t="shared" si="184"/>
        <v>60</v>
      </c>
      <c r="CL56" s="76">
        <v>5</v>
      </c>
      <c r="CM56" s="76">
        <v>1</v>
      </c>
      <c r="CN56" s="76">
        <v>5</v>
      </c>
      <c r="CO56" s="76">
        <v>5</v>
      </c>
      <c r="CP56" s="76">
        <v>5</v>
      </c>
      <c r="CQ56" s="106">
        <v>5</v>
      </c>
      <c r="CR56" s="76">
        <v>1</v>
      </c>
      <c r="CS56" s="76">
        <v>5</v>
      </c>
      <c r="CT56" s="76">
        <v>5</v>
      </c>
      <c r="CU56" s="76">
        <v>5</v>
      </c>
      <c r="CV56" s="76">
        <v>5</v>
      </c>
      <c r="CW56" s="76">
        <v>1</v>
      </c>
      <c r="CX56" s="76">
        <v>1</v>
      </c>
      <c r="CY56" s="76">
        <v>5</v>
      </c>
      <c r="CZ56" s="76">
        <v>5</v>
      </c>
      <c r="DA56" s="76">
        <v>5</v>
      </c>
      <c r="DB56" s="76">
        <v>5</v>
      </c>
      <c r="DC56" s="76">
        <v>4</v>
      </c>
      <c r="DD56" s="76">
        <v>5</v>
      </c>
      <c r="DE56" s="76">
        <v>5</v>
      </c>
      <c r="DF56" s="76">
        <v>5</v>
      </c>
      <c r="DG56" s="76">
        <v>5</v>
      </c>
      <c r="DH56" s="76">
        <v>5</v>
      </c>
      <c r="DI56" s="76">
        <v>5</v>
      </c>
      <c r="DJ56" s="76">
        <v>1</v>
      </c>
      <c r="DK56" s="76">
        <v>5</v>
      </c>
      <c r="DL56" s="76">
        <v>3</v>
      </c>
      <c r="DM56" s="76">
        <v>1</v>
      </c>
      <c r="DN56" s="76">
        <f t="shared" si="7"/>
        <v>113</v>
      </c>
      <c r="DO56" s="76">
        <v>30</v>
      </c>
      <c r="DP56" s="55">
        <v>0</v>
      </c>
      <c r="DQ56" s="55">
        <v>1</v>
      </c>
      <c r="DR56" s="55">
        <v>0</v>
      </c>
      <c r="DS56" s="55">
        <v>0</v>
      </c>
      <c r="DT56" s="55">
        <v>0</v>
      </c>
      <c r="DU56" s="55">
        <v>0</v>
      </c>
      <c r="DV56" s="55">
        <v>1</v>
      </c>
      <c r="DW56" s="55">
        <v>0</v>
      </c>
      <c r="DX56" s="55">
        <v>1</v>
      </c>
      <c r="DY56" s="55">
        <v>0</v>
      </c>
      <c r="DZ56" s="55">
        <v>0</v>
      </c>
      <c r="EA56" s="55">
        <v>0</v>
      </c>
      <c r="EB56" s="55">
        <v>0</v>
      </c>
      <c r="EC56" s="55">
        <v>0</v>
      </c>
      <c r="ED56" s="55">
        <v>0</v>
      </c>
      <c r="EE56" s="77">
        <f t="shared" si="124"/>
        <v>3</v>
      </c>
      <c r="EF56" s="77" t="s">
        <v>265</v>
      </c>
      <c r="EG56" s="78">
        <f t="shared" si="8"/>
        <v>3</v>
      </c>
      <c r="EH56" s="55">
        <v>0</v>
      </c>
      <c r="EI56" s="55">
        <v>0.5</v>
      </c>
      <c r="EJ56" s="55">
        <v>0.5</v>
      </c>
      <c r="EK56" s="55">
        <v>0</v>
      </c>
      <c r="EL56" s="55">
        <v>0</v>
      </c>
      <c r="EM56" s="55">
        <v>0</v>
      </c>
      <c r="EN56" s="55">
        <v>0</v>
      </c>
      <c r="EO56" s="55">
        <v>0.5</v>
      </c>
      <c r="EP56" s="55">
        <v>0.5</v>
      </c>
      <c r="EQ56" s="55">
        <v>0</v>
      </c>
      <c r="ER56" s="55">
        <v>0</v>
      </c>
      <c r="ES56" s="55">
        <v>1</v>
      </c>
      <c r="ET56" s="55">
        <v>0</v>
      </c>
      <c r="EU56" s="55">
        <v>0</v>
      </c>
      <c r="EV56" s="55">
        <v>0</v>
      </c>
      <c r="EW56" s="55">
        <v>0</v>
      </c>
      <c r="EX56" s="55">
        <v>0</v>
      </c>
      <c r="EY56" s="55">
        <v>0</v>
      </c>
      <c r="EZ56" s="55">
        <v>0</v>
      </c>
      <c r="FA56" s="55">
        <v>0</v>
      </c>
      <c r="FB56" s="55">
        <v>0</v>
      </c>
      <c r="FC56" s="55">
        <v>0</v>
      </c>
      <c r="FD56" s="79">
        <f t="shared" si="9"/>
        <v>3</v>
      </c>
      <c r="FE56" s="80">
        <v>1</v>
      </c>
      <c r="FF56" s="55">
        <v>1</v>
      </c>
      <c r="FG56" s="55">
        <v>1</v>
      </c>
      <c r="FH56" s="55">
        <v>1</v>
      </c>
      <c r="FI56" s="55">
        <v>1</v>
      </c>
      <c r="FJ56" s="55">
        <v>1</v>
      </c>
      <c r="FK56" s="55">
        <v>1</v>
      </c>
      <c r="FL56" s="55">
        <v>1</v>
      </c>
      <c r="FM56" s="55">
        <v>1</v>
      </c>
      <c r="FN56" s="81">
        <f t="shared" si="10"/>
        <v>8</v>
      </c>
      <c r="FO56" s="82">
        <v>1</v>
      </c>
      <c r="FP56" s="55">
        <v>10</v>
      </c>
      <c r="FQ56" s="55">
        <v>5</v>
      </c>
      <c r="FR56" s="55">
        <v>10</v>
      </c>
      <c r="FS56" s="55">
        <v>5</v>
      </c>
      <c r="FT56" s="55">
        <v>10</v>
      </c>
      <c r="FU56" s="55">
        <v>10</v>
      </c>
      <c r="FV56" s="55">
        <v>10</v>
      </c>
      <c r="FW56" s="55">
        <v>15</v>
      </c>
      <c r="FX56" s="55">
        <v>15</v>
      </c>
      <c r="FY56" s="55">
        <v>10</v>
      </c>
      <c r="FZ56" s="83">
        <f t="shared" si="11"/>
        <v>100</v>
      </c>
      <c r="GA56" s="84">
        <v>1</v>
      </c>
      <c r="GB56" s="55">
        <v>0</v>
      </c>
      <c r="GC56" s="85">
        <v>0</v>
      </c>
      <c r="GD56" s="85">
        <v>0</v>
      </c>
      <c r="GE56" s="85">
        <v>0</v>
      </c>
      <c r="GF56" s="85">
        <v>0</v>
      </c>
      <c r="GG56" s="85">
        <v>0</v>
      </c>
      <c r="GH56" s="85">
        <v>0</v>
      </c>
      <c r="GI56" s="55">
        <v>0</v>
      </c>
      <c r="GJ56" s="55">
        <v>0</v>
      </c>
      <c r="GK56" s="55">
        <v>0</v>
      </c>
      <c r="GL56" s="55">
        <v>0</v>
      </c>
      <c r="GM56" s="55">
        <v>1</v>
      </c>
      <c r="GN56" s="55">
        <v>0</v>
      </c>
      <c r="GO56" s="55">
        <v>0</v>
      </c>
      <c r="GP56" s="55">
        <v>0</v>
      </c>
      <c r="GQ56" s="55">
        <v>0</v>
      </c>
      <c r="GR56" s="55">
        <v>0</v>
      </c>
      <c r="GS56" s="55">
        <v>0</v>
      </c>
      <c r="GT56" s="55">
        <v>0</v>
      </c>
      <c r="GU56" s="86">
        <f t="shared" si="12"/>
        <v>1</v>
      </c>
      <c r="GV56" s="87" t="s">
        <v>266</v>
      </c>
      <c r="GW56" s="87">
        <v>0</v>
      </c>
      <c r="GX56" s="88" t="s">
        <v>267</v>
      </c>
      <c r="GY56" s="55">
        <v>5</v>
      </c>
      <c r="GZ56" s="55">
        <v>5</v>
      </c>
      <c r="HA56" s="55">
        <v>3</v>
      </c>
      <c r="HB56" s="55">
        <v>1</v>
      </c>
      <c r="HC56" s="55">
        <v>4</v>
      </c>
      <c r="HD56" s="55">
        <v>5</v>
      </c>
      <c r="HE56" s="55"/>
      <c r="HF56" s="55"/>
      <c r="HG56" s="55">
        <v>2</v>
      </c>
      <c r="HH56" s="55">
        <v>7</v>
      </c>
      <c r="HI56" s="55">
        <v>7</v>
      </c>
      <c r="HJ56" s="55"/>
      <c r="HK56" s="55">
        <v>4</v>
      </c>
      <c r="HL56" s="55">
        <v>7</v>
      </c>
      <c r="HM56" s="55">
        <v>5</v>
      </c>
      <c r="HN56" s="55">
        <v>1</v>
      </c>
      <c r="HO56" s="55">
        <v>3</v>
      </c>
      <c r="HP56" s="55">
        <v>1</v>
      </c>
      <c r="HQ56" s="55">
        <v>2</v>
      </c>
      <c r="HR56" s="55">
        <v>1</v>
      </c>
      <c r="HS56" s="55">
        <v>1</v>
      </c>
      <c r="HT56" s="55">
        <v>2</v>
      </c>
      <c r="HU56" s="55">
        <v>3</v>
      </c>
      <c r="HV56" s="55">
        <v>1</v>
      </c>
      <c r="HW56" s="55">
        <v>1</v>
      </c>
      <c r="HX56" s="55">
        <v>1</v>
      </c>
      <c r="HY56" s="55">
        <v>5</v>
      </c>
      <c r="HZ56" s="55">
        <v>4</v>
      </c>
      <c r="IA56" s="55">
        <v>4</v>
      </c>
      <c r="IB56" s="55">
        <v>7</v>
      </c>
      <c r="IC56" s="55"/>
      <c r="ID56" s="55">
        <f t="shared" ref="ID56:IG56" si="194">SUM(GY56)</f>
        <v>5</v>
      </c>
      <c r="IE56" s="55">
        <f t="shared" si="194"/>
        <v>5</v>
      </c>
      <c r="IF56" s="55">
        <f t="shared" si="194"/>
        <v>3</v>
      </c>
      <c r="IG56" s="55">
        <f t="shared" si="194"/>
        <v>1</v>
      </c>
      <c r="IH56" s="55">
        <f t="shared" si="14"/>
        <v>9</v>
      </c>
      <c r="II56" s="55">
        <f t="shared" si="15"/>
        <v>2</v>
      </c>
      <c r="IJ56" s="55">
        <f t="shared" si="16"/>
        <v>14</v>
      </c>
      <c r="IK56" s="55">
        <f t="shared" ref="IK56:IQ56" si="195">SUM(HK56)</f>
        <v>4</v>
      </c>
      <c r="IL56" s="55">
        <f t="shared" si="195"/>
        <v>7</v>
      </c>
      <c r="IM56" s="55">
        <f t="shared" si="195"/>
        <v>5</v>
      </c>
      <c r="IN56" s="55">
        <f t="shared" si="195"/>
        <v>1</v>
      </c>
      <c r="IO56" s="55">
        <f t="shared" si="195"/>
        <v>3</v>
      </c>
      <c r="IP56" s="55">
        <f t="shared" si="195"/>
        <v>1</v>
      </c>
      <c r="IQ56" s="55">
        <f t="shared" si="195"/>
        <v>2</v>
      </c>
      <c r="IR56" s="55">
        <f t="shared" si="18"/>
        <v>2</v>
      </c>
      <c r="IS56" s="55">
        <f t="shared" ref="IS56:JB56" si="196">SUM(HT56)</f>
        <v>2</v>
      </c>
      <c r="IT56" s="55">
        <f t="shared" si="196"/>
        <v>3</v>
      </c>
      <c r="IU56" s="55">
        <f t="shared" si="196"/>
        <v>1</v>
      </c>
      <c r="IV56" s="55">
        <f t="shared" si="196"/>
        <v>1</v>
      </c>
      <c r="IW56" s="55">
        <f t="shared" si="196"/>
        <v>1</v>
      </c>
      <c r="IX56" s="55">
        <f t="shared" si="196"/>
        <v>5</v>
      </c>
      <c r="IY56" s="55">
        <f t="shared" si="196"/>
        <v>4</v>
      </c>
      <c r="IZ56" s="55">
        <f t="shared" si="196"/>
        <v>4</v>
      </c>
      <c r="JA56" s="55">
        <f t="shared" si="196"/>
        <v>7</v>
      </c>
      <c r="JB56" s="55">
        <f t="shared" si="196"/>
        <v>0</v>
      </c>
      <c r="JC56" s="89">
        <f t="shared" si="20"/>
        <v>91</v>
      </c>
      <c r="JD56" s="90">
        <v>1</v>
      </c>
      <c r="JE56" s="90"/>
      <c r="JF56" s="91">
        <v>35</v>
      </c>
      <c r="JG56" s="91">
        <v>2</v>
      </c>
      <c r="JH56" s="55">
        <v>2</v>
      </c>
      <c r="JI56" s="55">
        <v>2</v>
      </c>
      <c r="JJ56" s="55">
        <v>2</v>
      </c>
      <c r="JK56" s="55">
        <v>0</v>
      </c>
      <c r="JL56" s="55">
        <v>0</v>
      </c>
      <c r="JM56" s="55">
        <v>0</v>
      </c>
      <c r="JN56" s="55">
        <v>0</v>
      </c>
      <c r="JO56" s="55">
        <v>0</v>
      </c>
      <c r="JP56" s="89">
        <f t="shared" si="170"/>
        <v>6</v>
      </c>
      <c r="JQ56" s="55">
        <v>2</v>
      </c>
      <c r="JR56" s="55">
        <v>0</v>
      </c>
      <c r="JS56" s="55">
        <v>0</v>
      </c>
      <c r="JT56" s="55">
        <v>0</v>
      </c>
      <c r="JU56" s="55">
        <v>0</v>
      </c>
      <c r="JV56" s="55">
        <v>0</v>
      </c>
      <c r="JW56" s="55">
        <v>0</v>
      </c>
      <c r="JX56" s="92">
        <f t="shared" si="22"/>
        <v>2</v>
      </c>
      <c r="JY56" s="93">
        <f t="shared" si="23"/>
        <v>8</v>
      </c>
      <c r="JZ56" s="55">
        <v>2</v>
      </c>
      <c r="KA56" s="55">
        <v>3</v>
      </c>
      <c r="KB56" s="55">
        <v>0</v>
      </c>
      <c r="KC56" s="55">
        <v>0</v>
      </c>
      <c r="KD56" s="55">
        <v>0</v>
      </c>
      <c r="KE56" s="55">
        <v>0</v>
      </c>
      <c r="KF56" s="55">
        <v>0</v>
      </c>
      <c r="KG56" s="94">
        <f t="shared" si="24"/>
        <v>5</v>
      </c>
      <c r="KH56" s="95" t="s">
        <v>503</v>
      </c>
      <c r="KI56" s="55">
        <v>0</v>
      </c>
      <c r="KJ56" s="55">
        <v>2</v>
      </c>
      <c r="KK56" s="55">
        <v>0</v>
      </c>
      <c r="KL56" s="95" t="s">
        <v>504</v>
      </c>
      <c r="KM56" s="55">
        <v>0</v>
      </c>
      <c r="KN56" s="55">
        <v>2</v>
      </c>
      <c r="KO56" s="55">
        <v>0</v>
      </c>
      <c r="KP56" s="95" t="s">
        <v>505</v>
      </c>
      <c r="KQ56" s="55">
        <v>0</v>
      </c>
      <c r="KR56" s="55">
        <v>2</v>
      </c>
      <c r="KS56" s="55">
        <v>0</v>
      </c>
      <c r="KT56" s="95" t="s">
        <v>506</v>
      </c>
      <c r="KU56" s="55">
        <v>0</v>
      </c>
      <c r="KV56" s="55">
        <v>2</v>
      </c>
      <c r="KW56" s="55">
        <v>0</v>
      </c>
      <c r="KX56" s="95" t="s">
        <v>507</v>
      </c>
      <c r="KY56" s="55">
        <v>0</v>
      </c>
      <c r="KZ56" s="55">
        <v>2</v>
      </c>
      <c r="LA56" s="55">
        <v>0</v>
      </c>
      <c r="LB56" s="95" t="s">
        <v>330</v>
      </c>
      <c r="LC56" s="55">
        <v>0</v>
      </c>
      <c r="LD56" s="55">
        <v>2</v>
      </c>
      <c r="LE56" s="55">
        <v>0</v>
      </c>
      <c r="LF56" s="95" t="s">
        <v>508</v>
      </c>
      <c r="LG56" s="55">
        <v>1</v>
      </c>
      <c r="LH56" s="55">
        <v>1</v>
      </c>
      <c r="LI56" s="55">
        <v>0</v>
      </c>
      <c r="LJ56" s="95" t="s">
        <v>509</v>
      </c>
      <c r="LK56" s="55">
        <v>2</v>
      </c>
      <c r="LL56" s="55">
        <v>0</v>
      </c>
      <c r="LM56" s="55">
        <v>0</v>
      </c>
      <c r="LN56" s="96">
        <f t="shared" si="25"/>
        <v>13</v>
      </c>
      <c r="LO56" s="97">
        <f t="shared" si="26"/>
        <v>0</v>
      </c>
      <c r="LP56" s="97">
        <f t="shared" si="27"/>
        <v>26</v>
      </c>
    </row>
    <row r="57" spans="1:328" s="98" customFormat="1" ht="13.8">
      <c r="A57" s="55" t="s">
        <v>613</v>
      </c>
      <c r="B57" s="110">
        <v>45953</v>
      </c>
      <c r="C57" s="61">
        <v>14</v>
      </c>
      <c r="D57" s="62" t="s">
        <v>780</v>
      </c>
      <c r="E57" s="62"/>
      <c r="F57" s="61">
        <v>1</v>
      </c>
      <c r="G57" s="61">
        <v>1</v>
      </c>
      <c r="H57" s="61">
        <v>1</v>
      </c>
      <c r="I57" s="164">
        <v>6</v>
      </c>
      <c r="J57" s="164">
        <v>2</v>
      </c>
      <c r="K57" s="63">
        <v>0.21597222222222223</v>
      </c>
      <c r="L57" s="63">
        <v>7.7083333333333337E-2</v>
      </c>
      <c r="M57" s="63">
        <v>2.5000000000000001E-2</v>
      </c>
      <c r="N57" s="64" t="s">
        <v>1040</v>
      </c>
      <c r="O57" s="101" t="s">
        <v>1031</v>
      </c>
      <c r="P57" s="95" t="s">
        <v>626</v>
      </c>
      <c r="Q57" s="95">
        <v>1</v>
      </c>
      <c r="R57" s="125">
        <v>17349</v>
      </c>
      <c r="S57" s="95">
        <v>78</v>
      </c>
      <c r="T57" s="95" t="s">
        <v>259</v>
      </c>
      <c r="U57" s="95" t="s">
        <v>260</v>
      </c>
      <c r="V57" s="130" t="s">
        <v>627</v>
      </c>
      <c r="W57" s="95" t="s">
        <v>595</v>
      </c>
      <c r="X57" s="95" t="s">
        <v>596</v>
      </c>
      <c r="Y57" s="95" t="s">
        <v>311</v>
      </c>
      <c r="Z57" s="95" t="s">
        <v>262</v>
      </c>
      <c r="AA57" s="95" t="s">
        <v>323</v>
      </c>
      <c r="AB57" s="95" t="s">
        <v>279</v>
      </c>
      <c r="AC57" s="95" t="s">
        <v>597</v>
      </c>
      <c r="AD57" s="95" t="s">
        <v>597</v>
      </c>
      <c r="AE57" s="95" t="s">
        <v>602</v>
      </c>
      <c r="AF57" s="95" t="s">
        <v>597</v>
      </c>
      <c r="AG57" s="95" t="s">
        <v>610</v>
      </c>
      <c r="AH57" s="95" t="s">
        <v>599</v>
      </c>
      <c r="AI57" s="95" t="s">
        <v>599</v>
      </c>
      <c r="AJ57" s="125">
        <v>45945</v>
      </c>
      <c r="AK57" s="55" t="s">
        <v>628</v>
      </c>
      <c r="AL57" s="115">
        <v>1</v>
      </c>
      <c r="AM57" s="115">
        <v>1</v>
      </c>
      <c r="AN57" s="115">
        <v>1</v>
      </c>
      <c r="AO57" s="115">
        <v>1</v>
      </c>
      <c r="AP57" s="115">
        <v>1</v>
      </c>
      <c r="AQ57" s="115">
        <v>1</v>
      </c>
      <c r="AR57" s="115">
        <v>1</v>
      </c>
      <c r="AS57" s="115">
        <v>1</v>
      </c>
      <c r="AT57" s="70">
        <f t="shared" si="0"/>
        <v>8</v>
      </c>
      <c r="AU57" s="71">
        <v>1</v>
      </c>
      <c r="AV57" s="71">
        <v>1</v>
      </c>
      <c r="AW57" s="71">
        <v>1</v>
      </c>
      <c r="AX57" s="71">
        <v>1</v>
      </c>
      <c r="AY57" s="70">
        <f t="shared" si="1"/>
        <v>4</v>
      </c>
      <c r="AZ57" s="69">
        <v>1</v>
      </c>
      <c r="BA57" s="69">
        <v>1</v>
      </c>
      <c r="BB57" s="69">
        <v>1</v>
      </c>
      <c r="BC57" s="69">
        <v>1</v>
      </c>
      <c r="BD57" s="69">
        <v>1</v>
      </c>
      <c r="BE57" s="69">
        <v>1</v>
      </c>
      <c r="BF57" s="69">
        <v>1</v>
      </c>
      <c r="BG57" s="69">
        <v>1</v>
      </c>
      <c r="BH57" s="70">
        <f t="shared" si="2"/>
        <v>8</v>
      </c>
      <c r="BI57" s="69">
        <v>1</v>
      </c>
      <c r="BJ57" s="69">
        <v>1</v>
      </c>
      <c r="BK57" s="70">
        <f t="shared" si="3"/>
        <v>2</v>
      </c>
      <c r="BL57" s="72">
        <v>1</v>
      </c>
      <c r="BM57" s="72">
        <v>1</v>
      </c>
      <c r="BN57" s="72">
        <v>1</v>
      </c>
      <c r="BO57" s="72">
        <v>1</v>
      </c>
      <c r="BP57" s="72">
        <v>1</v>
      </c>
      <c r="BQ57" s="72">
        <v>1</v>
      </c>
      <c r="BR57" s="72">
        <v>1</v>
      </c>
      <c r="BS57" s="72">
        <v>1</v>
      </c>
      <c r="BT57" s="70">
        <f t="shared" si="4"/>
        <v>7</v>
      </c>
      <c r="BU57" s="70">
        <f t="shared" si="5"/>
        <v>29</v>
      </c>
      <c r="BV57" s="73">
        <v>5</v>
      </c>
      <c r="BW57" s="73">
        <v>5</v>
      </c>
      <c r="BX57" s="73">
        <v>5</v>
      </c>
      <c r="BY57" s="73">
        <v>1</v>
      </c>
      <c r="BZ57" s="105">
        <v>5</v>
      </c>
      <c r="CA57" s="73">
        <v>3</v>
      </c>
      <c r="CB57" s="105">
        <v>5</v>
      </c>
      <c r="CC57" s="73">
        <v>5</v>
      </c>
      <c r="CD57" s="73">
        <v>2</v>
      </c>
      <c r="CE57" s="73">
        <v>3</v>
      </c>
      <c r="CF57" s="73">
        <v>3</v>
      </c>
      <c r="CG57" s="73">
        <v>5</v>
      </c>
      <c r="CH57" s="74">
        <v>5</v>
      </c>
      <c r="CI57" s="73">
        <v>5</v>
      </c>
      <c r="CJ57" s="73">
        <v>3</v>
      </c>
      <c r="CK57" s="75">
        <f t="shared" si="184"/>
        <v>60</v>
      </c>
      <c r="CL57" s="76">
        <v>5</v>
      </c>
      <c r="CM57" s="76">
        <v>1</v>
      </c>
      <c r="CN57" s="76">
        <v>5</v>
      </c>
      <c r="CO57" s="76">
        <v>5</v>
      </c>
      <c r="CP57" s="76">
        <v>5</v>
      </c>
      <c r="CQ57" s="106">
        <v>5</v>
      </c>
      <c r="CR57" s="76">
        <v>1</v>
      </c>
      <c r="CS57" s="76">
        <v>5</v>
      </c>
      <c r="CT57" s="76">
        <v>5</v>
      </c>
      <c r="CU57" s="76">
        <v>5</v>
      </c>
      <c r="CV57" s="76">
        <v>5</v>
      </c>
      <c r="CW57" s="76">
        <v>1</v>
      </c>
      <c r="CX57" s="76">
        <v>1</v>
      </c>
      <c r="CY57" s="76">
        <v>4</v>
      </c>
      <c r="CZ57" s="76">
        <v>5</v>
      </c>
      <c r="DA57" s="76">
        <v>5</v>
      </c>
      <c r="DB57" s="76">
        <v>5</v>
      </c>
      <c r="DC57" s="76">
        <v>4</v>
      </c>
      <c r="DD57" s="76">
        <v>5</v>
      </c>
      <c r="DE57" s="76">
        <v>5</v>
      </c>
      <c r="DF57" s="76">
        <v>5</v>
      </c>
      <c r="DG57" s="76">
        <v>5</v>
      </c>
      <c r="DH57" s="76">
        <v>5</v>
      </c>
      <c r="DI57" s="76">
        <v>5</v>
      </c>
      <c r="DJ57" s="76">
        <v>1</v>
      </c>
      <c r="DK57" s="76">
        <v>5</v>
      </c>
      <c r="DL57" s="76">
        <v>3</v>
      </c>
      <c r="DM57" s="76">
        <v>1</v>
      </c>
      <c r="DN57" s="76">
        <f t="shared" si="7"/>
        <v>112</v>
      </c>
      <c r="DO57" s="76">
        <v>30</v>
      </c>
      <c r="DP57" s="55">
        <v>0</v>
      </c>
      <c r="DQ57" s="55">
        <v>0</v>
      </c>
      <c r="DR57" s="55">
        <v>0</v>
      </c>
      <c r="DS57" s="55">
        <v>0</v>
      </c>
      <c r="DT57" s="55">
        <v>0</v>
      </c>
      <c r="DU57" s="55">
        <v>0</v>
      </c>
      <c r="DV57" s="55">
        <v>0</v>
      </c>
      <c r="DW57" s="55">
        <v>0</v>
      </c>
      <c r="DX57" s="55">
        <v>0</v>
      </c>
      <c r="DY57" s="55">
        <v>0</v>
      </c>
      <c r="DZ57" s="55">
        <v>0</v>
      </c>
      <c r="EA57" s="55">
        <v>0</v>
      </c>
      <c r="EB57" s="55">
        <v>0</v>
      </c>
      <c r="EC57" s="55">
        <v>0</v>
      </c>
      <c r="ED57" s="55">
        <v>0</v>
      </c>
      <c r="EE57" s="77">
        <f t="shared" si="124"/>
        <v>0</v>
      </c>
      <c r="EF57" s="77" t="s">
        <v>265</v>
      </c>
      <c r="EG57" s="78">
        <f t="shared" si="8"/>
        <v>0</v>
      </c>
      <c r="EH57" s="55">
        <v>0</v>
      </c>
      <c r="EI57" s="55">
        <v>0</v>
      </c>
      <c r="EJ57" s="55">
        <v>0</v>
      </c>
      <c r="EK57" s="55">
        <v>0</v>
      </c>
      <c r="EL57" s="55">
        <v>0</v>
      </c>
      <c r="EM57" s="55">
        <v>0</v>
      </c>
      <c r="EN57" s="55">
        <v>0</v>
      </c>
      <c r="EO57" s="55">
        <v>0.5</v>
      </c>
      <c r="EP57" s="55">
        <v>0</v>
      </c>
      <c r="EQ57" s="55">
        <v>0</v>
      </c>
      <c r="ER57" s="55">
        <v>0</v>
      </c>
      <c r="ES57" s="55">
        <v>0</v>
      </c>
      <c r="ET57" s="55">
        <v>0</v>
      </c>
      <c r="EU57" s="55">
        <v>0</v>
      </c>
      <c r="EV57" s="55">
        <v>0</v>
      </c>
      <c r="EW57" s="55">
        <v>0</v>
      </c>
      <c r="EX57" s="55">
        <v>0</v>
      </c>
      <c r="EY57" s="55">
        <v>0</v>
      </c>
      <c r="EZ57" s="55">
        <v>0</v>
      </c>
      <c r="FA57" s="55">
        <v>0</v>
      </c>
      <c r="FB57" s="55">
        <v>0</v>
      </c>
      <c r="FC57" s="55">
        <v>0</v>
      </c>
      <c r="FD57" s="79">
        <f t="shared" si="9"/>
        <v>0.5</v>
      </c>
      <c r="FE57" s="80">
        <v>1</v>
      </c>
      <c r="FF57" s="55">
        <v>1</v>
      </c>
      <c r="FG57" s="55">
        <v>1</v>
      </c>
      <c r="FH57" s="55">
        <v>1</v>
      </c>
      <c r="FI57" s="55">
        <v>1</v>
      </c>
      <c r="FJ57" s="55">
        <v>1</v>
      </c>
      <c r="FK57" s="55">
        <v>1</v>
      </c>
      <c r="FL57" s="55">
        <v>1</v>
      </c>
      <c r="FM57" s="55">
        <v>1</v>
      </c>
      <c r="FN57" s="81">
        <f t="shared" si="10"/>
        <v>8</v>
      </c>
      <c r="FO57" s="82">
        <v>1</v>
      </c>
      <c r="FP57" s="55">
        <v>10</v>
      </c>
      <c r="FQ57" s="55">
        <v>5</v>
      </c>
      <c r="FR57" s="55">
        <v>10</v>
      </c>
      <c r="FS57" s="55">
        <v>5</v>
      </c>
      <c r="FT57" s="55">
        <v>10</v>
      </c>
      <c r="FU57" s="55">
        <v>10</v>
      </c>
      <c r="FV57" s="55">
        <v>10</v>
      </c>
      <c r="FW57" s="55">
        <v>15</v>
      </c>
      <c r="FX57" s="55">
        <v>15</v>
      </c>
      <c r="FY57" s="55">
        <v>10</v>
      </c>
      <c r="FZ57" s="83">
        <f t="shared" si="11"/>
        <v>100</v>
      </c>
      <c r="GA57" s="84">
        <v>1</v>
      </c>
      <c r="GB57" s="55">
        <v>0</v>
      </c>
      <c r="GC57" s="85">
        <v>0</v>
      </c>
      <c r="GD57" s="85">
        <v>0.5</v>
      </c>
      <c r="GE57" s="85">
        <v>0</v>
      </c>
      <c r="GF57" s="85">
        <v>0</v>
      </c>
      <c r="GG57" s="85">
        <v>0</v>
      </c>
      <c r="GH57" s="85">
        <v>0</v>
      </c>
      <c r="GI57" s="55">
        <v>0</v>
      </c>
      <c r="GJ57" s="55">
        <v>0</v>
      </c>
      <c r="GK57" s="55">
        <v>0</v>
      </c>
      <c r="GL57" s="55">
        <v>0</v>
      </c>
      <c r="GM57" s="55">
        <v>0</v>
      </c>
      <c r="GN57" s="55">
        <v>0</v>
      </c>
      <c r="GO57" s="55">
        <v>0</v>
      </c>
      <c r="GP57" s="55">
        <v>0</v>
      </c>
      <c r="GQ57" s="55">
        <v>0</v>
      </c>
      <c r="GR57" s="55">
        <v>0</v>
      </c>
      <c r="GS57" s="55">
        <v>0</v>
      </c>
      <c r="GT57" s="55">
        <v>0</v>
      </c>
      <c r="GU57" s="86">
        <f t="shared" si="12"/>
        <v>0</v>
      </c>
      <c r="GV57" s="87" t="s">
        <v>301</v>
      </c>
      <c r="GW57" s="87">
        <v>0</v>
      </c>
      <c r="GX57" s="88" t="s">
        <v>267</v>
      </c>
      <c r="GY57" s="55">
        <v>5</v>
      </c>
      <c r="GZ57" s="55">
        <v>5</v>
      </c>
      <c r="HA57" s="55">
        <v>3</v>
      </c>
      <c r="HB57" s="55">
        <v>3</v>
      </c>
      <c r="HC57" s="55">
        <v>5</v>
      </c>
      <c r="HD57" s="55">
        <v>5</v>
      </c>
      <c r="HE57" s="55"/>
      <c r="HF57" s="55"/>
      <c r="HG57" s="55">
        <v>3</v>
      </c>
      <c r="HH57" s="55">
        <v>7</v>
      </c>
      <c r="HI57" s="55">
        <v>7</v>
      </c>
      <c r="HJ57" s="55"/>
      <c r="HK57" s="55">
        <v>3</v>
      </c>
      <c r="HL57" s="55">
        <v>6</v>
      </c>
      <c r="HM57" s="55">
        <v>4</v>
      </c>
      <c r="HN57" s="55">
        <v>1</v>
      </c>
      <c r="HO57" s="55">
        <v>3</v>
      </c>
      <c r="HP57" s="55">
        <v>1</v>
      </c>
      <c r="HQ57" s="55">
        <v>2</v>
      </c>
      <c r="HR57" s="55">
        <v>1</v>
      </c>
      <c r="HS57" s="55">
        <v>1</v>
      </c>
      <c r="HT57" s="55">
        <v>2</v>
      </c>
      <c r="HU57" s="55">
        <v>3</v>
      </c>
      <c r="HV57" s="55">
        <v>1</v>
      </c>
      <c r="HW57" s="55">
        <v>1</v>
      </c>
      <c r="HX57" s="55">
        <v>2</v>
      </c>
      <c r="HY57" s="55">
        <v>3</v>
      </c>
      <c r="HZ57" s="55">
        <v>3</v>
      </c>
      <c r="IA57" s="55">
        <v>4</v>
      </c>
      <c r="IB57" s="55">
        <v>2</v>
      </c>
      <c r="IC57" s="55">
        <v>2</v>
      </c>
      <c r="ID57" s="55">
        <f t="shared" ref="ID57:IG57" si="197">SUM(GY57)</f>
        <v>5</v>
      </c>
      <c r="IE57" s="55">
        <f t="shared" si="197"/>
        <v>5</v>
      </c>
      <c r="IF57" s="55">
        <f t="shared" si="197"/>
        <v>3</v>
      </c>
      <c r="IG57" s="55">
        <f t="shared" si="197"/>
        <v>3</v>
      </c>
      <c r="IH57" s="55">
        <f t="shared" si="14"/>
        <v>10</v>
      </c>
      <c r="II57" s="55">
        <f t="shared" si="15"/>
        <v>3</v>
      </c>
      <c r="IJ57" s="55">
        <f t="shared" si="16"/>
        <v>14</v>
      </c>
      <c r="IK57" s="55">
        <f t="shared" ref="IK57:IQ57" si="198">SUM(HK57)</f>
        <v>3</v>
      </c>
      <c r="IL57" s="55">
        <f t="shared" si="198"/>
        <v>6</v>
      </c>
      <c r="IM57" s="55">
        <f t="shared" si="198"/>
        <v>4</v>
      </c>
      <c r="IN57" s="55">
        <f t="shared" si="198"/>
        <v>1</v>
      </c>
      <c r="IO57" s="55">
        <f t="shared" si="198"/>
        <v>3</v>
      </c>
      <c r="IP57" s="55">
        <f t="shared" si="198"/>
        <v>1</v>
      </c>
      <c r="IQ57" s="55">
        <f t="shared" si="198"/>
        <v>2</v>
      </c>
      <c r="IR57" s="55">
        <f t="shared" si="18"/>
        <v>2</v>
      </c>
      <c r="IS57" s="55">
        <f t="shared" ref="IS57:JB57" si="199">SUM(HT57)</f>
        <v>2</v>
      </c>
      <c r="IT57" s="55">
        <f t="shared" si="199"/>
        <v>3</v>
      </c>
      <c r="IU57" s="55">
        <f t="shared" si="199"/>
        <v>1</v>
      </c>
      <c r="IV57" s="55">
        <f t="shared" si="199"/>
        <v>1</v>
      </c>
      <c r="IW57" s="55">
        <f t="shared" si="199"/>
        <v>2</v>
      </c>
      <c r="IX57" s="55">
        <f t="shared" si="199"/>
        <v>3</v>
      </c>
      <c r="IY57" s="55">
        <f t="shared" si="199"/>
        <v>3</v>
      </c>
      <c r="IZ57" s="55">
        <f t="shared" si="199"/>
        <v>4</v>
      </c>
      <c r="JA57" s="55">
        <f t="shared" si="199"/>
        <v>2</v>
      </c>
      <c r="JB57" s="55">
        <f t="shared" si="199"/>
        <v>2</v>
      </c>
      <c r="JC57" s="89">
        <f t="shared" si="20"/>
        <v>85</v>
      </c>
      <c r="JD57" s="90">
        <v>1</v>
      </c>
      <c r="JE57" s="90">
        <v>1</v>
      </c>
      <c r="JF57" s="91">
        <v>17</v>
      </c>
      <c r="JG57" s="91">
        <v>2</v>
      </c>
      <c r="JH57" s="55">
        <v>2</v>
      </c>
      <c r="JI57" s="55">
        <v>2</v>
      </c>
      <c r="JJ57" s="55">
        <v>2</v>
      </c>
      <c r="JK57" s="55">
        <v>2</v>
      </c>
      <c r="JL57" s="55">
        <v>2</v>
      </c>
      <c r="JM57" s="55">
        <v>0</v>
      </c>
      <c r="JN57" s="55">
        <v>0</v>
      </c>
      <c r="JO57" s="55">
        <v>0</v>
      </c>
      <c r="JP57" s="89">
        <f t="shared" si="170"/>
        <v>10</v>
      </c>
      <c r="JQ57" s="55">
        <v>2</v>
      </c>
      <c r="JR57" s="55">
        <v>2</v>
      </c>
      <c r="JS57" s="55">
        <v>2</v>
      </c>
      <c r="JT57" s="55">
        <v>0</v>
      </c>
      <c r="JU57" s="55">
        <v>0</v>
      </c>
      <c r="JV57" s="55">
        <v>0</v>
      </c>
      <c r="JW57" s="55">
        <v>0</v>
      </c>
      <c r="JX57" s="92">
        <f t="shared" si="22"/>
        <v>6</v>
      </c>
      <c r="JY57" s="93">
        <f t="shared" si="23"/>
        <v>16</v>
      </c>
      <c r="JZ57" s="55">
        <v>3</v>
      </c>
      <c r="KA57" s="55">
        <v>1</v>
      </c>
      <c r="KB57" s="55">
        <v>0</v>
      </c>
      <c r="KC57" s="55">
        <v>0</v>
      </c>
      <c r="KD57" s="55">
        <v>0</v>
      </c>
      <c r="KE57" s="55">
        <v>0</v>
      </c>
      <c r="KF57" s="55">
        <v>0</v>
      </c>
      <c r="KG57" s="94">
        <f t="shared" si="24"/>
        <v>4</v>
      </c>
      <c r="KH57" s="95" t="s">
        <v>333</v>
      </c>
      <c r="KI57" s="55">
        <v>0</v>
      </c>
      <c r="KJ57" s="55">
        <v>2</v>
      </c>
      <c r="KK57" s="55">
        <v>1</v>
      </c>
      <c r="KL57" s="95" t="s">
        <v>319</v>
      </c>
      <c r="KM57" s="55">
        <v>0</v>
      </c>
      <c r="KN57" s="55">
        <v>2</v>
      </c>
      <c r="KO57" s="55">
        <v>0</v>
      </c>
      <c r="KP57" s="95" t="s">
        <v>332</v>
      </c>
      <c r="KQ57" s="55">
        <v>0</v>
      </c>
      <c r="KR57" s="55">
        <v>2</v>
      </c>
      <c r="KS57" s="55">
        <v>1</v>
      </c>
      <c r="KT57" s="95" t="s">
        <v>332</v>
      </c>
      <c r="KU57" s="55">
        <v>0</v>
      </c>
      <c r="KV57" s="55">
        <v>2</v>
      </c>
      <c r="KW57" s="55">
        <v>2</v>
      </c>
      <c r="KX57" s="95" t="s">
        <v>330</v>
      </c>
      <c r="KY57" s="55">
        <v>0</v>
      </c>
      <c r="KZ57" s="55">
        <v>2</v>
      </c>
      <c r="LA57" s="55">
        <v>1</v>
      </c>
      <c r="LB57" s="95" t="s">
        <v>320</v>
      </c>
      <c r="LC57" s="55">
        <v>0</v>
      </c>
      <c r="LD57" s="55">
        <v>2</v>
      </c>
      <c r="LE57" s="55">
        <v>2</v>
      </c>
      <c r="LF57" s="95" t="s">
        <v>321</v>
      </c>
      <c r="LG57" s="55">
        <v>0</v>
      </c>
      <c r="LH57" s="55">
        <v>2</v>
      </c>
      <c r="LI57" s="55">
        <v>2</v>
      </c>
      <c r="LJ57" s="95" t="s">
        <v>379</v>
      </c>
      <c r="LK57" s="55">
        <v>2</v>
      </c>
      <c r="LL57" s="55">
        <v>0</v>
      </c>
      <c r="LM57" s="55">
        <v>0</v>
      </c>
      <c r="LN57" s="96">
        <f t="shared" si="25"/>
        <v>23</v>
      </c>
      <c r="LO57" s="97">
        <f t="shared" si="26"/>
        <v>9</v>
      </c>
      <c r="LP57" s="97">
        <f t="shared" si="27"/>
        <v>43</v>
      </c>
    </row>
    <row r="58" spans="1:328" s="98" customFormat="1" ht="13.8">
      <c r="A58" s="55" t="s">
        <v>613</v>
      </c>
      <c r="B58" s="110">
        <v>45974</v>
      </c>
      <c r="C58" s="61">
        <v>44</v>
      </c>
      <c r="D58" s="62" t="s">
        <v>763</v>
      </c>
      <c r="E58" s="62"/>
      <c r="F58" s="61">
        <v>1</v>
      </c>
      <c r="G58" s="61">
        <v>1</v>
      </c>
      <c r="H58" s="61">
        <v>1</v>
      </c>
      <c r="I58" s="164">
        <v>4</v>
      </c>
      <c r="J58" s="164">
        <v>2</v>
      </c>
      <c r="K58" s="63">
        <v>6.9444444444444447E-4</v>
      </c>
      <c r="L58" s="63">
        <v>5.347222222222222E-2</v>
      </c>
      <c r="M58" s="63">
        <v>2.2916666666666665E-2</v>
      </c>
      <c r="N58" s="64" t="s">
        <v>1041</v>
      </c>
      <c r="O58" s="101" t="s">
        <v>1032</v>
      </c>
      <c r="P58" s="140" t="s">
        <v>700</v>
      </c>
      <c r="Q58" s="95">
        <v>1</v>
      </c>
      <c r="R58" s="141">
        <v>20609</v>
      </c>
      <c r="S58" s="140">
        <v>69</v>
      </c>
      <c r="T58" s="140" t="s">
        <v>259</v>
      </c>
      <c r="U58" s="140" t="s">
        <v>260</v>
      </c>
      <c r="V58" s="140">
        <v>2386344</v>
      </c>
      <c r="W58" s="140" t="s">
        <v>595</v>
      </c>
      <c r="X58" s="140" t="s">
        <v>596</v>
      </c>
      <c r="Y58" s="140" t="s">
        <v>311</v>
      </c>
      <c r="Z58" s="140" t="s">
        <v>262</v>
      </c>
      <c r="AA58" s="140" t="s">
        <v>510</v>
      </c>
      <c r="AB58" s="140" t="s">
        <v>300</v>
      </c>
      <c r="AC58" s="140" t="s">
        <v>597</v>
      </c>
      <c r="AD58" s="140" t="s">
        <v>597</v>
      </c>
      <c r="AE58" s="140" t="s">
        <v>701</v>
      </c>
      <c r="AF58" s="140" t="s">
        <v>597</v>
      </c>
      <c r="AG58" s="140" t="s">
        <v>702</v>
      </c>
      <c r="AH58" s="140" t="s">
        <v>599</v>
      </c>
      <c r="AI58" s="140" t="s">
        <v>599</v>
      </c>
      <c r="AJ58" s="141">
        <v>44937</v>
      </c>
      <c r="AK58" s="142"/>
      <c r="AL58" s="115">
        <v>1</v>
      </c>
      <c r="AM58" s="115">
        <v>1</v>
      </c>
      <c r="AN58" s="115">
        <v>1</v>
      </c>
      <c r="AO58" s="115">
        <v>1</v>
      </c>
      <c r="AP58" s="115">
        <v>1</v>
      </c>
      <c r="AQ58" s="115">
        <v>1</v>
      </c>
      <c r="AR58" s="115">
        <v>1</v>
      </c>
      <c r="AS58" s="115">
        <v>1</v>
      </c>
      <c r="AT58" s="70">
        <f t="shared" si="0"/>
        <v>8</v>
      </c>
      <c r="AU58" s="71">
        <v>1</v>
      </c>
      <c r="AV58" s="71">
        <v>1</v>
      </c>
      <c r="AW58" s="71">
        <v>1</v>
      </c>
      <c r="AX58" s="71">
        <v>1</v>
      </c>
      <c r="AY58" s="70">
        <f t="shared" si="1"/>
        <v>4</v>
      </c>
      <c r="AZ58" s="115">
        <v>0</v>
      </c>
      <c r="BA58" s="115">
        <v>0</v>
      </c>
      <c r="BB58" s="115">
        <v>0</v>
      </c>
      <c r="BC58" s="115">
        <v>0</v>
      </c>
      <c r="BD58" s="115">
        <v>0</v>
      </c>
      <c r="BE58" s="69">
        <v>1</v>
      </c>
      <c r="BF58" s="115">
        <v>0</v>
      </c>
      <c r="BG58" s="115">
        <v>0</v>
      </c>
      <c r="BH58" s="70">
        <f t="shared" si="2"/>
        <v>1</v>
      </c>
      <c r="BI58" s="69">
        <v>0</v>
      </c>
      <c r="BJ58" s="69">
        <v>0</v>
      </c>
      <c r="BK58" s="70">
        <f t="shared" si="3"/>
        <v>0</v>
      </c>
      <c r="BL58" s="157">
        <v>1</v>
      </c>
      <c r="BM58" s="72">
        <v>0</v>
      </c>
      <c r="BN58" s="72">
        <v>0</v>
      </c>
      <c r="BO58" s="72">
        <v>0</v>
      </c>
      <c r="BP58" s="72">
        <v>1</v>
      </c>
      <c r="BQ58" s="72">
        <v>0</v>
      </c>
      <c r="BR58" s="72">
        <v>0</v>
      </c>
      <c r="BS58" s="72">
        <v>0</v>
      </c>
      <c r="BT58" s="70">
        <f t="shared" si="4"/>
        <v>1</v>
      </c>
      <c r="BU58" s="70">
        <f t="shared" si="5"/>
        <v>14</v>
      </c>
      <c r="BV58" s="73">
        <v>5</v>
      </c>
      <c r="BW58" s="73">
        <v>5</v>
      </c>
      <c r="BX58" s="73">
        <v>5</v>
      </c>
      <c r="BY58" s="73">
        <v>1</v>
      </c>
      <c r="BZ58" s="73">
        <v>5</v>
      </c>
      <c r="CA58" s="73">
        <v>3</v>
      </c>
      <c r="CB58" s="73">
        <v>5</v>
      </c>
      <c r="CC58" s="73">
        <v>5</v>
      </c>
      <c r="CD58" s="73">
        <v>2</v>
      </c>
      <c r="CE58" s="73">
        <v>3</v>
      </c>
      <c r="CF58" s="73">
        <v>3</v>
      </c>
      <c r="CG58" s="73">
        <v>5</v>
      </c>
      <c r="CH58" s="74">
        <v>5</v>
      </c>
      <c r="CI58" s="73">
        <v>5</v>
      </c>
      <c r="CJ58" s="73">
        <v>3</v>
      </c>
      <c r="CK58" s="75">
        <f t="shared" si="184"/>
        <v>60</v>
      </c>
      <c r="CL58" s="76">
        <v>5</v>
      </c>
      <c r="CM58" s="76">
        <v>1</v>
      </c>
      <c r="CN58" s="76">
        <v>5</v>
      </c>
      <c r="CO58" s="76">
        <v>5</v>
      </c>
      <c r="CP58" s="76">
        <v>5</v>
      </c>
      <c r="CQ58" s="76">
        <v>5</v>
      </c>
      <c r="CR58" s="76">
        <v>1</v>
      </c>
      <c r="CS58" s="76">
        <v>5</v>
      </c>
      <c r="CT58" s="76">
        <v>5</v>
      </c>
      <c r="CU58" s="76">
        <v>5</v>
      </c>
      <c r="CV58" s="76">
        <v>5</v>
      </c>
      <c r="CW58" s="76">
        <v>1</v>
      </c>
      <c r="CX58" s="76">
        <v>1</v>
      </c>
      <c r="CY58" s="76">
        <v>4</v>
      </c>
      <c r="CZ58" s="76">
        <v>5</v>
      </c>
      <c r="DA58" s="76">
        <v>5</v>
      </c>
      <c r="DB58" s="76">
        <v>5</v>
      </c>
      <c r="DC58" s="76">
        <v>4</v>
      </c>
      <c r="DD58" s="76">
        <v>5</v>
      </c>
      <c r="DE58" s="76">
        <v>5</v>
      </c>
      <c r="DF58" s="76">
        <v>5</v>
      </c>
      <c r="DG58" s="76">
        <v>5</v>
      </c>
      <c r="DH58" s="76">
        <v>5</v>
      </c>
      <c r="DI58" s="76">
        <v>5</v>
      </c>
      <c r="DJ58" s="76">
        <v>1</v>
      </c>
      <c r="DK58" s="76">
        <v>5</v>
      </c>
      <c r="DL58" s="76">
        <v>3</v>
      </c>
      <c r="DM58" s="76">
        <v>1</v>
      </c>
      <c r="DN58" s="76">
        <f t="shared" si="7"/>
        <v>112</v>
      </c>
      <c r="DO58" s="123">
        <v>30</v>
      </c>
      <c r="DP58" s="97">
        <v>0</v>
      </c>
      <c r="DQ58" s="97">
        <v>0</v>
      </c>
      <c r="DR58" s="97">
        <v>1</v>
      </c>
      <c r="DS58" s="97">
        <v>0</v>
      </c>
      <c r="DT58" s="97">
        <v>0</v>
      </c>
      <c r="DU58" s="97">
        <v>1</v>
      </c>
      <c r="DV58" s="97">
        <v>0</v>
      </c>
      <c r="DW58" s="97">
        <v>1</v>
      </c>
      <c r="DX58" s="97">
        <v>1</v>
      </c>
      <c r="DY58" s="97">
        <v>1</v>
      </c>
      <c r="DZ58" s="97">
        <v>0</v>
      </c>
      <c r="EA58" s="97">
        <v>0</v>
      </c>
      <c r="EB58" s="97">
        <v>0</v>
      </c>
      <c r="EC58" s="97">
        <v>1</v>
      </c>
      <c r="ED58" s="97">
        <v>1</v>
      </c>
      <c r="EE58" s="77">
        <f t="shared" si="124"/>
        <v>7</v>
      </c>
      <c r="EF58" s="77" t="s">
        <v>267</v>
      </c>
      <c r="EG58" s="78">
        <f t="shared" si="8"/>
        <v>7</v>
      </c>
      <c r="EH58" s="55">
        <v>0</v>
      </c>
      <c r="EI58" s="55">
        <v>1</v>
      </c>
      <c r="EJ58" s="55">
        <v>1</v>
      </c>
      <c r="EK58" s="55">
        <v>0.5</v>
      </c>
      <c r="EL58" s="55">
        <v>0.5</v>
      </c>
      <c r="EM58" s="55">
        <v>1</v>
      </c>
      <c r="EN58" s="55">
        <v>0.5</v>
      </c>
      <c r="EO58" s="55">
        <v>0.5</v>
      </c>
      <c r="EP58" s="55">
        <v>0</v>
      </c>
      <c r="EQ58" s="55">
        <v>0</v>
      </c>
      <c r="ER58" s="55">
        <v>0</v>
      </c>
      <c r="ES58" s="55">
        <v>1</v>
      </c>
      <c r="ET58" s="55">
        <v>0</v>
      </c>
      <c r="EU58" s="55">
        <v>0</v>
      </c>
      <c r="EV58" s="55">
        <v>0</v>
      </c>
      <c r="EW58" s="55">
        <v>0</v>
      </c>
      <c r="EX58" s="55">
        <v>0</v>
      </c>
      <c r="EY58" s="55">
        <v>1</v>
      </c>
      <c r="EZ58" s="55">
        <v>0</v>
      </c>
      <c r="FA58" s="55">
        <v>0</v>
      </c>
      <c r="FB58" s="55">
        <v>0</v>
      </c>
      <c r="FC58" s="55">
        <v>0</v>
      </c>
      <c r="FD58" s="79">
        <f t="shared" si="9"/>
        <v>7</v>
      </c>
      <c r="FE58" s="79">
        <v>2</v>
      </c>
      <c r="FF58" s="55">
        <v>1</v>
      </c>
      <c r="FG58" s="55">
        <v>0</v>
      </c>
      <c r="FH58" s="55">
        <v>1</v>
      </c>
      <c r="FI58" s="55">
        <v>1</v>
      </c>
      <c r="FJ58" s="55">
        <v>1</v>
      </c>
      <c r="FK58" s="55">
        <v>1</v>
      </c>
      <c r="FL58" s="55">
        <v>0</v>
      </c>
      <c r="FM58" s="55">
        <v>1</v>
      </c>
      <c r="FN58" s="81">
        <f t="shared" si="10"/>
        <v>6</v>
      </c>
      <c r="FO58" s="81">
        <v>2</v>
      </c>
      <c r="FP58" s="55">
        <v>10</v>
      </c>
      <c r="FQ58" s="55">
        <v>5</v>
      </c>
      <c r="FR58" s="55">
        <v>10</v>
      </c>
      <c r="FS58" s="55">
        <v>5</v>
      </c>
      <c r="FT58" s="55">
        <v>10</v>
      </c>
      <c r="FU58" s="55">
        <v>10</v>
      </c>
      <c r="FV58" s="55">
        <v>10</v>
      </c>
      <c r="FW58" s="55">
        <v>15</v>
      </c>
      <c r="FX58" s="55">
        <v>15</v>
      </c>
      <c r="FY58" s="55">
        <v>5</v>
      </c>
      <c r="FZ58" s="83">
        <f t="shared" si="11"/>
        <v>95</v>
      </c>
      <c r="GA58" s="84">
        <v>2</v>
      </c>
      <c r="GB58" s="55">
        <v>0</v>
      </c>
      <c r="GC58" s="85">
        <v>0</v>
      </c>
      <c r="GD58" s="85">
        <v>0</v>
      </c>
      <c r="GE58" s="85">
        <v>0</v>
      </c>
      <c r="GF58" s="85">
        <v>0</v>
      </c>
      <c r="GG58" s="85">
        <v>0</v>
      </c>
      <c r="GH58" s="85">
        <v>0</v>
      </c>
      <c r="GI58" s="55">
        <v>0</v>
      </c>
      <c r="GJ58" s="55">
        <v>0</v>
      </c>
      <c r="GK58" s="55">
        <v>0</v>
      </c>
      <c r="GL58" s="55">
        <v>0</v>
      </c>
      <c r="GM58" s="55">
        <v>0</v>
      </c>
      <c r="GN58" s="55">
        <v>0</v>
      </c>
      <c r="GO58" s="55">
        <v>0</v>
      </c>
      <c r="GP58" s="55">
        <v>1</v>
      </c>
      <c r="GQ58" s="55">
        <v>0</v>
      </c>
      <c r="GR58" s="55">
        <v>0</v>
      </c>
      <c r="GS58" s="55">
        <v>2</v>
      </c>
      <c r="GT58" s="55">
        <v>0</v>
      </c>
      <c r="GU58" s="86">
        <f t="shared" si="12"/>
        <v>3</v>
      </c>
      <c r="GV58" s="87" t="s">
        <v>266</v>
      </c>
      <c r="GW58" s="87">
        <v>0</v>
      </c>
      <c r="GX58" s="88" t="s">
        <v>267</v>
      </c>
      <c r="GY58" s="55">
        <v>5</v>
      </c>
      <c r="GZ58" s="55">
        <v>5</v>
      </c>
      <c r="HA58" s="55">
        <v>3</v>
      </c>
      <c r="HB58" s="55">
        <v>1</v>
      </c>
      <c r="HC58" s="55">
        <v>4</v>
      </c>
      <c r="HD58" s="55">
        <v>5</v>
      </c>
      <c r="HE58" s="55"/>
      <c r="HF58" s="55"/>
      <c r="HG58" s="55">
        <v>1</v>
      </c>
      <c r="HH58" s="55">
        <v>7</v>
      </c>
      <c r="HI58" s="55">
        <v>7</v>
      </c>
      <c r="HJ58" s="55"/>
      <c r="HK58" s="55">
        <v>3</v>
      </c>
      <c r="HL58" s="55">
        <v>1</v>
      </c>
      <c r="HM58" s="55">
        <v>1</v>
      </c>
      <c r="HN58" s="55">
        <v>1</v>
      </c>
      <c r="HO58" s="55">
        <v>2</v>
      </c>
      <c r="HP58" s="55">
        <v>5</v>
      </c>
      <c r="HQ58" s="55">
        <v>5</v>
      </c>
      <c r="HR58" s="55">
        <v>1</v>
      </c>
      <c r="HS58" s="55">
        <v>3</v>
      </c>
      <c r="HT58" s="55">
        <v>1</v>
      </c>
      <c r="HU58" s="55">
        <v>4</v>
      </c>
      <c r="HV58" s="55">
        <v>1</v>
      </c>
      <c r="HW58" s="55">
        <v>1</v>
      </c>
      <c r="HX58" s="55">
        <v>2</v>
      </c>
      <c r="HY58" s="55">
        <v>5</v>
      </c>
      <c r="HZ58" s="55">
        <v>4</v>
      </c>
      <c r="IA58" s="55">
        <v>4</v>
      </c>
      <c r="IB58" s="55">
        <v>0</v>
      </c>
      <c r="IC58" s="55">
        <v>5</v>
      </c>
      <c r="ID58" s="55">
        <f t="shared" ref="ID58:IG58" si="200">SUM(GY58)</f>
        <v>5</v>
      </c>
      <c r="IE58" s="55">
        <f t="shared" si="200"/>
        <v>5</v>
      </c>
      <c r="IF58" s="55">
        <f t="shared" si="200"/>
        <v>3</v>
      </c>
      <c r="IG58" s="55">
        <f t="shared" si="200"/>
        <v>1</v>
      </c>
      <c r="IH58" s="55">
        <f t="shared" si="14"/>
        <v>9</v>
      </c>
      <c r="II58" s="55">
        <f t="shared" si="15"/>
        <v>1</v>
      </c>
      <c r="IJ58" s="55">
        <f t="shared" si="16"/>
        <v>14</v>
      </c>
      <c r="IK58" s="55">
        <f t="shared" ref="IK58:IQ58" si="201">SUM(HK58)</f>
        <v>3</v>
      </c>
      <c r="IL58" s="55">
        <f t="shared" si="201"/>
        <v>1</v>
      </c>
      <c r="IM58" s="55">
        <f t="shared" si="201"/>
        <v>1</v>
      </c>
      <c r="IN58" s="55">
        <f t="shared" si="201"/>
        <v>1</v>
      </c>
      <c r="IO58" s="55">
        <f t="shared" si="201"/>
        <v>2</v>
      </c>
      <c r="IP58" s="55">
        <f t="shared" si="201"/>
        <v>5</v>
      </c>
      <c r="IQ58" s="55">
        <f t="shared" si="201"/>
        <v>5</v>
      </c>
      <c r="IR58" s="55">
        <f t="shared" si="18"/>
        <v>4</v>
      </c>
      <c r="IS58" s="55">
        <f t="shared" ref="IS58:JB58" si="202">SUM(HT58)</f>
        <v>1</v>
      </c>
      <c r="IT58" s="55">
        <f t="shared" si="202"/>
        <v>4</v>
      </c>
      <c r="IU58" s="55">
        <f t="shared" si="202"/>
        <v>1</v>
      </c>
      <c r="IV58" s="55">
        <f t="shared" si="202"/>
        <v>1</v>
      </c>
      <c r="IW58" s="55">
        <f t="shared" si="202"/>
        <v>2</v>
      </c>
      <c r="IX58" s="55">
        <f t="shared" si="202"/>
        <v>5</v>
      </c>
      <c r="IY58" s="55">
        <f t="shared" si="202"/>
        <v>4</v>
      </c>
      <c r="IZ58" s="55">
        <f t="shared" si="202"/>
        <v>4</v>
      </c>
      <c r="JA58" s="55">
        <f t="shared" si="202"/>
        <v>0</v>
      </c>
      <c r="JB58" s="55">
        <f t="shared" si="202"/>
        <v>5</v>
      </c>
      <c r="JC58" s="89">
        <f t="shared" si="20"/>
        <v>86</v>
      </c>
      <c r="JD58" s="90">
        <v>1</v>
      </c>
      <c r="JE58" s="90">
        <v>1</v>
      </c>
      <c r="JF58" s="91">
        <v>43</v>
      </c>
      <c r="JG58" s="91">
        <v>2</v>
      </c>
      <c r="JH58" s="55">
        <v>2</v>
      </c>
      <c r="JI58" s="55">
        <v>2</v>
      </c>
      <c r="JJ58" s="55">
        <v>2</v>
      </c>
      <c r="JK58" s="55">
        <v>0</v>
      </c>
      <c r="JL58" s="55">
        <v>0</v>
      </c>
      <c r="JM58" s="55">
        <v>0</v>
      </c>
      <c r="JN58" s="55">
        <v>0</v>
      </c>
      <c r="JO58" s="55">
        <v>0</v>
      </c>
      <c r="JP58" s="89">
        <f t="shared" si="170"/>
        <v>6</v>
      </c>
      <c r="JQ58" s="55">
        <v>2</v>
      </c>
      <c r="JR58" s="55">
        <v>1</v>
      </c>
      <c r="JS58" s="55">
        <v>1</v>
      </c>
      <c r="JT58" s="55">
        <v>0</v>
      </c>
      <c r="JU58" s="55">
        <v>0</v>
      </c>
      <c r="JV58" s="55">
        <v>0</v>
      </c>
      <c r="JW58" s="55">
        <v>0</v>
      </c>
      <c r="JX58" s="92">
        <f t="shared" si="22"/>
        <v>4</v>
      </c>
      <c r="JY58" s="93">
        <f t="shared" si="23"/>
        <v>10</v>
      </c>
      <c r="JZ58" s="55">
        <v>3</v>
      </c>
      <c r="KA58" s="55">
        <v>2</v>
      </c>
      <c r="KB58" s="55">
        <v>0</v>
      </c>
      <c r="KC58" s="55">
        <v>0</v>
      </c>
      <c r="KD58" s="55">
        <v>0</v>
      </c>
      <c r="KE58" s="55">
        <v>0</v>
      </c>
      <c r="KF58" s="55">
        <v>0</v>
      </c>
      <c r="KG58" s="94">
        <f t="shared" si="24"/>
        <v>5</v>
      </c>
      <c r="KH58" s="95" t="s">
        <v>322</v>
      </c>
      <c r="KI58" s="55">
        <v>0</v>
      </c>
      <c r="KJ58" s="55">
        <v>2</v>
      </c>
      <c r="KK58" s="55">
        <v>0</v>
      </c>
      <c r="KL58" s="95" t="s">
        <v>381</v>
      </c>
      <c r="KM58" s="55">
        <v>0</v>
      </c>
      <c r="KN58" s="55">
        <v>2</v>
      </c>
      <c r="KO58" s="55">
        <v>0</v>
      </c>
      <c r="KP58" s="95" t="s">
        <v>332</v>
      </c>
      <c r="KQ58" s="55">
        <v>0</v>
      </c>
      <c r="KR58" s="55">
        <v>2</v>
      </c>
      <c r="KS58" s="55">
        <v>1</v>
      </c>
      <c r="KT58" s="95" t="s">
        <v>319</v>
      </c>
      <c r="KU58" s="55">
        <v>0</v>
      </c>
      <c r="KV58" s="55">
        <v>2</v>
      </c>
      <c r="KW58" s="55">
        <v>0</v>
      </c>
      <c r="KX58" s="95" t="s">
        <v>381</v>
      </c>
      <c r="KY58" s="55">
        <v>0</v>
      </c>
      <c r="KZ58" s="55">
        <v>2</v>
      </c>
      <c r="LA58" s="55">
        <v>0</v>
      </c>
      <c r="LB58" s="95" t="s">
        <v>315</v>
      </c>
      <c r="LC58" s="55">
        <v>0</v>
      </c>
      <c r="LD58" s="55">
        <v>2</v>
      </c>
      <c r="LE58" s="55">
        <v>1</v>
      </c>
      <c r="LF58" s="95" t="s">
        <v>464</v>
      </c>
      <c r="LG58" s="55">
        <v>0</v>
      </c>
      <c r="LH58" s="55">
        <v>2</v>
      </c>
      <c r="LI58" s="55">
        <v>0</v>
      </c>
      <c r="LJ58" s="95" t="s">
        <v>430</v>
      </c>
      <c r="LK58" s="55">
        <v>0</v>
      </c>
      <c r="LL58" s="55">
        <v>2</v>
      </c>
      <c r="LM58" s="55">
        <v>1</v>
      </c>
      <c r="LN58" s="96">
        <f t="shared" si="25"/>
        <v>19</v>
      </c>
      <c r="LO58" s="97">
        <f t="shared" si="26"/>
        <v>3</v>
      </c>
      <c r="LP58" s="97">
        <f t="shared" si="27"/>
        <v>34</v>
      </c>
    </row>
    <row r="59" spans="1:328" s="98" customFormat="1" ht="13.8">
      <c r="A59" s="55" t="s">
        <v>592</v>
      </c>
      <c r="B59" s="110">
        <v>45952</v>
      </c>
      <c r="C59" s="61">
        <v>3</v>
      </c>
      <c r="D59" s="62" t="s">
        <v>816</v>
      </c>
      <c r="E59" s="62"/>
      <c r="F59" s="61">
        <v>1</v>
      </c>
      <c r="G59" s="61">
        <v>1</v>
      </c>
      <c r="H59" s="61">
        <v>1</v>
      </c>
      <c r="I59" s="164">
        <v>6</v>
      </c>
      <c r="J59" s="164">
        <v>4</v>
      </c>
      <c r="K59" s="63">
        <v>6.5277777777777782E-2</v>
      </c>
      <c r="L59" s="63">
        <v>8.3333333333333329E-2</v>
      </c>
      <c r="M59" s="63">
        <v>5.6250000000000001E-2</v>
      </c>
      <c r="N59" s="64" t="s">
        <v>1040</v>
      </c>
      <c r="O59" s="101" t="s">
        <v>1033</v>
      </c>
      <c r="P59" s="111" t="s">
        <v>601</v>
      </c>
      <c r="Q59" s="95">
        <v>1</v>
      </c>
      <c r="R59" s="112">
        <v>21310</v>
      </c>
      <c r="S59" s="111">
        <v>67</v>
      </c>
      <c r="T59" s="111" t="s">
        <v>259</v>
      </c>
      <c r="U59" s="111" t="s">
        <v>298</v>
      </c>
      <c r="V59" s="111">
        <v>987026759</v>
      </c>
      <c r="W59" s="111" t="s">
        <v>595</v>
      </c>
      <c r="X59" s="111" t="s">
        <v>596</v>
      </c>
      <c r="Y59" s="111" t="s">
        <v>311</v>
      </c>
      <c r="Z59" s="111" t="s">
        <v>262</v>
      </c>
      <c r="AA59" s="111" t="s">
        <v>289</v>
      </c>
      <c r="AB59" s="111" t="s">
        <v>300</v>
      </c>
      <c r="AC59" s="111" t="s">
        <v>597</v>
      </c>
      <c r="AD59" s="111" t="s">
        <v>597</v>
      </c>
      <c r="AE59" s="111" t="s">
        <v>602</v>
      </c>
      <c r="AF59" s="111" t="s">
        <v>597</v>
      </c>
      <c r="AG59" s="111" t="s">
        <v>597</v>
      </c>
      <c r="AH59" s="111" t="s">
        <v>597</v>
      </c>
      <c r="AI59" s="111" t="s">
        <v>597</v>
      </c>
      <c r="AJ59" s="112" t="s">
        <v>603</v>
      </c>
      <c r="AK59" s="97"/>
      <c r="AL59" s="115">
        <v>1</v>
      </c>
      <c r="AM59" s="115">
        <v>1</v>
      </c>
      <c r="AN59" s="115">
        <v>1</v>
      </c>
      <c r="AO59" s="115">
        <v>1</v>
      </c>
      <c r="AP59" s="115">
        <v>1</v>
      </c>
      <c r="AQ59" s="115">
        <v>1</v>
      </c>
      <c r="AR59" s="115">
        <v>1</v>
      </c>
      <c r="AS59" s="115">
        <v>1</v>
      </c>
      <c r="AT59" s="70">
        <f t="shared" si="0"/>
        <v>8</v>
      </c>
      <c r="AU59" s="71">
        <v>1</v>
      </c>
      <c r="AV59" s="71">
        <v>1</v>
      </c>
      <c r="AW59" s="71">
        <v>1</v>
      </c>
      <c r="AX59" s="71">
        <v>1</v>
      </c>
      <c r="AY59" s="70">
        <f t="shared" si="1"/>
        <v>4</v>
      </c>
      <c r="AZ59" s="69">
        <v>1</v>
      </c>
      <c r="BA59" s="69">
        <v>1</v>
      </c>
      <c r="BB59" s="69">
        <v>1</v>
      </c>
      <c r="BC59" s="69">
        <v>1</v>
      </c>
      <c r="BD59" s="69">
        <v>1</v>
      </c>
      <c r="BE59" s="69">
        <v>1</v>
      </c>
      <c r="BF59" s="69">
        <v>1</v>
      </c>
      <c r="BG59" s="69">
        <v>1</v>
      </c>
      <c r="BH59" s="70">
        <f t="shared" si="2"/>
        <v>8</v>
      </c>
      <c r="BI59" s="69">
        <v>1</v>
      </c>
      <c r="BJ59" s="69">
        <v>1</v>
      </c>
      <c r="BK59" s="70">
        <f t="shared" si="3"/>
        <v>2</v>
      </c>
      <c r="BL59" s="72">
        <v>1</v>
      </c>
      <c r="BM59" s="72">
        <v>1</v>
      </c>
      <c r="BN59" s="72">
        <v>1</v>
      </c>
      <c r="BO59" s="72">
        <v>1</v>
      </c>
      <c r="BP59" s="72">
        <v>1</v>
      </c>
      <c r="BQ59" s="72">
        <v>1</v>
      </c>
      <c r="BR59" s="72">
        <v>1</v>
      </c>
      <c r="BS59" s="72">
        <v>1</v>
      </c>
      <c r="BT59" s="70">
        <f t="shared" si="4"/>
        <v>7</v>
      </c>
      <c r="BU59" s="70">
        <f t="shared" si="5"/>
        <v>29</v>
      </c>
      <c r="BV59" s="105">
        <v>5</v>
      </c>
      <c r="BW59" s="105">
        <v>5</v>
      </c>
      <c r="BX59" s="105">
        <v>5</v>
      </c>
      <c r="BY59" s="73">
        <v>1</v>
      </c>
      <c r="BZ59" s="105">
        <v>5</v>
      </c>
      <c r="CA59" s="73">
        <v>3</v>
      </c>
      <c r="CB59" s="105">
        <v>5</v>
      </c>
      <c r="CC59" s="73">
        <v>5</v>
      </c>
      <c r="CD59" s="73">
        <v>2</v>
      </c>
      <c r="CE59" s="73">
        <v>3</v>
      </c>
      <c r="CF59" s="73">
        <v>3</v>
      </c>
      <c r="CG59" s="73">
        <v>5</v>
      </c>
      <c r="CH59" s="74">
        <v>5</v>
      </c>
      <c r="CI59" s="105">
        <v>5</v>
      </c>
      <c r="CJ59" s="73">
        <v>3</v>
      </c>
      <c r="CK59" s="75">
        <f t="shared" si="184"/>
        <v>60</v>
      </c>
      <c r="CL59" s="76">
        <v>5</v>
      </c>
      <c r="CM59" s="76">
        <v>1</v>
      </c>
      <c r="CN59" s="76">
        <v>5</v>
      </c>
      <c r="CO59" s="76">
        <v>5</v>
      </c>
      <c r="CP59" s="76">
        <v>5</v>
      </c>
      <c r="CQ59" s="106">
        <v>5</v>
      </c>
      <c r="CR59" s="76">
        <v>1</v>
      </c>
      <c r="CS59" s="76">
        <v>5</v>
      </c>
      <c r="CT59" s="76">
        <v>5</v>
      </c>
      <c r="CU59" s="76">
        <v>5</v>
      </c>
      <c r="CV59" s="76">
        <v>5</v>
      </c>
      <c r="CW59" s="76">
        <v>1</v>
      </c>
      <c r="CX59" s="76">
        <v>1</v>
      </c>
      <c r="CY59" s="76">
        <v>5</v>
      </c>
      <c r="CZ59" s="76">
        <v>5</v>
      </c>
      <c r="DA59" s="76">
        <v>5</v>
      </c>
      <c r="DB59" s="76">
        <v>5</v>
      </c>
      <c r="DC59" s="76">
        <v>4</v>
      </c>
      <c r="DD59" s="76">
        <v>5</v>
      </c>
      <c r="DE59" s="76">
        <v>5</v>
      </c>
      <c r="DF59" s="76">
        <v>5</v>
      </c>
      <c r="DG59" s="76">
        <v>5</v>
      </c>
      <c r="DH59" s="76">
        <v>5</v>
      </c>
      <c r="DI59" s="76">
        <v>5</v>
      </c>
      <c r="DJ59" s="76">
        <v>1</v>
      </c>
      <c r="DK59" s="76">
        <v>5</v>
      </c>
      <c r="DL59" s="76">
        <v>3</v>
      </c>
      <c r="DM59" s="76">
        <v>1</v>
      </c>
      <c r="DN59" s="76">
        <f t="shared" si="7"/>
        <v>113</v>
      </c>
      <c r="DO59" s="118">
        <v>30</v>
      </c>
      <c r="DP59" s="97">
        <v>0</v>
      </c>
      <c r="DQ59" s="97">
        <v>0</v>
      </c>
      <c r="DR59" s="97">
        <v>0</v>
      </c>
      <c r="DS59" s="97">
        <v>0</v>
      </c>
      <c r="DT59" s="97">
        <v>0</v>
      </c>
      <c r="DU59" s="97">
        <v>1</v>
      </c>
      <c r="DV59" s="97">
        <v>0</v>
      </c>
      <c r="DW59" s="97">
        <v>0</v>
      </c>
      <c r="DX59" s="97">
        <v>1</v>
      </c>
      <c r="DY59" s="97">
        <v>0</v>
      </c>
      <c r="DZ59" s="97">
        <v>0</v>
      </c>
      <c r="EA59" s="97">
        <v>0</v>
      </c>
      <c r="EB59" s="97">
        <v>0</v>
      </c>
      <c r="EC59" s="97">
        <v>0</v>
      </c>
      <c r="ED59" s="97">
        <v>0</v>
      </c>
      <c r="EE59" s="77">
        <f t="shared" si="124"/>
        <v>2</v>
      </c>
      <c r="EF59" s="77" t="s">
        <v>265</v>
      </c>
      <c r="EG59" s="78">
        <f t="shared" si="8"/>
        <v>2</v>
      </c>
      <c r="EH59" s="97">
        <v>0</v>
      </c>
      <c r="EI59" s="97">
        <v>0</v>
      </c>
      <c r="EJ59" s="97">
        <v>0.5</v>
      </c>
      <c r="EK59" s="97">
        <v>0</v>
      </c>
      <c r="EL59" s="97">
        <v>0</v>
      </c>
      <c r="EM59" s="97">
        <v>0</v>
      </c>
      <c r="EN59" s="97">
        <v>0.5</v>
      </c>
      <c r="EO59" s="97">
        <v>0.5</v>
      </c>
      <c r="EP59" s="97">
        <v>0</v>
      </c>
      <c r="EQ59" s="97">
        <v>0</v>
      </c>
      <c r="ER59" s="97">
        <v>0</v>
      </c>
      <c r="ES59" s="97">
        <v>0</v>
      </c>
      <c r="ET59" s="97">
        <v>0</v>
      </c>
      <c r="EU59" s="97">
        <v>0</v>
      </c>
      <c r="EV59" s="97">
        <v>0</v>
      </c>
      <c r="EW59" s="97">
        <v>0</v>
      </c>
      <c r="EX59" s="97">
        <v>0</v>
      </c>
      <c r="EY59" s="97">
        <v>0</v>
      </c>
      <c r="EZ59" s="97">
        <v>0</v>
      </c>
      <c r="FA59" s="97">
        <v>0</v>
      </c>
      <c r="FB59" s="97">
        <v>0</v>
      </c>
      <c r="FC59" s="97">
        <v>0</v>
      </c>
      <c r="FD59" s="79">
        <f t="shared" si="9"/>
        <v>1.5</v>
      </c>
      <c r="FE59" s="80">
        <v>1</v>
      </c>
      <c r="FF59" s="97">
        <v>1</v>
      </c>
      <c r="FG59" s="97">
        <v>1</v>
      </c>
      <c r="FH59" s="97">
        <v>1</v>
      </c>
      <c r="FI59" s="97">
        <v>1</v>
      </c>
      <c r="FJ59" s="97">
        <v>1</v>
      </c>
      <c r="FK59" s="97">
        <v>1</v>
      </c>
      <c r="FL59" s="97">
        <v>1</v>
      </c>
      <c r="FM59" s="97">
        <v>1</v>
      </c>
      <c r="FN59" s="81">
        <f t="shared" si="10"/>
        <v>8</v>
      </c>
      <c r="FO59" s="82">
        <v>1</v>
      </c>
      <c r="FP59" s="97">
        <v>10</v>
      </c>
      <c r="FQ59" s="97">
        <v>5</v>
      </c>
      <c r="FR59" s="97">
        <v>10</v>
      </c>
      <c r="FS59" s="97">
        <v>5</v>
      </c>
      <c r="FT59" s="97">
        <v>10</v>
      </c>
      <c r="FU59" s="97">
        <v>10</v>
      </c>
      <c r="FV59" s="97">
        <v>10</v>
      </c>
      <c r="FW59" s="97">
        <v>15</v>
      </c>
      <c r="FX59" s="97">
        <v>15</v>
      </c>
      <c r="FY59" s="97">
        <v>10</v>
      </c>
      <c r="FZ59" s="83">
        <f t="shared" si="11"/>
        <v>100</v>
      </c>
      <c r="GA59" s="84">
        <v>1</v>
      </c>
      <c r="GB59" s="55">
        <v>0</v>
      </c>
      <c r="GC59" s="85">
        <v>0</v>
      </c>
      <c r="GD59" s="85">
        <v>0</v>
      </c>
      <c r="GE59" s="85">
        <v>0</v>
      </c>
      <c r="GF59" s="85">
        <v>0</v>
      </c>
      <c r="GG59" s="85">
        <v>0</v>
      </c>
      <c r="GH59" s="85">
        <v>0</v>
      </c>
      <c r="GI59" s="97">
        <v>0</v>
      </c>
      <c r="GJ59" s="97">
        <v>0</v>
      </c>
      <c r="GK59" s="97">
        <v>0</v>
      </c>
      <c r="GL59" s="97">
        <v>0</v>
      </c>
      <c r="GM59" s="97">
        <v>0</v>
      </c>
      <c r="GN59" s="97">
        <v>0</v>
      </c>
      <c r="GO59" s="97">
        <v>0</v>
      </c>
      <c r="GP59" s="97">
        <v>0</v>
      </c>
      <c r="GQ59" s="97">
        <v>0</v>
      </c>
      <c r="GR59" s="97">
        <v>0</v>
      </c>
      <c r="GS59" s="97">
        <v>0</v>
      </c>
      <c r="GT59" s="97">
        <v>1</v>
      </c>
      <c r="GU59" s="86">
        <f t="shared" si="12"/>
        <v>1</v>
      </c>
      <c r="GV59" s="87" t="s">
        <v>266</v>
      </c>
      <c r="GW59" s="87">
        <v>0</v>
      </c>
      <c r="GX59" s="88" t="s">
        <v>267</v>
      </c>
      <c r="GY59" s="55">
        <v>5</v>
      </c>
      <c r="GZ59" s="55">
        <v>5</v>
      </c>
      <c r="HA59" s="55">
        <v>3</v>
      </c>
      <c r="HB59" s="55">
        <v>1</v>
      </c>
      <c r="HC59" s="55">
        <v>5</v>
      </c>
      <c r="HD59" s="55">
        <v>5</v>
      </c>
      <c r="HE59" s="55"/>
      <c r="HF59" s="55"/>
      <c r="HG59" s="55">
        <v>2</v>
      </c>
      <c r="HH59" s="55">
        <v>7</v>
      </c>
      <c r="HI59" s="55">
        <v>7</v>
      </c>
      <c r="HJ59" s="55"/>
      <c r="HK59" s="55">
        <v>2</v>
      </c>
      <c r="HL59" s="55">
        <v>4</v>
      </c>
      <c r="HM59" s="55">
        <v>4</v>
      </c>
      <c r="HN59" s="55">
        <v>1</v>
      </c>
      <c r="HO59" s="55">
        <v>3</v>
      </c>
      <c r="HP59" s="55">
        <v>1</v>
      </c>
      <c r="HQ59" s="55">
        <v>2</v>
      </c>
      <c r="HR59" s="55">
        <v>1</v>
      </c>
      <c r="HS59" s="55">
        <v>1</v>
      </c>
      <c r="HT59" s="55">
        <v>2</v>
      </c>
      <c r="HU59" s="55">
        <v>4</v>
      </c>
      <c r="HV59" s="55">
        <v>1</v>
      </c>
      <c r="HW59" s="55">
        <v>1</v>
      </c>
      <c r="HX59" s="55">
        <v>2</v>
      </c>
      <c r="HY59" s="55">
        <v>5</v>
      </c>
      <c r="HZ59" s="55">
        <v>4</v>
      </c>
      <c r="IA59" s="55">
        <v>4</v>
      </c>
      <c r="IB59" s="55">
        <v>7</v>
      </c>
      <c r="IC59" s="55"/>
      <c r="ID59" s="55">
        <f t="shared" ref="ID59:IG59" si="203">SUM(GY59)</f>
        <v>5</v>
      </c>
      <c r="IE59" s="55">
        <f t="shared" si="203"/>
        <v>5</v>
      </c>
      <c r="IF59" s="55">
        <f t="shared" si="203"/>
        <v>3</v>
      </c>
      <c r="IG59" s="55">
        <f t="shared" si="203"/>
        <v>1</v>
      </c>
      <c r="IH59" s="55">
        <f t="shared" si="14"/>
        <v>10</v>
      </c>
      <c r="II59" s="55">
        <f t="shared" si="15"/>
        <v>2</v>
      </c>
      <c r="IJ59" s="55">
        <f t="shared" si="16"/>
        <v>14</v>
      </c>
      <c r="IK59" s="55">
        <f t="shared" ref="IK59:IQ59" si="204">SUM(HK59)</f>
        <v>2</v>
      </c>
      <c r="IL59" s="55">
        <f t="shared" si="204"/>
        <v>4</v>
      </c>
      <c r="IM59" s="55">
        <f t="shared" si="204"/>
        <v>4</v>
      </c>
      <c r="IN59" s="55">
        <f t="shared" si="204"/>
        <v>1</v>
      </c>
      <c r="IO59" s="55">
        <f t="shared" si="204"/>
        <v>3</v>
      </c>
      <c r="IP59" s="55">
        <f t="shared" si="204"/>
        <v>1</v>
      </c>
      <c r="IQ59" s="55">
        <f t="shared" si="204"/>
        <v>2</v>
      </c>
      <c r="IR59" s="55">
        <f t="shared" si="18"/>
        <v>2</v>
      </c>
      <c r="IS59" s="55">
        <f t="shared" ref="IS59:JB59" si="205">SUM(HT59)</f>
        <v>2</v>
      </c>
      <c r="IT59" s="55">
        <f t="shared" si="205"/>
        <v>4</v>
      </c>
      <c r="IU59" s="55">
        <f t="shared" si="205"/>
        <v>1</v>
      </c>
      <c r="IV59" s="55">
        <f t="shared" si="205"/>
        <v>1</v>
      </c>
      <c r="IW59" s="55">
        <f t="shared" si="205"/>
        <v>2</v>
      </c>
      <c r="IX59" s="55">
        <f t="shared" si="205"/>
        <v>5</v>
      </c>
      <c r="IY59" s="55">
        <f t="shared" si="205"/>
        <v>4</v>
      </c>
      <c r="IZ59" s="55">
        <f t="shared" si="205"/>
        <v>4</v>
      </c>
      <c r="JA59" s="55">
        <f t="shared" si="205"/>
        <v>7</v>
      </c>
      <c r="JB59" s="55">
        <f t="shared" si="205"/>
        <v>0</v>
      </c>
      <c r="JC59" s="89">
        <f t="shared" si="20"/>
        <v>88</v>
      </c>
      <c r="JD59" s="90">
        <v>1</v>
      </c>
      <c r="JE59" s="90">
        <v>1</v>
      </c>
      <c r="JF59" s="91">
        <v>46</v>
      </c>
      <c r="JG59" s="91">
        <v>2</v>
      </c>
      <c r="JH59" s="97">
        <v>2</v>
      </c>
      <c r="JI59" s="97">
        <v>2</v>
      </c>
      <c r="JJ59" s="97">
        <v>2</v>
      </c>
      <c r="JK59" s="97">
        <v>0</v>
      </c>
      <c r="JL59" s="97">
        <v>0</v>
      </c>
      <c r="JM59" s="97">
        <v>0</v>
      </c>
      <c r="JN59" s="97">
        <v>0</v>
      </c>
      <c r="JO59" s="97">
        <v>0</v>
      </c>
      <c r="JP59" s="89">
        <f t="shared" si="170"/>
        <v>6</v>
      </c>
      <c r="JQ59" s="97">
        <v>2</v>
      </c>
      <c r="JR59" s="97">
        <v>1</v>
      </c>
      <c r="JS59" s="97">
        <v>0</v>
      </c>
      <c r="JT59" s="97">
        <v>0</v>
      </c>
      <c r="JU59" s="97">
        <v>0</v>
      </c>
      <c r="JV59" s="97">
        <v>0</v>
      </c>
      <c r="JW59" s="97">
        <v>0</v>
      </c>
      <c r="JX59" s="92">
        <f t="shared" si="22"/>
        <v>3</v>
      </c>
      <c r="JY59" s="93">
        <f t="shared" si="23"/>
        <v>9</v>
      </c>
      <c r="JZ59" s="97">
        <v>3</v>
      </c>
      <c r="KA59" s="97">
        <v>2</v>
      </c>
      <c r="KB59" s="97">
        <v>2</v>
      </c>
      <c r="KC59" s="97">
        <v>0</v>
      </c>
      <c r="KD59" s="97">
        <v>0</v>
      </c>
      <c r="KE59" s="97">
        <v>0</v>
      </c>
      <c r="KF59" s="97">
        <v>0</v>
      </c>
      <c r="KG59" s="94">
        <f t="shared" si="24"/>
        <v>7</v>
      </c>
      <c r="KH59" s="95" t="s">
        <v>511</v>
      </c>
      <c r="KI59" s="97">
        <v>0</v>
      </c>
      <c r="KJ59" s="97">
        <v>2</v>
      </c>
      <c r="KK59" s="55"/>
      <c r="KL59" s="95" t="s">
        <v>512</v>
      </c>
      <c r="KM59" s="97">
        <v>1</v>
      </c>
      <c r="KN59" s="97">
        <v>1</v>
      </c>
      <c r="KO59" s="55"/>
      <c r="KP59" s="95" t="s">
        <v>458</v>
      </c>
      <c r="KQ59" s="97">
        <v>0</v>
      </c>
      <c r="KR59" s="97">
        <v>2</v>
      </c>
      <c r="KS59" s="55"/>
      <c r="KT59" s="95" t="s">
        <v>513</v>
      </c>
      <c r="KU59" s="97">
        <v>0</v>
      </c>
      <c r="KV59" s="97">
        <v>2</v>
      </c>
      <c r="KW59" s="55"/>
      <c r="KX59" s="108">
        <v>45826</v>
      </c>
      <c r="KY59" s="97">
        <v>0</v>
      </c>
      <c r="KZ59" s="97">
        <v>2</v>
      </c>
      <c r="LA59" s="55"/>
      <c r="LB59" s="95" t="s">
        <v>514</v>
      </c>
      <c r="LC59" s="97">
        <v>0</v>
      </c>
      <c r="LD59" s="97">
        <v>2</v>
      </c>
      <c r="LE59" s="55"/>
      <c r="LF59" s="95" t="s">
        <v>515</v>
      </c>
      <c r="LG59" s="97">
        <v>1</v>
      </c>
      <c r="LH59" s="97">
        <v>1</v>
      </c>
      <c r="LI59" s="55"/>
      <c r="LJ59" s="95" t="s">
        <v>516</v>
      </c>
      <c r="LK59" s="97">
        <v>1</v>
      </c>
      <c r="LL59" s="97">
        <v>1</v>
      </c>
      <c r="LM59" s="55"/>
      <c r="LN59" s="96">
        <f t="shared" si="25"/>
        <v>13</v>
      </c>
      <c r="LO59" s="97">
        <f t="shared" si="26"/>
        <v>0</v>
      </c>
      <c r="LP59" s="97">
        <f t="shared" si="27"/>
        <v>29</v>
      </c>
    </row>
    <row r="60" spans="1:328" s="98" customFormat="1" ht="13.8">
      <c r="A60" s="158" t="s">
        <v>613</v>
      </c>
      <c r="B60" s="110">
        <v>45953</v>
      </c>
      <c r="C60" s="61">
        <v>13</v>
      </c>
      <c r="D60" s="62" t="s">
        <v>780</v>
      </c>
      <c r="E60" s="62"/>
      <c r="F60" s="61">
        <v>1</v>
      </c>
      <c r="G60" s="61">
        <v>1</v>
      </c>
      <c r="H60" s="61">
        <v>1</v>
      </c>
      <c r="I60" s="164">
        <v>4</v>
      </c>
      <c r="J60" s="164">
        <v>4</v>
      </c>
      <c r="K60" s="63">
        <v>9.930555555555555E-2</v>
      </c>
      <c r="L60" s="63">
        <v>5.4166666666666669E-2</v>
      </c>
      <c r="M60" s="63">
        <v>5.7638888888888892E-2</v>
      </c>
      <c r="N60" s="64" t="s">
        <v>1041</v>
      </c>
      <c r="O60" s="101" t="s">
        <v>1034</v>
      </c>
      <c r="P60" s="111" t="s">
        <v>623</v>
      </c>
      <c r="Q60" s="111">
        <v>1</v>
      </c>
      <c r="R60" s="112">
        <v>18236</v>
      </c>
      <c r="S60" s="111">
        <v>75</v>
      </c>
      <c r="T60" s="111" t="s">
        <v>369</v>
      </c>
      <c r="U60" s="111" t="s">
        <v>287</v>
      </c>
      <c r="V60" s="159">
        <v>2805749</v>
      </c>
      <c r="W60" s="111" t="s">
        <v>624</v>
      </c>
      <c r="X60" s="111" t="s">
        <v>596</v>
      </c>
      <c r="Y60" s="111" t="s">
        <v>261</v>
      </c>
      <c r="Z60" s="111" t="s">
        <v>262</v>
      </c>
      <c r="AA60" s="111" t="s">
        <v>323</v>
      </c>
      <c r="AB60" s="111" t="s">
        <v>300</v>
      </c>
      <c r="AC60" s="111" t="s">
        <v>597</v>
      </c>
      <c r="AD60" s="111" t="s">
        <v>597</v>
      </c>
      <c r="AE60" s="111" t="s">
        <v>625</v>
      </c>
      <c r="AF60" s="111" t="s">
        <v>597</v>
      </c>
      <c r="AG60" s="111" t="s">
        <v>602</v>
      </c>
      <c r="AH60" s="111" t="s">
        <v>597</v>
      </c>
      <c r="AI60" s="111" t="s">
        <v>597</v>
      </c>
      <c r="AJ60" s="112"/>
      <c r="AK60" s="124"/>
      <c r="AL60" s="115">
        <v>1</v>
      </c>
      <c r="AM60" s="115">
        <v>1</v>
      </c>
      <c r="AN60" s="115">
        <v>1</v>
      </c>
      <c r="AO60" s="115">
        <v>1</v>
      </c>
      <c r="AP60" s="115">
        <v>1</v>
      </c>
      <c r="AQ60" s="115">
        <v>1</v>
      </c>
      <c r="AR60" s="115">
        <v>1</v>
      </c>
      <c r="AS60" s="115">
        <v>1</v>
      </c>
      <c r="AT60" s="70">
        <f t="shared" si="0"/>
        <v>8</v>
      </c>
      <c r="AU60" s="71">
        <v>1</v>
      </c>
      <c r="AV60" s="71">
        <v>1</v>
      </c>
      <c r="AW60" s="71">
        <v>1</v>
      </c>
      <c r="AX60" s="71">
        <v>1</v>
      </c>
      <c r="AY60" s="70">
        <f t="shared" si="1"/>
        <v>4</v>
      </c>
      <c r="AZ60" s="69">
        <v>1</v>
      </c>
      <c r="BA60" s="69">
        <v>1</v>
      </c>
      <c r="BB60" s="69">
        <v>1</v>
      </c>
      <c r="BC60" s="69">
        <v>1</v>
      </c>
      <c r="BD60" s="69">
        <v>1</v>
      </c>
      <c r="BE60" s="69">
        <v>1</v>
      </c>
      <c r="BF60" s="69">
        <v>1</v>
      </c>
      <c r="BG60" s="69">
        <v>1</v>
      </c>
      <c r="BH60" s="70">
        <f t="shared" si="2"/>
        <v>8</v>
      </c>
      <c r="BI60" s="69">
        <v>1</v>
      </c>
      <c r="BJ60" s="69">
        <v>1</v>
      </c>
      <c r="BK60" s="70">
        <f t="shared" si="3"/>
        <v>2</v>
      </c>
      <c r="BL60" s="72">
        <v>1</v>
      </c>
      <c r="BM60" s="72">
        <v>1</v>
      </c>
      <c r="BN60" s="72">
        <v>1</v>
      </c>
      <c r="BO60" s="72">
        <v>1</v>
      </c>
      <c r="BP60" s="72">
        <v>1</v>
      </c>
      <c r="BQ60" s="72">
        <v>1</v>
      </c>
      <c r="BR60" s="72">
        <v>1</v>
      </c>
      <c r="BS60" s="72">
        <v>1</v>
      </c>
      <c r="BT60" s="70">
        <f t="shared" si="4"/>
        <v>7</v>
      </c>
      <c r="BU60" s="70">
        <f t="shared" si="5"/>
        <v>29</v>
      </c>
      <c r="BV60" s="73">
        <v>5</v>
      </c>
      <c r="BW60" s="73">
        <v>5</v>
      </c>
      <c r="BX60" s="73">
        <v>5</v>
      </c>
      <c r="BY60" s="73">
        <v>1</v>
      </c>
      <c r="BZ60" s="105">
        <v>5</v>
      </c>
      <c r="CA60" s="73">
        <v>3</v>
      </c>
      <c r="CB60" s="105">
        <v>5</v>
      </c>
      <c r="CC60" s="73">
        <v>5</v>
      </c>
      <c r="CD60" s="73">
        <v>2</v>
      </c>
      <c r="CE60" s="73">
        <v>3</v>
      </c>
      <c r="CF60" s="73">
        <v>3</v>
      </c>
      <c r="CG60" s="73">
        <v>5</v>
      </c>
      <c r="CH60" s="74">
        <v>5</v>
      </c>
      <c r="CI60" s="73">
        <v>5</v>
      </c>
      <c r="CJ60" s="73">
        <v>3</v>
      </c>
      <c r="CK60" s="75">
        <f t="shared" si="184"/>
        <v>60</v>
      </c>
      <c r="CL60" s="76">
        <v>5</v>
      </c>
      <c r="CM60" s="76">
        <v>1</v>
      </c>
      <c r="CN60" s="76">
        <v>5</v>
      </c>
      <c r="CO60" s="76">
        <v>5</v>
      </c>
      <c r="CP60" s="76">
        <v>5</v>
      </c>
      <c r="CQ60" s="106">
        <v>5</v>
      </c>
      <c r="CR60" s="76">
        <v>1</v>
      </c>
      <c r="CS60" s="76">
        <v>5</v>
      </c>
      <c r="CT60" s="76">
        <v>5</v>
      </c>
      <c r="CU60" s="76">
        <v>5</v>
      </c>
      <c r="CV60" s="76">
        <v>5</v>
      </c>
      <c r="CW60" s="76">
        <v>1</v>
      </c>
      <c r="CX60" s="76">
        <v>1</v>
      </c>
      <c r="CY60" s="76">
        <v>5</v>
      </c>
      <c r="CZ60" s="76">
        <v>5</v>
      </c>
      <c r="DA60" s="76">
        <v>5</v>
      </c>
      <c r="DB60" s="76">
        <v>5</v>
      </c>
      <c r="DC60" s="76">
        <v>4</v>
      </c>
      <c r="DD60" s="76">
        <v>5</v>
      </c>
      <c r="DE60" s="76">
        <v>5</v>
      </c>
      <c r="DF60" s="76">
        <v>5</v>
      </c>
      <c r="DG60" s="76">
        <v>5</v>
      </c>
      <c r="DH60" s="76">
        <v>5</v>
      </c>
      <c r="DI60" s="76">
        <v>5</v>
      </c>
      <c r="DJ60" s="76">
        <v>1</v>
      </c>
      <c r="DK60" s="76">
        <v>5</v>
      </c>
      <c r="DL60" s="76">
        <v>3</v>
      </c>
      <c r="DM60" s="76">
        <v>1</v>
      </c>
      <c r="DN60" s="76">
        <f t="shared" si="7"/>
        <v>113</v>
      </c>
      <c r="DO60" s="118">
        <v>22</v>
      </c>
      <c r="DP60" s="97">
        <v>0</v>
      </c>
      <c r="DQ60" s="97">
        <v>0</v>
      </c>
      <c r="DR60" s="97">
        <v>0</v>
      </c>
      <c r="DS60" s="97">
        <v>0</v>
      </c>
      <c r="DT60" s="97">
        <v>0</v>
      </c>
      <c r="DU60" s="97">
        <v>0</v>
      </c>
      <c r="DV60" s="55">
        <v>0</v>
      </c>
      <c r="DW60" s="97">
        <v>0</v>
      </c>
      <c r="DX60" s="97">
        <v>0</v>
      </c>
      <c r="DY60" s="97">
        <v>0</v>
      </c>
      <c r="DZ60" s="97">
        <v>0</v>
      </c>
      <c r="EA60" s="97">
        <v>0</v>
      </c>
      <c r="EB60" s="97">
        <v>0</v>
      </c>
      <c r="EC60" s="97">
        <v>0</v>
      </c>
      <c r="ED60" s="97">
        <v>0</v>
      </c>
      <c r="EE60" s="77">
        <f t="shared" si="124"/>
        <v>0</v>
      </c>
      <c r="EF60" s="77" t="s">
        <v>265</v>
      </c>
      <c r="EG60" s="78">
        <f t="shared" si="8"/>
        <v>0</v>
      </c>
      <c r="EH60" s="97">
        <v>0.5</v>
      </c>
      <c r="EI60" s="97">
        <v>0</v>
      </c>
      <c r="EJ60" s="97">
        <v>0</v>
      </c>
      <c r="EK60" s="97">
        <v>0</v>
      </c>
      <c r="EL60" s="97">
        <v>0</v>
      </c>
      <c r="EM60" s="97">
        <v>0</v>
      </c>
      <c r="EN60" s="97">
        <v>0</v>
      </c>
      <c r="EO60" s="97">
        <v>0</v>
      </c>
      <c r="EP60" s="97">
        <v>0</v>
      </c>
      <c r="EQ60" s="97">
        <v>0</v>
      </c>
      <c r="ER60" s="97">
        <v>0</v>
      </c>
      <c r="ES60" s="97">
        <v>0</v>
      </c>
      <c r="ET60" s="97">
        <v>0</v>
      </c>
      <c r="EU60" s="97">
        <v>0</v>
      </c>
      <c r="EV60" s="97">
        <v>0</v>
      </c>
      <c r="EW60" s="97">
        <v>0</v>
      </c>
      <c r="EX60" s="97">
        <v>0</v>
      </c>
      <c r="EY60" s="97">
        <v>0</v>
      </c>
      <c r="EZ60" s="97">
        <v>0</v>
      </c>
      <c r="FA60" s="97">
        <v>0</v>
      </c>
      <c r="FB60" s="97">
        <v>0</v>
      </c>
      <c r="FC60" s="97">
        <v>0</v>
      </c>
      <c r="FD60" s="79">
        <f t="shared" si="9"/>
        <v>0.5</v>
      </c>
      <c r="FE60" s="80">
        <v>1</v>
      </c>
      <c r="FF60" s="97">
        <v>1</v>
      </c>
      <c r="FG60" s="97">
        <v>1</v>
      </c>
      <c r="FH60" s="97">
        <v>1</v>
      </c>
      <c r="FI60" s="97">
        <v>1</v>
      </c>
      <c r="FJ60" s="97">
        <v>0</v>
      </c>
      <c r="FK60" s="97">
        <v>1</v>
      </c>
      <c r="FL60" s="97">
        <v>1</v>
      </c>
      <c r="FM60" s="97">
        <v>1</v>
      </c>
      <c r="FN60" s="81">
        <f t="shared" si="10"/>
        <v>7</v>
      </c>
      <c r="FO60" s="81">
        <v>2</v>
      </c>
      <c r="FP60" s="97">
        <v>10</v>
      </c>
      <c r="FQ60" s="97">
        <v>5</v>
      </c>
      <c r="FR60" s="97">
        <v>10</v>
      </c>
      <c r="FS60" s="97">
        <v>5</v>
      </c>
      <c r="FT60" s="97">
        <v>10</v>
      </c>
      <c r="FU60" s="97">
        <v>10</v>
      </c>
      <c r="FV60" s="97">
        <v>10</v>
      </c>
      <c r="FW60" s="97">
        <v>15</v>
      </c>
      <c r="FX60" s="97">
        <v>15</v>
      </c>
      <c r="FY60" s="97">
        <v>10</v>
      </c>
      <c r="FZ60" s="83">
        <f t="shared" si="11"/>
        <v>100</v>
      </c>
      <c r="GA60" s="84">
        <v>1</v>
      </c>
      <c r="GB60" s="55">
        <v>1</v>
      </c>
      <c r="GC60" s="85">
        <v>0</v>
      </c>
      <c r="GD60" s="85">
        <v>1</v>
      </c>
      <c r="GE60" s="85">
        <v>1</v>
      </c>
      <c r="GF60" s="85">
        <v>0</v>
      </c>
      <c r="GG60" s="85">
        <v>0</v>
      </c>
      <c r="GH60" s="85">
        <v>0</v>
      </c>
      <c r="GI60" s="97">
        <v>0</v>
      </c>
      <c r="GJ60" s="97">
        <v>0</v>
      </c>
      <c r="GK60" s="97">
        <v>0</v>
      </c>
      <c r="GL60" s="97">
        <v>1</v>
      </c>
      <c r="GM60" s="97">
        <v>1</v>
      </c>
      <c r="GN60" s="97">
        <v>1</v>
      </c>
      <c r="GO60" s="97">
        <v>0</v>
      </c>
      <c r="GP60" s="97">
        <v>0</v>
      </c>
      <c r="GQ60" s="97">
        <v>0</v>
      </c>
      <c r="GR60" s="97">
        <v>0</v>
      </c>
      <c r="GS60" s="97">
        <v>0</v>
      </c>
      <c r="GT60" s="97">
        <v>0</v>
      </c>
      <c r="GU60" s="86">
        <f t="shared" si="12"/>
        <v>3</v>
      </c>
      <c r="GV60" s="87" t="s">
        <v>301</v>
      </c>
      <c r="GW60" s="87">
        <v>0</v>
      </c>
      <c r="GX60" s="88" t="s">
        <v>267</v>
      </c>
      <c r="GY60" s="97">
        <v>5</v>
      </c>
      <c r="GZ60" s="97">
        <v>5</v>
      </c>
      <c r="HA60" s="97">
        <v>3</v>
      </c>
      <c r="HB60" s="97">
        <v>1</v>
      </c>
      <c r="HC60" s="97">
        <v>5</v>
      </c>
      <c r="HD60" s="97">
        <v>5</v>
      </c>
      <c r="HE60" s="97"/>
      <c r="HF60" s="97"/>
      <c r="HG60" s="97">
        <v>3</v>
      </c>
      <c r="HH60" s="97">
        <v>7</v>
      </c>
      <c r="HI60" s="97">
        <v>7</v>
      </c>
      <c r="HJ60" s="97"/>
      <c r="HK60" s="97">
        <v>4</v>
      </c>
      <c r="HL60" s="97">
        <v>3</v>
      </c>
      <c r="HM60" s="97">
        <v>5</v>
      </c>
      <c r="HN60" s="97">
        <v>1</v>
      </c>
      <c r="HO60" s="97">
        <v>3</v>
      </c>
      <c r="HP60" s="97">
        <v>1</v>
      </c>
      <c r="HQ60" s="97">
        <v>1</v>
      </c>
      <c r="HR60" s="97">
        <v>1</v>
      </c>
      <c r="HS60" s="97">
        <v>1</v>
      </c>
      <c r="HT60" s="97">
        <v>2</v>
      </c>
      <c r="HU60" s="97">
        <v>3</v>
      </c>
      <c r="HV60" s="97">
        <v>1</v>
      </c>
      <c r="HW60" s="97">
        <v>1</v>
      </c>
      <c r="HX60" s="97">
        <v>2</v>
      </c>
      <c r="HY60" s="97">
        <v>5</v>
      </c>
      <c r="HZ60" s="97">
        <v>4</v>
      </c>
      <c r="IA60" s="97">
        <v>4</v>
      </c>
      <c r="IB60" s="97">
        <v>7</v>
      </c>
      <c r="IC60" s="55"/>
      <c r="ID60" s="55">
        <f t="shared" ref="ID60:IG60" si="206">SUM(GY60)</f>
        <v>5</v>
      </c>
      <c r="IE60" s="55">
        <f t="shared" si="206"/>
        <v>5</v>
      </c>
      <c r="IF60" s="55">
        <f t="shared" si="206"/>
        <v>3</v>
      </c>
      <c r="IG60" s="55">
        <f t="shared" si="206"/>
        <v>1</v>
      </c>
      <c r="IH60" s="55">
        <f t="shared" si="14"/>
        <v>10</v>
      </c>
      <c r="II60" s="55">
        <f t="shared" si="15"/>
        <v>3</v>
      </c>
      <c r="IJ60" s="55">
        <f t="shared" si="16"/>
        <v>14</v>
      </c>
      <c r="IK60" s="55">
        <f t="shared" ref="IK60:IQ60" si="207">SUM(HK60)</f>
        <v>4</v>
      </c>
      <c r="IL60" s="55">
        <f t="shared" si="207"/>
        <v>3</v>
      </c>
      <c r="IM60" s="55">
        <f t="shared" si="207"/>
        <v>5</v>
      </c>
      <c r="IN60" s="55">
        <f t="shared" si="207"/>
        <v>1</v>
      </c>
      <c r="IO60" s="55">
        <f t="shared" si="207"/>
        <v>3</v>
      </c>
      <c r="IP60" s="55">
        <f t="shared" si="207"/>
        <v>1</v>
      </c>
      <c r="IQ60" s="55">
        <f t="shared" si="207"/>
        <v>1</v>
      </c>
      <c r="IR60" s="55">
        <f t="shared" si="18"/>
        <v>2</v>
      </c>
      <c r="IS60" s="55">
        <f t="shared" ref="IS60:JB60" si="208">SUM(HT60)</f>
        <v>2</v>
      </c>
      <c r="IT60" s="55">
        <f t="shared" si="208"/>
        <v>3</v>
      </c>
      <c r="IU60" s="55">
        <f t="shared" si="208"/>
        <v>1</v>
      </c>
      <c r="IV60" s="55">
        <f t="shared" si="208"/>
        <v>1</v>
      </c>
      <c r="IW60" s="55">
        <f t="shared" si="208"/>
        <v>2</v>
      </c>
      <c r="IX60" s="55">
        <f t="shared" si="208"/>
        <v>5</v>
      </c>
      <c r="IY60" s="55">
        <f t="shared" si="208"/>
        <v>4</v>
      </c>
      <c r="IZ60" s="55">
        <f t="shared" si="208"/>
        <v>4</v>
      </c>
      <c r="JA60" s="55">
        <f t="shared" si="208"/>
        <v>7</v>
      </c>
      <c r="JB60" s="55">
        <f t="shared" si="208"/>
        <v>0</v>
      </c>
      <c r="JC60" s="89">
        <f t="shared" si="20"/>
        <v>89</v>
      </c>
      <c r="JD60" s="90">
        <v>1</v>
      </c>
      <c r="JE60" s="90">
        <v>1</v>
      </c>
      <c r="JF60" s="91">
        <v>52</v>
      </c>
      <c r="JG60" s="91">
        <v>2</v>
      </c>
      <c r="JH60" s="97">
        <v>2</v>
      </c>
      <c r="JI60" s="97">
        <v>2</v>
      </c>
      <c r="JJ60" s="97">
        <v>2</v>
      </c>
      <c r="JK60" s="97">
        <v>0</v>
      </c>
      <c r="JL60" s="97">
        <v>0</v>
      </c>
      <c r="JM60" s="97">
        <v>0</v>
      </c>
      <c r="JN60" s="97">
        <v>0</v>
      </c>
      <c r="JO60" s="97">
        <v>0</v>
      </c>
      <c r="JP60" s="89">
        <f t="shared" si="170"/>
        <v>6</v>
      </c>
      <c r="JQ60" s="97">
        <v>2</v>
      </c>
      <c r="JR60" s="97">
        <v>2</v>
      </c>
      <c r="JS60" s="97">
        <v>2</v>
      </c>
      <c r="JT60" s="97">
        <v>0</v>
      </c>
      <c r="JU60" s="97">
        <v>0</v>
      </c>
      <c r="JV60" s="97">
        <v>0</v>
      </c>
      <c r="JW60" s="97">
        <v>0</v>
      </c>
      <c r="JX60" s="92">
        <f t="shared" si="22"/>
        <v>6</v>
      </c>
      <c r="JY60" s="93">
        <f t="shared" si="23"/>
        <v>12</v>
      </c>
      <c r="JZ60" s="97">
        <v>3</v>
      </c>
      <c r="KA60" s="97">
        <v>3</v>
      </c>
      <c r="KB60" s="97">
        <v>2</v>
      </c>
      <c r="KC60" s="97">
        <v>0</v>
      </c>
      <c r="KD60" s="97">
        <v>0</v>
      </c>
      <c r="KE60" s="97">
        <v>0</v>
      </c>
      <c r="KF60" s="97">
        <v>0</v>
      </c>
      <c r="KG60" s="94">
        <f t="shared" si="24"/>
        <v>8</v>
      </c>
      <c r="KH60" s="95" t="s">
        <v>379</v>
      </c>
      <c r="KI60" s="97">
        <v>0</v>
      </c>
      <c r="KJ60" s="97">
        <v>2</v>
      </c>
      <c r="KK60" s="97">
        <v>0</v>
      </c>
      <c r="KL60" s="95" t="s">
        <v>409</v>
      </c>
      <c r="KM60" s="97">
        <v>1</v>
      </c>
      <c r="KN60" s="97">
        <v>1</v>
      </c>
      <c r="KO60" s="97">
        <v>0</v>
      </c>
      <c r="KP60" s="95" t="s">
        <v>410</v>
      </c>
      <c r="KQ60" s="97">
        <v>0</v>
      </c>
      <c r="KR60" s="97">
        <v>2</v>
      </c>
      <c r="KS60" s="97">
        <v>0</v>
      </c>
      <c r="KT60" s="95" t="s">
        <v>411</v>
      </c>
      <c r="KU60" s="97">
        <v>0</v>
      </c>
      <c r="KV60" s="97">
        <v>2</v>
      </c>
      <c r="KW60" s="97">
        <v>0</v>
      </c>
      <c r="KX60" s="95" t="s">
        <v>412</v>
      </c>
      <c r="KY60" s="97">
        <v>1</v>
      </c>
      <c r="KZ60" s="97">
        <v>1</v>
      </c>
      <c r="LA60" s="97">
        <v>0</v>
      </c>
      <c r="LB60" s="95" t="s">
        <v>413</v>
      </c>
      <c r="LC60" s="97">
        <v>0</v>
      </c>
      <c r="LD60" s="97">
        <v>2</v>
      </c>
      <c r="LE60" s="97">
        <v>0</v>
      </c>
      <c r="LF60" s="95" t="s">
        <v>414</v>
      </c>
      <c r="LG60" s="97">
        <v>0</v>
      </c>
      <c r="LH60" s="97">
        <v>2</v>
      </c>
      <c r="LI60" s="97">
        <v>0</v>
      </c>
      <c r="LJ60" s="95" t="s">
        <v>415</v>
      </c>
      <c r="LK60" s="97">
        <v>0</v>
      </c>
      <c r="LL60" s="97">
        <v>2</v>
      </c>
      <c r="LM60" s="97">
        <v>0</v>
      </c>
      <c r="LN60" s="96">
        <f t="shared" si="25"/>
        <v>14</v>
      </c>
      <c r="LO60" s="97">
        <f t="shared" si="26"/>
        <v>0</v>
      </c>
      <c r="LP60" s="97">
        <f t="shared" si="27"/>
        <v>34</v>
      </c>
    </row>
    <row r="61" spans="1:328" s="98" customFormat="1" ht="13.8">
      <c r="A61" s="55" t="s">
        <v>634</v>
      </c>
      <c r="B61" s="40"/>
      <c r="C61" s="40">
        <v>63</v>
      </c>
      <c r="D61" s="62" t="s">
        <v>763</v>
      </c>
      <c r="E61" s="62"/>
      <c r="F61" s="61">
        <v>1</v>
      </c>
      <c r="G61" s="61">
        <v>1</v>
      </c>
      <c r="H61" s="61">
        <v>1</v>
      </c>
      <c r="I61" s="164">
        <v>4</v>
      </c>
      <c r="J61" s="164">
        <v>8</v>
      </c>
      <c r="K61" s="63">
        <v>9.2361111111111116E-2</v>
      </c>
      <c r="L61" s="63">
        <v>5.486111111111111E-2</v>
      </c>
      <c r="M61" s="63">
        <v>0.12986111111111112</v>
      </c>
      <c r="N61" s="64" t="s">
        <v>1040</v>
      </c>
      <c r="O61" s="101" t="s">
        <v>1035</v>
      </c>
      <c r="P61" s="95" t="s">
        <v>732</v>
      </c>
      <c r="Q61" s="95">
        <v>1</v>
      </c>
      <c r="R61" s="125">
        <v>17937</v>
      </c>
      <c r="S61" s="95">
        <v>76</v>
      </c>
      <c r="T61" s="95" t="s">
        <v>310</v>
      </c>
      <c r="U61" s="95" t="s">
        <v>298</v>
      </c>
      <c r="V61" s="130" t="s">
        <v>733</v>
      </c>
      <c r="W61" s="95" t="s">
        <v>624</v>
      </c>
      <c r="X61" s="95" t="s">
        <v>596</v>
      </c>
      <c r="Y61" s="95" t="s">
        <v>311</v>
      </c>
      <c r="Z61" s="95" t="s">
        <v>262</v>
      </c>
      <c r="AA61" s="95" t="s">
        <v>517</v>
      </c>
      <c r="AB61" s="95" t="s">
        <v>264</v>
      </c>
      <c r="AC61" s="95" t="s">
        <v>597</v>
      </c>
      <c r="AD61" s="95" t="s">
        <v>597</v>
      </c>
      <c r="AE61" s="95" t="s">
        <v>602</v>
      </c>
      <c r="AF61" s="95" t="s">
        <v>597</v>
      </c>
      <c r="AG61" s="95" t="s">
        <v>602</v>
      </c>
      <c r="AH61" s="95" t="s">
        <v>597</v>
      </c>
      <c r="AI61" s="95" t="s">
        <v>599</v>
      </c>
      <c r="AJ61" s="125">
        <v>44175</v>
      </c>
      <c r="AK61" s="97"/>
      <c r="AL61" s="115">
        <v>1</v>
      </c>
      <c r="AM61" s="115">
        <v>1</v>
      </c>
      <c r="AN61" s="115">
        <v>1</v>
      </c>
      <c r="AO61" s="115">
        <v>1</v>
      </c>
      <c r="AP61" s="115">
        <v>1</v>
      </c>
      <c r="AQ61" s="115">
        <v>1</v>
      </c>
      <c r="AR61" s="115">
        <v>1</v>
      </c>
      <c r="AS61" s="115">
        <v>1</v>
      </c>
      <c r="AT61" s="70">
        <f t="shared" si="0"/>
        <v>8</v>
      </c>
      <c r="AU61" s="71">
        <v>1</v>
      </c>
      <c r="AV61" s="71">
        <v>1</v>
      </c>
      <c r="AW61" s="71">
        <v>1</v>
      </c>
      <c r="AX61" s="71">
        <v>1</v>
      </c>
      <c r="AY61" s="70">
        <f t="shared" si="1"/>
        <v>4</v>
      </c>
      <c r="AZ61" s="115">
        <v>0</v>
      </c>
      <c r="BA61" s="115">
        <v>0</v>
      </c>
      <c r="BB61" s="115">
        <v>0</v>
      </c>
      <c r="BC61" s="115">
        <v>0</v>
      </c>
      <c r="BD61" s="115">
        <v>0</v>
      </c>
      <c r="BE61" s="69">
        <v>1</v>
      </c>
      <c r="BF61" s="115">
        <v>0</v>
      </c>
      <c r="BG61" s="115">
        <v>0</v>
      </c>
      <c r="BH61" s="70">
        <f t="shared" si="2"/>
        <v>1</v>
      </c>
      <c r="BI61" s="69">
        <v>0</v>
      </c>
      <c r="BJ61" s="69">
        <v>0</v>
      </c>
      <c r="BK61" s="70">
        <f t="shared" si="3"/>
        <v>0</v>
      </c>
      <c r="BL61" s="92">
        <v>1</v>
      </c>
      <c r="BM61" s="72">
        <v>0</v>
      </c>
      <c r="BN61" s="72">
        <v>0</v>
      </c>
      <c r="BO61" s="72">
        <v>0</v>
      </c>
      <c r="BP61" s="72">
        <v>1</v>
      </c>
      <c r="BQ61" s="72">
        <v>0</v>
      </c>
      <c r="BR61" s="72">
        <v>0</v>
      </c>
      <c r="BS61" s="72">
        <v>0</v>
      </c>
      <c r="BT61" s="70">
        <f t="shared" si="4"/>
        <v>1</v>
      </c>
      <c r="BU61" s="70">
        <f t="shared" si="5"/>
        <v>14</v>
      </c>
      <c r="BV61" s="73">
        <v>5</v>
      </c>
      <c r="BW61" s="73">
        <v>5</v>
      </c>
      <c r="BX61" s="73">
        <v>5</v>
      </c>
      <c r="BY61" s="73">
        <v>1</v>
      </c>
      <c r="BZ61" s="105">
        <v>5</v>
      </c>
      <c r="CA61" s="73">
        <v>3</v>
      </c>
      <c r="CB61" s="105">
        <v>5</v>
      </c>
      <c r="CC61" s="73">
        <v>5</v>
      </c>
      <c r="CD61" s="73">
        <v>2</v>
      </c>
      <c r="CE61" s="73">
        <v>3</v>
      </c>
      <c r="CF61" s="73">
        <v>3</v>
      </c>
      <c r="CG61" s="73">
        <v>5</v>
      </c>
      <c r="CH61" s="74">
        <v>5</v>
      </c>
      <c r="CI61" s="73">
        <v>5</v>
      </c>
      <c r="CJ61" s="73">
        <v>3</v>
      </c>
      <c r="CK61" s="75">
        <f t="shared" si="184"/>
        <v>60</v>
      </c>
      <c r="CL61" s="76">
        <v>5</v>
      </c>
      <c r="CM61" s="76">
        <v>1</v>
      </c>
      <c r="CN61" s="76">
        <v>5</v>
      </c>
      <c r="CO61" s="76">
        <v>5</v>
      </c>
      <c r="CP61" s="76">
        <v>5</v>
      </c>
      <c r="CQ61" s="106">
        <v>5</v>
      </c>
      <c r="CR61" s="76">
        <v>1</v>
      </c>
      <c r="CS61" s="118">
        <v>5</v>
      </c>
      <c r="CT61" s="76">
        <v>5</v>
      </c>
      <c r="CU61" s="76">
        <v>5</v>
      </c>
      <c r="CV61" s="76">
        <v>5</v>
      </c>
      <c r="CW61" s="76">
        <v>1</v>
      </c>
      <c r="CX61" s="76">
        <v>1</v>
      </c>
      <c r="CY61" s="76">
        <v>5</v>
      </c>
      <c r="CZ61" s="76">
        <v>5</v>
      </c>
      <c r="DA61" s="76">
        <v>5</v>
      </c>
      <c r="DB61" s="76">
        <v>5</v>
      </c>
      <c r="DC61" s="76">
        <v>4</v>
      </c>
      <c r="DD61" s="76">
        <v>5</v>
      </c>
      <c r="DE61" s="76">
        <v>5</v>
      </c>
      <c r="DF61" s="76">
        <v>5</v>
      </c>
      <c r="DG61" s="76">
        <v>5</v>
      </c>
      <c r="DH61" s="76">
        <v>5</v>
      </c>
      <c r="DI61" s="76">
        <v>5</v>
      </c>
      <c r="DJ61" s="76">
        <v>1</v>
      </c>
      <c r="DK61" s="76">
        <v>5</v>
      </c>
      <c r="DL61" s="76">
        <v>3</v>
      </c>
      <c r="DM61" s="76">
        <v>1</v>
      </c>
      <c r="DN61" s="76">
        <f t="shared" si="7"/>
        <v>113</v>
      </c>
      <c r="DO61" s="118">
        <v>30</v>
      </c>
      <c r="DP61" s="97">
        <v>0</v>
      </c>
      <c r="DQ61" s="97">
        <v>1</v>
      </c>
      <c r="DR61" s="97">
        <v>1</v>
      </c>
      <c r="DS61" s="97">
        <v>0</v>
      </c>
      <c r="DT61" s="97">
        <v>0</v>
      </c>
      <c r="DU61" s="97">
        <v>1</v>
      </c>
      <c r="DV61" s="97">
        <v>0</v>
      </c>
      <c r="DW61" s="97">
        <v>0</v>
      </c>
      <c r="DX61" s="97">
        <v>0</v>
      </c>
      <c r="DY61" s="97">
        <v>0</v>
      </c>
      <c r="DZ61" s="97">
        <v>0</v>
      </c>
      <c r="EA61" s="97">
        <v>0</v>
      </c>
      <c r="EB61" s="97">
        <v>0</v>
      </c>
      <c r="EC61" s="97">
        <v>1</v>
      </c>
      <c r="ED61" s="97">
        <v>0</v>
      </c>
      <c r="EE61" s="77">
        <f t="shared" si="124"/>
        <v>4</v>
      </c>
      <c r="EF61" s="77" t="s">
        <v>265</v>
      </c>
      <c r="EG61" s="78">
        <f t="shared" si="8"/>
        <v>4</v>
      </c>
      <c r="EH61" s="97">
        <v>1</v>
      </c>
      <c r="EI61" s="97">
        <v>0</v>
      </c>
      <c r="EJ61" s="97">
        <v>0.5</v>
      </c>
      <c r="EK61" s="97">
        <v>0</v>
      </c>
      <c r="EL61" s="97">
        <v>0</v>
      </c>
      <c r="EM61" s="97">
        <v>0</v>
      </c>
      <c r="EN61" s="97">
        <v>1</v>
      </c>
      <c r="EO61" s="97">
        <v>1</v>
      </c>
      <c r="EP61" s="97">
        <v>1</v>
      </c>
      <c r="EQ61" s="97">
        <v>0</v>
      </c>
      <c r="ER61" s="97">
        <v>0</v>
      </c>
      <c r="ES61" s="97">
        <v>0</v>
      </c>
      <c r="ET61" s="97">
        <v>0</v>
      </c>
      <c r="EU61" s="97">
        <v>0</v>
      </c>
      <c r="EV61" s="97">
        <v>0</v>
      </c>
      <c r="EW61" s="97">
        <v>0</v>
      </c>
      <c r="EX61" s="97">
        <v>0</v>
      </c>
      <c r="EY61" s="97">
        <v>0</v>
      </c>
      <c r="EZ61" s="97">
        <v>0</v>
      </c>
      <c r="FA61" s="97">
        <v>1</v>
      </c>
      <c r="FB61" s="97">
        <v>0</v>
      </c>
      <c r="FC61" s="97">
        <v>0</v>
      </c>
      <c r="FD61" s="79">
        <f t="shared" si="9"/>
        <v>5.5</v>
      </c>
      <c r="FE61" s="79">
        <v>2</v>
      </c>
      <c r="FF61" s="97">
        <v>1</v>
      </c>
      <c r="FG61" s="97">
        <v>1</v>
      </c>
      <c r="FH61" s="97">
        <v>0</v>
      </c>
      <c r="FI61" s="97">
        <v>1</v>
      </c>
      <c r="FJ61" s="97">
        <v>0</v>
      </c>
      <c r="FK61" s="97">
        <v>1</v>
      </c>
      <c r="FL61" s="97">
        <v>1</v>
      </c>
      <c r="FM61" s="97">
        <v>1</v>
      </c>
      <c r="FN61" s="81">
        <f t="shared" si="10"/>
        <v>6</v>
      </c>
      <c r="FO61" s="81">
        <v>2</v>
      </c>
      <c r="FP61" s="97">
        <v>10</v>
      </c>
      <c r="FQ61" s="97">
        <v>5</v>
      </c>
      <c r="FR61" s="97">
        <v>10</v>
      </c>
      <c r="FS61" s="97">
        <v>5</v>
      </c>
      <c r="FT61" s="97">
        <v>10</v>
      </c>
      <c r="FU61" s="97">
        <v>10</v>
      </c>
      <c r="FV61" s="97">
        <v>10</v>
      </c>
      <c r="FW61" s="97">
        <v>15</v>
      </c>
      <c r="FX61" s="97">
        <v>15</v>
      </c>
      <c r="FY61" s="97">
        <v>10</v>
      </c>
      <c r="FZ61" s="83">
        <f t="shared" si="11"/>
        <v>100</v>
      </c>
      <c r="GA61" s="84">
        <v>1</v>
      </c>
      <c r="GB61" s="55">
        <v>0</v>
      </c>
      <c r="GC61" s="85">
        <v>0</v>
      </c>
      <c r="GD61" s="85">
        <v>0</v>
      </c>
      <c r="GE61" s="85">
        <v>0</v>
      </c>
      <c r="GF61" s="85">
        <v>0</v>
      </c>
      <c r="GG61" s="85">
        <v>0</v>
      </c>
      <c r="GH61" s="85">
        <v>0</v>
      </c>
      <c r="GI61" s="97">
        <v>0</v>
      </c>
      <c r="GJ61" s="97">
        <v>0</v>
      </c>
      <c r="GK61" s="97">
        <v>1</v>
      </c>
      <c r="GL61" s="97">
        <v>1</v>
      </c>
      <c r="GM61" s="97">
        <v>1</v>
      </c>
      <c r="GN61" s="97">
        <v>1</v>
      </c>
      <c r="GO61" s="97">
        <v>0</v>
      </c>
      <c r="GP61" s="97">
        <v>0</v>
      </c>
      <c r="GQ61" s="97">
        <v>0</v>
      </c>
      <c r="GR61" s="97">
        <v>0</v>
      </c>
      <c r="GS61" s="97">
        <v>2</v>
      </c>
      <c r="GT61" s="97">
        <v>0</v>
      </c>
      <c r="GU61" s="86">
        <f t="shared" si="12"/>
        <v>6</v>
      </c>
      <c r="GV61" s="128" t="s">
        <v>266</v>
      </c>
      <c r="GW61" s="87">
        <v>0</v>
      </c>
      <c r="GX61" s="88" t="s">
        <v>267</v>
      </c>
      <c r="GY61" s="97">
        <v>5</v>
      </c>
      <c r="GZ61" s="97">
        <v>5</v>
      </c>
      <c r="HA61" s="97">
        <v>3</v>
      </c>
      <c r="HB61" s="97">
        <v>3</v>
      </c>
      <c r="HC61" s="97">
        <v>5</v>
      </c>
      <c r="HD61" s="97">
        <v>3</v>
      </c>
      <c r="HE61" s="97"/>
      <c r="HF61" s="97"/>
      <c r="HG61" s="97">
        <v>2</v>
      </c>
      <c r="HH61" s="97">
        <v>7</v>
      </c>
      <c r="HI61" s="97">
        <v>7</v>
      </c>
      <c r="HJ61" s="97"/>
      <c r="HK61" s="97">
        <v>3</v>
      </c>
      <c r="HL61" s="97">
        <v>7</v>
      </c>
      <c r="HM61" s="97">
        <v>2</v>
      </c>
      <c r="HN61" s="97">
        <v>1</v>
      </c>
      <c r="HO61" s="97">
        <v>3</v>
      </c>
      <c r="HP61" s="97">
        <v>1</v>
      </c>
      <c r="HQ61" s="97">
        <v>2</v>
      </c>
      <c r="HR61" s="97">
        <v>1</v>
      </c>
      <c r="HS61" s="97">
        <v>1</v>
      </c>
      <c r="HT61" s="97">
        <v>2</v>
      </c>
      <c r="HU61" s="97">
        <v>4</v>
      </c>
      <c r="HV61" s="97">
        <v>1</v>
      </c>
      <c r="HW61" s="97">
        <v>1</v>
      </c>
      <c r="HX61" s="97">
        <v>2</v>
      </c>
      <c r="HY61" s="97">
        <v>5</v>
      </c>
      <c r="HZ61" s="97">
        <v>4</v>
      </c>
      <c r="IA61" s="97">
        <v>4</v>
      </c>
      <c r="IB61" s="97">
        <v>7</v>
      </c>
      <c r="IC61" s="55"/>
      <c r="ID61" s="55">
        <f t="shared" ref="ID61:IG61" si="209">SUM(GY61)</f>
        <v>5</v>
      </c>
      <c r="IE61" s="55">
        <f t="shared" si="209"/>
        <v>5</v>
      </c>
      <c r="IF61" s="55">
        <f t="shared" si="209"/>
        <v>3</v>
      </c>
      <c r="IG61" s="55">
        <f t="shared" si="209"/>
        <v>3</v>
      </c>
      <c r="IH61" s="55">
        <f t="shared" si="14"/>
        <v>8</v>
      </c>
      <c r="II61" s="55">
        <f t="shared" si="15"/>
        <v>2</v>
      </c>
      <c r="IJ61" s="55">
        <f t="shared" si="16"/>
        <v>14</v>
      </c>
      <c r="IK61" s="55">
        <f t="shared" ref="IK61:IQ61" si="210">SUM(HK61)</f>
        <v>3</v>
      </c>
      <c r="IL61" s="55">
        <f t="shared" si="210"/>
        <v>7</v>
      </c>
      <c r="IM61" s="55">
        <f t="shared" si="210"/>
        <v>2</v>
      </c>
      <c r="IN61" s="55">
        <f t="shared" si="210"/>
        <v>1</v>
      </c>
      <c r="IO61" s="55">
        <f t="shared" si="210"/>
        <v>3</v>
      </c>
      <c r="IP61" s="55">
        <f t="shared" si="210"/>
        <v>1</v>
      </c>
      <c r="IQ61" s="55">
        <f t="shared" si="210"/>
        <v>2</v>
      </c>
      <c r="IR61" s="55">
        <f t="shared" si="18"/>
        <v>2</v>
      </c>
      <c r="IS61" s="55">
        <f t="shared" ref="IS61:JB61" si="211">SUM(HT61)</f>
        <v>2</v>
      </c>
      <c r="IT61" s="55">
        <f t="shared" si="211"/>
        <v>4</v>
      </c>
      <c r="IU61" s="55">
        <f t="shared" si="211"/>
        <v>1</v>
      </c>
      <c r="IV61" s="55">
        <f t="shared" si="211"/>
        <v>1</v>
      </c>
      <c r="IW61" s="55">
        <f t="shared" si="211"/>
        <v>2</v>
      </c>
      <c r="IX61" s="55">
        <f t="shared" si="211"/>
        <v>5</v>
      </c>
      <c r="IY61" s="55">
        <f t="shared" si="211"/>
        <v>4</v>
      </c>
      <c r="IZ61" s="55">
        <f t="shared" si="211"/>
        <v>4</v>
      </c>
      <c r="JA61" s="55">
        <f t="shared" si="211"/>
        <v>7</v>
      </c>
      <c r="JB61" s="55">
        <f t="shared" si="211"/>
        <v>0</v>
      </c>
      <c r="JC61" s="89">
        <f t="shared" si="20"/>
        <v>88</v>
      </c>
      <c r="JD61" s="90">
        <v>1</v>
      </c>
      <c r="JE61" s="90">
        <v>1</v>
      </c>
      <c r="JF61" s="91">
        <v>33</v>
      </c>
      <c r="JG61" s="91">
        <v>2.37</v>
      </c>
      <c r="JH61" s="97">
        <v>2</v>
      </c>
      <c r="JI61" s="97">
        <v>2</v>
      </c>
      <c r="JJ61" s="97">
        <v>2</v>
      </c>
      <c r="JK61" s="97">
        <v>0</v>
      </c>
      <c r="JL61" s="97">
        <v>0</v>
      </c>
      <c r="JM61" s="97">
        <v>0</v>
      </c>
      <c r="JN61" s="97">
        <v>0</v>
      </c>
      <c r="JO61" s="97">
        <v>0</v>
      </c>
      <c r="JP61" s="89">
        <f t="shared" si="170"/>
        <v>6</v>
      </c>
      <c r="JQ61" s="97">
        <v>1</v>
      </c>
      <c r="JR61" s="97">
        <v>2</v>
      </c>
      <c r="JS61" s="97">
        <v>1</v>
      </c>
      <c r="JT61" s="97">
        <v>1</v>
      </c>
      <c r="JU61" s="97">
        <v>0</v>
      </c>
      <c r="JV61" s="97">
        <v>0</v>
      </c>
      <c r="JW61" s="97">
        <v>0</v>
      </c>
      <c r="JX61" s="92">
        <f t="shared" si="22"/>
        <v>5</v>
      </c>
      <c r="JY61" s="93">
        <f t="shared" si="23"/>
        <v>11</v>
      </c>
      <c r="JZ61" s="97">
        <v>3</v>
      </c>
      <c r="KA61" s="97">
        <v>3</v>
      </c>
      <c r="KB61" s="97">
        <v>3</v>
      </c>
      <c r="KC61" s="97">
        <v>2</v>
      </c>
      <c r="KD61" s="97">
        <v>0</v>
      </c>
      <c r="KE61" s="97">
        <v>0</v>
      </c>
      <c r="KF61" s="97">
        <v>0</v>
      </c>
      <c r="KG61" s="94">
        <f t="shared" si="24"/>
        <v>11</v>
      </c>
      <c r="KH61" s="95" t="s">
        <v>518</v>
      </c>
      <c r="KI61" s="97">
        <v>0</v>
      </c>
      <c r="KJ61" s="97">
        <v>2</v>
      </c>
      <c r="KK61" s="97">
        <v>0</v>
      </c>
      <c r="KL61" s="139">
        <v>45856</v>
      </c>
      <c r="KM61" s="97">
        <v>1</v>
      </c>
      <c r="KN61" s="97">
        <v>1</v>
      </c>
      <c r="KO61" s="97">
        <v>0</v>
      </c>
      <c r="KP61" s="95" t="s">
        <v>519</v>
      </c>
      <c r="KQ61" s="97">
        <v>0</v>
      </c>
      <c r="KR61" s="97">
        <v>2</v>
      </c>
      <c r="KS61" s="97">
        <v>1</v>
      </c>
      <c r="KT61" s="95" t="s">
        <v>520</v>
      </c>
      <c r="KU61" s="97">
        <v>0</v>
      </c>
      <c r="KV61" s="97">
        <v>2</v>
      </c>
      <c r="KW61" s="97">
        <v>0</v>
      </c>
      <c r="KX61" s="108">
        <v>45819</v>
      </c>
      <c r="KY61" s="97">
        <v>0</v>
      </c>
      <c r="KZ61" s="97">
        <v>2</v>
      </c>
      <c r="LA61" s="97">
        <v>0</v>
      </c>
      <c r="LB61" s="95" t="s">
        <v>521</v>
      </c>
      <c r="LC61" s="97">
        <v>0</v>
      </c>
      <c r="LD61" s="97">
        <v>2</v>
      </c>
      <c r="LE61" s="97">
        <v>1</v>
      </c>
      <c r="LF61" s="95" t="s">
        <v>522</v>
      </c>
      <c r="LG61" s="97">
        <v>0</v>
      </c>
      <c r="LH61" s="97">
        <v>2</v>
      </c>
      <c r="LI61" s="97">
        <v>1</v>
      </c>
      <c r="LJ61" s="95" t="s">
        <v>523</v>
      </c>
      <c r="LK61" s="97">
        <v>0</v>
      </c>
      <c r="LL61" s="97">
        <v>2</v>
      </c>
      <c r="LM61" s="97">
        <v>3</v>
      </c>
      <c r="LN61" s="96">
        <f t="shared" si="25"/>
        <v>21</v>
      </c>
      <c r="LO61" s="97">
        <f t="shared" si="26"/>
        <v>6</v>
      </c>
      <c r="LP61" s="97">
        <f t="shared" si="27"/>
        <v>43</v>
      </c>
    </row>
    <row r="62" spans="1:328" s="98" customFormat="1" ht="13.2">
      <c r="A62" s="55" t="s">
        <v>592</v>
      </c>
      <c r="B62" s="40"/>
      <c r="C62" s="40"/>
      <c r="D62" s="49"/>
      <c r="E62" s="49"/>
      <c r="F62" s="40"/>
      <c r="G62" s="40"/>
      <c r="H62" s="40"/>
      <c r="I62" s="40"/>
      <c r="J62" s="40"/>
      <c r="K62" s="40"/>
      <c r="L62" s="40"/>
      <c r="M62" s="40"/>
      <c r="N62" s="64" t="s">
        <v>1041</v>
      </c>
      <c r="O62" s="101" t="s">
        <v>1036</v>
      </c>
      <c r="P62" s="111" t="s">
        <v>817</v>
      </c>
      <c r="Q62" s="95">
        <v>1</v>
      </c>
      <c r="R62" s="112">
        <v>22830</v>
      </c>
      <c r="S62" s="111">
        <v>63</v>
      </c>
      <c r="T62" s="111" t="s">
        <v>259</v>
      </c>
      <c r="U62" s="111" t="s">
        <v>287</v>
      </c>
      <c r="V62" s="111">
        <v>987101294</v>
      </c>
      <c r="W62" s="111" t="s">
        <v>595</v>
      </c>
      <c r="X62" s="111" t="s">
        <v>596</v>
      </c>
      <c r="Y62" s="111" t="s">
        <v>311</v>
      </c>
      <c r="Z62" s="111" t="s">
        <v>262</v>
      </c>
      <c r="AA62" s="111" t="s">
        <v>289</v>
      </c>
      <c r="AB62" s="111" t="s">
        <v>264</v>
      </c>
      <c r="AC62" s="111" t="s">
        <v>597</v>
      </c>
      <c r="AD62" s="111" t="s">
        <v>597</v>
      </c>
      <c r="AE62" s="111" t="s">
        <v>602</v>
      </c>
      <c r="AF62" s="111" t="s">
        <v>599</v>
      </c>
      <c r="AG62" s="111" t="s">
        <v>612</v>
      </c>
      <c r="AH62" s="111" t="s">
        <v>599</v>
      </c>
      <c r="AI62" s="111" t="s">
        <v>599</v>
      </c>
      <c r="AJ62" s="112" t="s">
        <v>818</v>
      </c>
      <c r="AK62" s="97"/>
      <c r="AL62" s="115">
        <v>1</v>
      </c>
      <c r="AM62" s="115">
        <v>1</v>
      </c>
      <c r="AN62" s="115">
        <v>1</v>
      </c>
      <c r="AO62" s="115">
        <v>1</v>
      </c>
      <c r="AP62" s="115">
        <v>1</v>
      </c>
      <c r="AQ62" s="115">
        <v>1</v>
      </c>
      <c r="AR62" s="115">
        <v>1</v>
      </c>
      <c r="AS62" s="115">
        <v>1</v>
      </c>
      <c r="AT62" s="70">
        <f t="shared" si="0"/>
        <v>8</v>
      </c>
      <c r="AU62" s="71">
        <v>1</v>
      </c>
      <c r="AV62" s="71">
        <v>1</v>
      </c>
      <c r="AW62" s="71">
        <v>1</v>
      </c>
      <c r="AX62" s="71">
        <v>1</v>
      </c>
      <c r="AY62" s="70">
        <f t="shared" si="1"/>
        <v>4</v>
      </c>
      <c r="AZ62" s="69">
        <v>1</v>
      </c>
      <c r="BA62" s="69">
        <v>1</v>
      </c>
      <c r="BB62" s="69">
        <v>1</v>
      </c>
      <c r="BC62" s="69">
        <v>1</v>
      </c>
      <c r="BD62" s="69">
        <v>1</v>
      </c>
      <c r="BE62" s="69">
        <v>1</v>
      </c>
      <c r="BF62" s="69">
        <v>1</v>
      </c>
      <c r="BG62" s="69">
        <v>1</v>
      </c>
      <c r="BH62" s="70">
        <f t="shared" si="2"/>
        <v>8</v>
      </c>
      <c r="BI62" s="69">
        <v>1</v>
      </c>
      <c r="BJ62" s="69">
        <v>1</v>
      </c>
      <c r="BK62" s="70">
        <f t="shared" si="3"/>
        <v>2</v>
      </c>
      <c r="BL62" s="72">
        <v>1</v>
      </c>
      <c r="BM62" s="72">
        <v>1</v>
      </c>
      <c r="BN62" s="72">
        <v>1</v>
      </c>
      <c r="BO62" s="72">
        <v>1</v>
      </c>
      <c r="BP62" s="72">
        <v>1</v>
      </c>
      <c r="BQ62" s="72">
        <v>1</v>
      </c>
      <c r="BR62" s="72">
        <v>1</v>
      </c>
      <c r="BS62" s="72">
        <v>1</v>
      </c>
      <c r="BT62" s="70">
        <f t="shared" si="4"/>
        <v>7</v>
      </c>
      <c r="BU62" s="70">
        <f t="shared" si="5"/>
        <v>29</v>
      </c>
      <c r="BV62" s="105">
        <v>5</v>
      </c>
      <c r="BW62" s="105">
        <v>5</v>
      </c>
      <c r="BX62" s="105">
        <v>5</v>
      </c>
      <c r="BY62" s="73">
        <v>1</v>
      </c>
      <c r="BZ62" s="105">
        <v>5</v>
      </c>
      <c r="CA62" s="73">
        <v>3</v>
      </c>
      <c r="CB62" s="105">
        <v>5</v>
      </c>
      <c r="CC62" s="73">
        <v>5</v>
      </c>
      <c r="CD62" s="73">
        <v>2</v>
      </c>
      <c r="CE62" s="73">
        <v>3</v>
      </c>
      <c r="CF62" s="73">
        <v>3</v>
      </c>
      <c r="CG62" s="73">
        <v>5</v>
      </c>
      <c r="CH62" s="74">
        <v>5</v>
      </c>
      <c r="CI62" s="105">
        <v>5</v>
      </c>
      <c r="CJ62" s="73">
        <v>3</v>
      </c>
      <c r="CK62" s="75">
        <f t="shared" si="184"/>
        <v>60</v>
      </c>
      <c r="CL62" s="76"/>
      <c r="CM62" s="76"/>
      <c r="CN62" s="76"/>
      <c r="CO62" s="76"/>
      <c r="CP62" s="76"/>
      <c r="CQ62" s="10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>
        <f t="shared" si="7"/>
        <v>0</v>
      </c>
      <c r="DO62" s="118">
        <v>28</v>
      </c>
      <c r="DP62" s="97">
        <v>0</v>
      </c>
      <c r="DQ62" s="97">
        <v>0</v>
      </c>
      <c r="DR62" s="97">
        <v>0</v>
      </c>
      <c r="DS62" s="97">
        <v>0</v>
      </c>
      <c r="DT62" s="97">
        <v>0</v>
      </c>
      <c r="DU62" s="97">
        <v>0</v>
      </c>
      <c r="DV62" s="97">
        <v>0</v>
      </c>
      <c r="DW62" s="97">
        <v>0</v>
      </c>
      <c r="DX62" s="97">
        <v>0</v>
      </c>
      <c r="DY62" s="97">
        <v>0</v>
      </c>
      <c r="DZ62" s="97">
        <v>0</v>
      </c>
      <c r="EA62" s="97">
        <v>0</v>
      </c>
      <c r="EB62" s="97">
        <v>0</v>
      </c>
      <c r="EC62" s="97">
        <v>0</v>
      </c>
      <c r="ED62" s="97">
        <v>0</v>
      </c>
      <c r="EE62" s="77">
        <f t="shared" si="124"/>
        <v>0</v>
      </c>
      <c r="EF62" s="77" t="s">
        <v>265</v>
      </c>
      <c r="EG62" s="78">
        <f t="shared" si="8"/>
        <v>0</v>
      </c>
      <c r="EH62" s="97">
        <v>0.5</v>
      </c>
      <c r="EI62" s="97">
        <v>0</v>
      </c>
      <c r="EJ62" s="97">
        <v>0</v>
      </c>
      <c r="EK62" s="97">
        <v>0</v>
      </c>
      <c r="EL62" s="97">
        <v>0</v>
      </c>
      <c r="EM62" s="97">
        <v>0</v>
      </c>
      <c r="EN62" s="97">
        <v>0</v>
      </c>
      <c r="EO62" s="97">
        <v>0</v>
      </c>
      <c r="EP62" s="97">
        <v>0</v>
      </c>
      <c r="EQ62" s="97">
        <v>0</v>
      </c>
      <c r="ER62" s="97">
        <v>0</v>
      </c>
      <c r="ES62" s="97">
        <v>0</v>
      </c>
      <c r="ET62" s="97">
        <v>0</v>
      </c>
      <c r="EU62" s="97">
        <v>0</v>
      </c>
      <c r="EV62" s="97">
        <v>0</v>
      </c>
      <c r="EW62" s="97">
        <v>0</v>
      </c>
      <c r="EX62" s="97">
        <v>0</v>
      </c>
      <c r="EY62" s="97">
        <v>0</v>
      </c>
      <c r="EZ62" s="97">
        <v>0</v>
      </c>
      <c r="FA62" s="97">
        <v>0</v>
      </c>
      <c r="FB62" s="97">
        <v>0</v>
      </c>
      <c r="FC62" s="97">
        <v>0</v>
      </c>
      <c r="FD62" s="79">
        <f t="shared" si="9"/>
        <v>0.5</v>
      </c>
      <c r="FE62" s="80">
        <v>1</v>
      </c>
      <c r="FF62" s="97">
        <v>1</v>
      </c>
      <c r="FG62" s="97">
        <v>1</v>
      </c>
      <c r="FH62" s="97">
        <v>1</v>
      </c>
      <c r="FI62" s="97">
        <v>1</v>
      </c>
      <c r="FJ62" s="97">
        <v>1</v>
      </c>
      <c r="FK62" s="97">
        <v>1</v>
      </c>
      <c r="FL62" s="97">
        <v>1</v>
      </c>
      <c r="FM62" s="97">
        <v>1</v>
      </c>
      <c r="FN62" s="81">
        <f t="shared" si="10"/>
        <v>8</v>
      </c>
      <c r="FO62" s="82">
        <v>1</v>
      </c>
      <c r="FP62" s="97">
        <v>10</v>
      </c>
      <c r="FQ62" s="97">
        <v>5</v>
      </c>
      <c r="FR62" s="97">
        <v>10</v>
      </c>
      <c r="FS62" s="97">
        <v>5</v>
      </c>
      <c r="FT62" s="97">
        <v>10</v>
      </c>
      <c r="FU62" s="97">
        <v>10</v>
      </c>
      <c r="FV62" s="97">
        <v>10</v>
      </c>
      <c r="FW62" s="97">
        <v>15</v>
      </c>
      <c r="FX62" s="97">
        <v>15</v>
      </c>
      <c r="FY62" s="97">
        <v>10</v>
      </c>
      <c r="FZ62" s="83">
        <f t="shared" si="11"/>
        <v>100</v>
      </c>
      <c r="GA62" s="84">
        <v>1</v>
      </c>
      <c r="GB62" s="55">
        <v>0</v>
      </c>
      <c r="GC62" s="85">
        <v>0</v>
      </c>
      <c r="GD62" s="85">
        <v>0</v>
      </c>
      <c r="GE62" s="85">
        <v>0</v>
      </c>
      <c r="GF62" s="85">
        <v>0</v>
      </c>
      <c r="GG62" s="85">
        <v>0</v>
      </c>
      <c r="GH62" s="85">
        <v>0</v>
      </c>
      <c r="GI62" s="97">
        <v>0</v>
      </c>
      <c r="GJ62" s="97">
        <v>0</v>
      </c>
      <c r="GK62" s="97">
        <v>0</v>
      </c>
      <c r="GL62" s="97">
        <v>0</v>
      </c>
      <c r="GM62" s="97">
        <v>0</v>
      </c>
      <c r="GN62" s="97">
        <v>0</v>
      </c>
      <c r="GO62" s="97">
        <v>0</v>
      </c>
      <c r="GP62" s="97">
        <v>0</v>
      </c>
      <c r="GQ62" s="97">
        <v>0</v>
      </c>
      <c r="GR62" s="97">
        <v>0</v>
      </c>
      <c r="GS62" s="97">
        <v>0</v>
      </c>
      <c r="GT62" s="97">
        <v>0</v>
      </c>
      <c r="GU62" s="86">
        <f t="shared" si="12"/>
        <v>0</v>
      </c>
      <c r="GV62" s="87" t="s">
        <v>301</v>
      </c>
      <c r="GW62" s="87">
        <v>0</v>
      </c>
      <c r="GX62" s="88" t="s">
        <v>267</v>
      </c>
      <c r="GY62" s="55">
        <v>4</v>
      </c>
      <c r="GZ62" s="55">
        <v>4</v>
      </c>
      <c r="HA62" s="55">
        <v>3</v>
      </c>
      <c r="HB62" s="55">
        <v>1</v>
      </c>
      <c r="HC62" s="55">
        <v>5</v>
      </c>
      <c r="HD62" s="55">
        <v>5</v>
      </c>
      <c r="HE62" s="55"/>
      <c r="HF62" s="55"/>
      <c r="HG62" s="55">
        <v>3</v>
      </c>
      <c r="HH62" s="55">
        <v>7</v>
      </c>
      <c r="HI62" s="55">
        <v>7</v>
      </c>
      <c r="HJ62" s="55"/>
      <c r="HK62" s="55">
        <v>3</v>
      </c>
      <c r="HL62" s="55">
        <v>7</v>
      </c>
      <c r="HM62" s="55">
        <v>7</v>
      </c>
      <c r="HN62" s="55">
        <v>1</v>
      </c>
      <c r="HO62" s="55">
        <v>3</v>
      </c>
      <c r="HP62" s="55">
        <v>1</v>
      </c>
      <c r="HQ62" s="55">
        <v>2</v>
      </c>
      <c r="HR62" s="55">
        <v>1</v>
      </c>
      <c r="HS62" s="55">
        <v>1</v>
      </c>
      <c r="HT62" s="55">
        <v>2</v>
      </c>
      <c r="HU62" s="55">
        <v>4</v>
      </c>
      <c r="HV62" s="55">
        <v>1</v>
      </c>
      <c r="HW62" s="55">
        <v>1</v>
      </c>
      <c r="HX62" s="55">
        <v>2</v>
      </c>
      <c r="HY62" s="55">
        <v>5</v>
      </c>
      <c r="HZ62" s="55">
        <v>4</v>
      </c>
      <c r="IA62" s="55">
        <v>4</v>
      </c>
      <c r="IB62" s="55">
        <v>7</v>
      </c>
      <c r="IC62" s="55"/>
      <c r="ID62" s="55">
        <f t="shared" ref="ID62:IG62" si="212">SUM(GY62)</f>
        <v>4</v>
      </c>
      <c r="IE62" s="55">
        <f t="shared" si="212"/>
        <v>4</v>
      </c>
      <c r="IF62" s="55">
        <f t="shared" si="212"/>
        <v>3</v>
      </c>
      <c r="IG62" s="55">
        <f t="shared" si="212"/>
        <v>1</v>
      </c>
      <c r="IH62" s="55">
        <f t="shared" si="14"/>
        <v>10</v>
      </c>
      <c r="II62" s="55">
        <f t="shared" si="15"/>
        <v>3</v>
      </c>
      <c r="IJ62" s="55">
        <f t="shared" si="16"/>
        <v>14</v>
      </c>
      <c r="IK62" s="55">
        <f t="shared" ref="IK62:IQ62" si="213">SUM(HK62)</f>
        <v>3</v>
      </c>
      <c r="IL62" s="55">
        <f t="shared" si="213"/>
        <v>7</v>
      </c>
      <c r="IM62" s="55">
        <f t="shared" si="213"/>
        <v>7</v>
      </c>
      <c r="IN62" s="55">
        <f t="shared" si="213"/>
        <v>1</v>
      </c>
      <c r="IO62" s="55">
        <f t="shared" si="213"/>
        <v>3</v>
      </c>
      <c r="IP62" s="55">
        <f t="shared" si="213"/>
        <v>1</v>
      </c>
      <c r="IQ62" s="55">
        <f t="shared" si="213"/>
        <v>2</v>
      </c>
      <c r="IR62" s="55">
        <f t="shared" si="18"/>
        <v>2</v>
      </c>
      <c r="IS62" s="55">
        <f t="shared" ref="IS62:JB62" si="214">SUM(HT62)</f>
        <v>2</v>
      </c>
      <c r="IT62" s="55">
        <f t="shared" si="214"/>
        <v>4</v>
      </c>
      <c r="IU62" s="55">
        <f t="shared" si="214"/>
        <v>1</v>
      </c>
      <c r="IV62" s="55">
        <f t="shared" si="214"/>
        <v>1</v>
      </c>
      <c r="IW62" s="55">
        <f t="shared" si="214"/>
        <v>2</v>
      </c>
      <c r="IX62" s="55">
        <f t="shared" si="214"/>
        <v>5</v>
      </c>
      <c r="IY62" s="55">
        <f t="shared" si="214"/>
        <v>4</v>
      </c>
      <c r="IZ62" s="55">
        <f t="shared" si="214"/>
        <v>4</v>
      </c>
      <c r="JA62" s="55">
        <f t="shared" si="214"/>
        <v>7</v>
      </c>
      <c r="JB62" s="55">
        <f t="shared" si="214"/>
        <v>0</v>
      </c>
      <c r="JC62" s="89">
        <f t="shared" si="20"/>
        <v>94</v>
      </c>
      <c r="JD62" s="90">
        <v>1</v>
      </c>
      <c r="JE62" s="90">
        <v>1</v>
      </c>
      <c r="JF62" s="91">
        <v>58</v>
      </c>
      <c r="JG62" s="91">
        <v>2</v>
      </c>
      <c r="JH62" s="97">
        <v>2</v>
      </c>
      <c r="JI62" s="97">
        <v>2</v>
      </c>
      <c r="JJ62" s="97">
        <v>1</v>
      </c>
      <c r="JK62" s="97">
        <v>2</v>
      </c>
      <c r="JL62" s="97">
        <v>2</v>
      </c>
      <c r="JM62" s="97">
        <v>0</v>
      </c>
      <c r="JN62" s="97">
        <v>0</v>
      </c>
      <c r="JO62" s="97">
        <v>0</v>
      </c>
      <c r="JP62" s="89">
        <f t="shared" si="170"/>
        <v>9</v>
      </c>
      <c r="JQ62" s="97">
        <v>2</v>
      </c>
      <c r="JR62" s="97">
        <v>1</v>
      </c>
      <c r="JS62" s="97">
        <v>1</v>
      </c>
      <c r="JT62" s="97">
        <v>0</v>
      </c>
      <c r="JU62" s="97">
        <v>0</v>
      </c>
      <c r="JV62" s="97">
        <v>0</v>
      </c>
      <c r="JW62" s="97">
        <v>0</v>
      </c>
      <c r="JX62" s="92">
        <f t="shared" si="22"/>
        <v>4</v>
      </c>
      <c r="JY62" s="93">
        <f t="shared" si="23"/>
        <v>13</v>
      </c>
      <c r="JZ62" s="97">
        <v>3</v>
      </c>
      <c r="KA62" s="97">
        <v>2</v>
      </c>
      <c r="KB62" s="97">
        <v>2</v>
      </c>
      <c r="KC62" s="97">
        <v>2</v>
      </c>
      <c r="KD62" s="97">
        <v>0</v>
      </c>
      <c r="KE62" s="97">
        <v>0</v>
      </c>
      <c r="KF62" s="97">
        <v>0</v>
      </c>
      <c r="KG62" s="94">
        <f t="shared" si="24"/>
        <v>9</v>
      </c>
      <c r="KH62" s="95" t="s">
        <v>319</v>
      </c>
      <c r="KI62" s="97">
        <v>0</v>
      </c>
      <c r="KJ62" s="97">
        <v>2</v>
      </c>
      <c r="KK62" s="97">
        <v>0</v>
      </c>
      <c r="KL62" s="95" t="s">
        <v>319</v>
      </c>
      <c r="KM62" s="97">
        <v>0</v>
      </c>
      <c r="KN62" s="97">
        <v>2</v>
      </c>
      <c r="KO62" s="97">
        <v>0</v>
      </c>
      <c r="KP62" s="95" t="s">
        <v>332</v>
      </c>
      <c r="KQ62" s="97">
        <v>0</v>
      </c>
      <c r="KR62" s="97">
        <v>2</v>
      </c>
      <c r="KS62" s="97">
        <v>1</v>
      </c>
      <c r="KT62" s="95" t="s">
        <v>320</v>
      </c>
      <c r="KU62" s="97">
        <v>0</v>
      </c>
      <c r="KV62" s="97">
        <v>2</v>
      </c>
      <c r="KW62" s="97">
        <v>1</v>
      </c>
      <c r="KX62" s="95" t="s">
        <v>319</v>
      </c>
      <c r="KY62" s="97">
        <v>0</v>
      </c>
      <c r="KZ62" s="97">
        <v>2</v>
      </c>
      <c r="LA62" s="97">
        <v>2</v>
      </c>
      <c r="LB62" s="95" t="s">
        <v>315</v>
      </c>
      <c r="LC62" s="97">
        <v>0</v>
      </c>
      <c r="LD62" s="97">
        <v>2</v>
      </c>
      <c r="LE62" s="97">
        <v>1</v>
      </c>
      <c r="LF62" s="95" t="s">
        <v>321</v>
      </c>
      <c r="LG62" s="97">
        <v>1</v>
      </c>
      <c r="LH62" s="97">
        <v>1</v>
      </c>
      <c r="LI62" s="97">
        <v>2</v>
      </c>
      <c r="LJ62" s="95" t="s">
        <v>330</v>
      </c>
      <c r="LK62" s="97">
        <v>0</v>
      </c>
      <c r="LL62" s="97">
        <v>2</v>
      </c>
      <c r="LM62" s="97">
        <v>3</v>
      </c>
      <c r="LN62" s="96">
        <f t="shared" si="25"/>
        <v>25</v>
      </c>
      <c r="LO62" s="97">
        <f t="shared" si="26"/>
        <v>10</v>
      </c>
      <c r="LP62" s="97">
        <f t="shared" si="27"/>
        <v>47</v>
      </c>
    </row>
    <row r="63" spans="1:328" s="98" customFormat="1" ht="13.8">
      <c r="A63" s="55" t="s">
        <v>613</v>
      </c>
      <c r="B63" s="40"/>
      <c r="C63" s="40">
        <v>68</v>
      </c>
      <c r="D63" s="62" t="s">
        <v>763</v>
      </c>
      <c r="E63" s="62"/>
      <c r="F63" s="61">
        <v>1</v>
      </c>
      <c r="G63" s="61">
        <v>1</v>
      </c>
      <c r="H63" s="61">
        <v>1</v>
      </c>
      <c r="I63" s="164">
        <v>8</v>
      </c>
      <c r="J63" s="164">
        <v>4</v>
      </c>
      <c r="K63" s="63">
        <v>0.14305555555555555</v>
      </c>
      <c r="L63" s="63">
        <v>0.12916666666666668</v>
      </c>
      <c r="M63" s="63">
        <v>5.4166666666666669E-2</v>
      </c>
      <c r="N63" s="64" t="s">
        <v>1040</v>
      </c>
      <c r="O63" s="101" t="s">
        <v>1037</v>
      </c>
      <c r="P63" s="95" t="s">
        <v>741</v>
      </c>
      <c r="Q63" s="95">
        <v>1</v>
      </c>
      <c r="R63" s="125">
        <v>20349</v>
      </c>
      <c r="S63" s="95">
        <v>69</v>
      </c>
      <c r="T63" s="95" t="s">
        <v>369</v>
      </c>
      <c r="U63" s="95" t="s">
        <v>287</v>
      </c>
      <c r="V63" s="149" t="s">
        <v>742</v>
      </c>
      <c r="W63" s="95" t="s">
        <v>624</v>
      </c>
      <c r="X63" s="95" t="s">
        <v>596</v>
      </c>
      <c r="Y63" s="95" t="s">
        <v>261</v>
      </c>
      <c r="Z63" s="95" t="s">
        <v>262</v>
      </c>
      <c r="AA63" s="95" t="s">
        <v>289</v>
      </c>
      <c r="AB63" s="95" t="s">
        <v>264</v>
      </c>
      <c r="AC63" s="95" t="s">
        <v>597</v>
      </c>
      <c r="AD63" s="95" t="s">
        <v>597</v>
      </c>
      <c r="AE63" s="95" t="s">
        <v>602</v>
      </c>
      <c r="AF63" s="95" t="s">
        <v>599</v>
      </c>
      <c r="AG63" s="95" t="s">
        <v>612</v>
      </c>
      <c r="AH63" s="95" t="s">
        <v>597</v>
      </c>
      <c r="AI63" s="95" t="s">
        <v>599</v>
      </c>
      <c r="AJ63" s="125">
        <v>45147</v>
      </c>
      <c r="AK63" s="97"/>
      <c r="AL63" s="115">
        <v>1</v>
      </c>
      <c r="AM63" s="115">
        <v>1</v>
      </c>
      <c r="AN63" s="115">
        <v>1</v>
      </c>
      <c r="AO63" s="115">
        <v>1</v>
      </c>
      <c r="AP63" s="115">
        <v>1</v>
      </c>
      <c r="AQ63" s="115">
        <v>1</v>
      </c>
      <c r="AR63" s="115">
        <v>1</v>
      </c>
      <c r="AS63" s="115">
        <v>1</v>
      </c>
      <c r="AT63" s="70">
        <f t="shared" si="0"/>
        <v>8</v>
      </c>
      <c r="AU63" s="71">
        <v>1</v>
      </c>
      <c r="AV63" s="71">
        <v>1</v>
      </c>
      <c r="AW63" s="71">
        <v>1</v>
      </c>
      <c r="AX63" s="71">
        <v>1</v>
      </c>
      <c r="AY63" s="70">
        <f t="shared" si="1"/>
        <v>4</v>
      </c>
      <c r="AZ63" s="69">
        <v>1</v>
      </c>
      <c r="BA63" s="69">
        <v>1</v>
      </c>
      <c r="BB63" s="69">
        <v>1</v>
      </c>
      <c r="BC63" s="69">
        <v>1</v>
      </c>
      <c r="BD63" s="69">
        <v>1</v>
      </c>
      <c r="BE63" s="69">
        <v>1</v>
      </c>
      <c r="BF63" s="69">
        <v>1</v>
      </c>
      <c r="BG63" s="69">
        <v>1</v>
      </c>
      <c r="BH63" s="70">
        <f t="shared" si="2"/>
        <v>8</v>
      </c>
      <c r="BI63" s="69">
        <v>1</v>
      </c>
      <c r="BJ63" s="69">
        <v>1</v>
      </c>
      <c r="BK63" s="70">
        <f t="shared" si="3"/>
        <v>2</v>
      </c>
      <c r="BL63" s="72">
        <v>1</v>
      </c>
      <c r="BM63" s="72">
        <v>0</v>
      </c>
      <c r="BN63" s="72">
        <v>0</v>
      </c>
      <c r="BO63" s="72">
        <v>0</v>
      </c>
      <c r="BP63" s="72">
        <v>1</v>
      </c>
      <c r="BQ63" s="72">
        <v>0</v>
      </c>
      <c r="BR63" s="72">
        <v>0</v>
      </c>
      <c r="BS63" s="72">
        <v>0</v>
      </c>
      <c r="BT63" s="70">
        <f t="shared" si="4"/>
        <v>1</v>
      </c>
      <c r="BU63" s="70">
        <f t="shared" si="5"/>
        <v>23</v>
      </c>
      <c r="BV63" s="73">
        <v>5</v>
      </c>
      <c r="BW63" s="73">
        <v>5</v>
      </c>
      <c r="BX63" s="73">
        <v>5</v>
      </c>
      <c r="BY63" s="73">
        <v>1</v>
      </c>
      <c r="BZ63" s="105">
        <v>5</v>
      </c>
      <c r="CA63" s="73">
        <v>3</v>
      </c>
      <c r="CB63" s="105">
        <v>5</v>
      </c>
      <c r="CC63" s="73">
        <v>5</v>
      </c>
      <c r="CD63" s="73">
        <v>2</v>
      </c>
      <c r="CE63" s="73">
        <v>3</v>
      </c>
      <c r="CF63" s="73">
        <v>3</v>
      </c>
      <c r="CG63" s="73">
        <v>5</v>
      </c>
      <c r="CH63" s="74">
        <v>5</v>
      </c>
      <c r="CI63" s="73">
        <v>5</v>
      </c>
      <c r="CJ63" s="73">
        <v>3</v>
      </c>
      <c r="CK63" s="75">
        <f t="shared" si="184"/>
        <v>60</v>
      </c>
      <c r="CL63" s="76">
        <v>5</v>
      </c>
      <c r="CM63" s="76">
        <v>1</v>
      </c>
      <c r="CN63" s="76">
        <v>5</v>
      </c>
      <c r="CO63" s="76">
        <v>5</v>
      </c>
      <c r="CP63" s="76">
        <v>5</v>
      </c>
      <c r="CQ63" s="106">
        <v>5</v>
      </c>
      <c r="CR63" s="76">
        <v>1</v>
      </c>
      <c r="CS63" s="76">
        <v>5</v>
      </c>
      <c r="CT63" s="76">
        <v>5</v>
      </c>
      <c r="CU63" s="76">
        <v>5</v>
      </c>
      <c r="CV63" s="76">
        <v>5</v>
      </c>
      <c r="CW63" s="76">
        <v>1</v>
      </c>
      <c r="CX63" s="76">
        <v>1</v>
      </c>
      <c r="CY63" s="76">
        <v>4</v>
      </c>
      <c r="CZ63" s="76">
        <v>5</v>
      </c>
      <c r="DA63" s="76">
        <v>5</v>
      </c>
      <c r="DB63" s="76">
        <v>5</v>
      </c>
      <c r="DC63" s="76">
        <v>4</v>
      </c>
      <c r="DD63" s="76">
        <v>5</v>
      </c>
      <c r="DE63" s="76">
        <v>5</v>
      </c>
      <c r="DF63" s="76">
        <v>5</v>
      </c>
      <c r="DG63" s="76">
        <v>5</v>
      </c>
      <c r="DH63" s="76">
        <v>5</v>
      </c>
      <c r="DI63" s="76">
        <v>5</v>
      </c>
      <c r="DJ63" s="76">
        <v>1</v>
      </c>
      <c r="DK63" s="76">
        <v>5</v>
      </c>
      <c r="DL63" s="76">
        <v>3</v>
      </c>
      <c r="DM63" s="76">
        <v>1</v>
      </c>
      <c r="DN63" s="76">
        <f t="shared" si="7"/>
        <v>112</v>
      </c>
      <c r="DO63" s="118">
        <v>28</v>
      </c>
      <c r="DP63" s="55">
        <v>0</v>
      </c>
      <c r="DQ63" s="55">
        <v>0</v>
      </c>
      <c r="DR63" s="55">
        <v>0</v>
      </c>
      <c r="DS63" s="55">
        <v>0</v>
      </c>
      <c r="DT63" s="55">
        <v>0</v>
      </c>
      <c r="DU63" s="55">
        <v>0</v>
      </c>
      <c r="DV63" s="55">
        <v>0</v>
      </c>
      <c r="DW63" s="55">
        <v>0</v>
      </c>
      <c r="DX63" s="55">
        <v>0</v>
      </c>
      <c r="DY63" s="55">
        <v>1</v>
      </c>
      <c r="DZ63" s="55">
        <v>0</v>
      </c>
      <c r="EA63" s="55">
        <v>0</v>
      </c>
      <c r="EB63" s="55">
        <v>0</v>
      </c>
      <c r="EC63" s="55">
        <v>0</v>
      </c>
      <c r="ED63" s="55">
        <v>0</v>
      </c>
      <c r="EE63" s="77">
        <f t="shared" si="124"/>
        <v>1</v>
      </c>
      <c r="EF63" s="77" t="s">
        <v>265</v>
      </c>
      <c r="EG63" s="78">
        <f t="shared" si="8"/>
        <v>1</v>
      </c>
      <c r="EH63" s="97">
        <v>0</v>
      </c>
      <c r="EI63" s="97">
        <v>0</v>
      </c>
      <c r="EJ63" s="97">
        <v>0</v>
      </c>
      <c r="EK63" s="97">
        <v>0</v>
      </c>
      <c r="EL63" s="97">
        <v>0</v>
      </c>
      <c r="EM63" s="97">
        <v>0</v>
      </c>
      <c r="EN63" s="97">
        <v>0</v>
      </c>
      <c r="EO63" s="97">
        <v>0</v>
      </c>
      <c r="EP63" s="97">
        <v>0</v>
      </c>
      <c r="EQ63" s="97">
        <v>0</v>
      </c>
      <c r="ER63" s="97">
        <v>0</v>
      </c>
      <c r="ES63" s="97">
        <v>0</v>
      </c>
      <c r="ET63" s="97">
        <v>0</v>
      </c>
      <c r="EU63" s="97">
        <v>0</v>
      </c>
      <c r="EV63" s="97">
        <v>0</v>
      </c>
      <c r="EW63" s="97">
        <v>0</v>
      </c>
      <c r="EX63" s="97">
        <v>0</v>
      </c>
      <c r="EY63" s="97">
        <v>0</v>
      </c>
      <c r="EZ63" s="97">
        <v>0</v>
      </c>
      <c r="FA63" s="97">
        <v>0</v>
      </c>
      <c r="FB63" s="97">
        <v>0</v>
      </c>
      <c r="FC63" s="97">
        <v>0</v>
      </c>
      <c r="FD63" s="79">
        <f t="shared" si="9"/>
        <v>0</v>
      </c>
      <c r="FE63" s="80">
        <v>1</v>
      </c>
      <c r="FF63" s="97">
        <v>1</v>
      </c>
      <c r="FG63" s="97">
        <v>1</v>
      </c>
      <c r="FH63" s="97">
        <v>1</v>
      </c>
      <c r="FI63" s="97">
        <v>1</v>
      </c>
      <c r="FJ63" s="97">
        <v>1</v>
      </c>
      <c r="FK63" s="97">
        <v>1</v>
      </c>
      <c r="FL63" s="97">
        <v>1</v>
      </c>
      <c r="FM63" s="97">
        <v>1</v>
      </c>
      <c r="FN63" s="81">
        <f t="shared" si="10"/>
        <v>8</v>
      </c>
      <c r="FO63" s="82">
        <v>1</v>
      </c>
      <c r="FP63" s="97">
        <v>10</v>
      </c>
      <c r="FQ63" s="97">
        <v>5</v>
      </c>
      <c r="FR63" s="97">
        <v>10</v>
      </c>
      <c r="FS63" s="97">
        <v>5</v>
      </c>
      <c r="FT63" s="97">
        <v>10</v>
      </c>
      <c r="FU63" s="97">
        <v>10</v>
      </c>
      <c r="FV63" s="97">
        <v>10</v>
      </c>
      <c r="FW63" s="97">
        <v>15</v>
      </c>
      <c r="FX63" s="97">
        <v>15</v>
      </c>
      <c r="FY63" s="97">
        <v>10</v>
      </c>
      <c r="FZ63" s="83">
        <f t="shared" si="11"/>
        <v>100</v>
      </c>
      <c r="GA63" s="84">
        <v>1</v>
      </c>
      <c r="GB63" s="55">
        <v>1</v>
      </c>
      <c r="GC63" s="85">
        <v>0</v>
      </c>
      <c r="GD63" s="85">
        <v>1</v>
      </c>
      <c r="GE63" s="85">
        <v>1</v>
      </c>
      <c r="GF63" s="85">
        <v>0</v>
      </c>
      <c r="GG63" s="85">
        <v>0</v>
      </c>
      <c r="GH63" s="85">
        <v>0</v>
      </c>
      <c r="GI63" s="97">
        <v>0</v>
      </c>
      <c r="GJ63" s="97">
        <v>0</v>
      </c>
      <c r="GK63" s="97">
        <v>0</v>
      </c>
      <c r="GL63" s="97">
        <v>1</v>
      </c>
      <c r="GM63" s="97">
        <v>1</v>
      </c>
      <c r="GN63" s="97">
        <v>1</v>
      </c>
      <c r="GO63" s="97">
        <v>0</v>
      </c>
      <c r="GP63" s="97">
        <v>0</v>
      </c>
      <c r="GQ63" s="97">
        <v>0</v>
      </c>
      <c r="GR63" s="97">
        <v>0</v>
      </c>
      <c r="GS63" s="97">
        <v>0</v>
      </c>
      <c r="GT63" s="97">
        <v>0</v>
      </c>
      <c r="GU63" s="86">
        <f t="shared" si="12"/>
        <v>3</v>
      </c>
      <c r="GV63" s="87" t="s">
        <v>301</v>
      </c>
      <c r="GW63" s="87">
        <v>0</v>
      </c>
      <c r="GX63" s="88" t="s">
        <v>267</v>
      </c>
      <c r="GY63" s="97">
        <v>3</v>
      </c>
      <c r="GZ63" s="97">
        <v>4</v>
      </c>
      <c r="HA63" s="97">
        <v>3</v>
      </c>
      <c r="HB63" s="97">
        <v>1</v>
      </c>
      <c r="HC63" s="97">
        <v>1</v>
      </c>
      <c r="HD63" s="97">
        <v>1</v>
      </c>
      <c r="HE63" s="97"/>
      <c r="HF63" s="97"/>
      <c r="HG63" s="97">
        <v>2</v>
      </c>
      <c r="HH63" s="97">
        <v>7</v>
      </c>
      <c r="HI63" s="97">
        <v>7</v>
      </c>
      <c r="HJ63" s="97"/>
      <c r="HK63" s="97">
        <v>2</v>
      </c>
      <c r="HL63" s="97">
        <v>7</v>
      </c>
      <c r="HM63" s="97">
        <v>3</v>
      </c>
      <c r="HN63" s="97">
        <v>1</v>
      </c>
      <c r="HO63" s="97">
        <v>3</v>
      </c>
      <c r="HP63" s="97">
        <v>1</v>
      </c>
      <c r="HQ63" s="97">
        <v>1</v>
      </c>
      <c r="HR63" s="97">
        <v>1</v>
      </c>
      <c r="HS63" s="97">
        <v>1</v>
      </c>
      <c r="HT63" s="97">
        <v>2</v>
      </c>
      <c r="HU63" s="97">
        <v>4</v>
      </c>
      <c r="HV63" s="97">
        <v>1</v>
      </c>
      <c r="HW63" s="97">
        <v>1</v>
      </c>
      <c r="HX63" s="97">
        <v>0</v>
      </c>
      <c r="HY63" s="97">
        <v>3</v>
      </c>
      <c r="HZ63" s="97">
        <v>4</v>
      </c>
      <c r="IA63" s="97">
        <v>4</v>
      </c>
      <c r="IB63" s="97">
        <v>7</v>
      </c>
      <c r="IC63" s="97"/>
      <c r="ID63" s="55">
        <f t="shared" ref="ID63:IG63" si="215">SUM(GY63)</f>
        <v>3</v>
      </c>
      <c r="IE63" s="55">
        <f t="shared" si="215"/>
        <v>4</v>
      </c>
      <c r="IF63" s="55">
        <f t="shared" si="215"/>
        <v>3</v>
      </c>
      <c r="IG63" s="55">
        <f t="shared" si="215"/>
        <v>1</v>
      </c>
      <c r="IH63" s="55">
        <f t="shared" si="14"/>
        <v>2</v>
      </c>
      <c r="II63" s="55">
        <f t="shared" si="15"/>
        <v>2</v>
      </c>
      <c r="IJ63" s="55">
        <f t="shared" si="16"/>
        <v>14</v>
      </c>
      <c r="IK63" s="55">
        <f t="shared" ref="IK63:IQ63" si="216">SUM(HK63)</f>
        <v>2</v>
      </c>
      <c r="IL63" s="55">
        <f t="shared" si="216"/>
        <v>7</v>
      </c>
      <c r="IM63" s="55">
        <f t="shared" si="216"/>
        <v>3</v>
      </c>
      <c r="IN63" s="55">
        <f t="shared" si="216"/>
        <v>1</v>
      </c>
      <c r="IO63" s="55">
        <f t="shared" si="216"/>
        <v>3</v>
      </c>
      <c r="IP63" s="55">
        <f t="shared" si="216"/>
        <v>1</v>
      </c>
      <c r="IQ63" s="55">
        <f t="shared" si="216"/>
        <v>1</v>
      </c>
      <c r="IR63" s="55">
        <f t="shared" si="18"/>
        <v>2</v>
      </c>
      <c r="IS63" s="55">
        <f t="shared" ref="IS63:JB63" si="217">SUM(HT63)</f>
        <v>2</v>
      </c>
      <c r="IT63" s="55">
        <f t="shared" si="217"/>
        <v>4</v>
      </c>
      <c r="IU63" s="55">
        <f t="shared" si="217"/>
        <v>1</v>
      </c>
      <c r="IV63" s="55">
        <f t="shared" si="217"/>
        <v>1</v>
      </c>
      <c r="IW63" s="55">
        <f t="shared" si="217"/>
        <v>0</v>
      </c>
      <c r="IX63" s="55">
        <f t="shared" si="217"/>
        <v>3</v>
      </c>
      <c r="IY63" s="55">
        <f t="shared" si="217"/>
        <v>4</v>
      </c>
      <c r="IZ63" s="55">
        <f t="shared" si="217"/>
        <v>4</v>
      </c>
      <c r="JA63" s="55">
        <f t="shared" si="217"/>
        <v>7</v>
      </c>
      <c r="JB63" s="55">
        <f t="shared" si="217"/>
        <v>0</v>
      </c>
      <c r="JC63" s="89">
        <f t="shared" si="20"/>
        <v>74</v>
      </c>
      <c r="JD63" s="90">
        <v>1</v>
      </c>
      <c r="JE63" s="90"/>
      <c r="JF63" s="91">
        <v>8</v>
      </c>
      <c r="JG63" s="91">
        <v>2</v>
      </c>
      <c r="JH63" s="97">
        <v>2</v>
      </c>
      <c r="JI63" s="97">
        <v>2</v>
      </c>
      <c r="JJ63" s="97">
        <v>2</v>
      </c>
      <c r="JK63" s="97">
        <v>2</v>
      </c>
      <c r="JL63" s="97">
        <v>0</v>
      </c>
      <c r="JM63" s="97">
        <v>0</v>
      </c>
      <c r="JN63" s="97">
        <v>0</v>
      </c>
      <c r="JO63" s="97">
        <v>0</v>
      </c>
      <c r="JP63" s="89">
        <f t="shared" si="170"/>
        <v>8</v>
      </c>
      <c r="JQ63" s="97">
        <v>2</v>
      </c>
      <c r="JR63" s="97">
        <v>2</v>
      </c>
      <c r="JS63" s="97">
        <v>2</v>
      </c>
      <c r="JT63" s="97">
        <v>2</v>
      </c>
      <c r="JU63" s="97">
        <v>1</v>
      </c>
      <c r="JV63" s="97">
        <v>0</v>
      </c>
      <c r="JW63" s="97">
        <v>0</v>
      </c>
      <c r="JX63" s="92">
        <f t="shared" si="22"/>
        <v>9</v>
      </c>
      <c r="JY63" s="93">
        <f t="shared" si="23"/>
        <v>17</v>
      </c>
      <c r="JZ63" s="97">
        <v>3</v>
      </c>
      <c r="KA63" s="97">
        <v>3</v>
      </c>
      <c r="KB63" s="97">
        <v>2</v>
      </c>
      <c r="KC63" s="97">
        <v>1</v>
      </c>
      <c r="KD63" s="97">
        <v>1</v>
      </c>
      <c r="KE63" s="97">
        <v>1</v>
      </c>
      <c r="KF63" s="55">
        <v>0</v>
      </c>
      <c r="KG63" s="94">
        <f t="shared" si="24"/>
        <v>11</v>
      </c>
      <c r="KH63" s="95" t="s">
        <v>524</v>
      </c>
      <c r="KI63" s="97">
        <v>0</v>
      </c>
      <c r="KJ63" s="97">
        <v>2</v>
      </c>
      <c r="KK63" s="97">
        <v>2</v>
      </c>
      <c r="KL63" s="95" t="s">
        <v>525</v>
      </c>
      <c r="KM63" s="97">
        <v>0</v>
      </c>
      <c r="KN63" s="97">
        <v>2</v>
      </c>
      <c r="KO63" s="97">
        <v>0</v>
      </c>
      <c r="KP63" s="95" t="s">
        <v>526</v>
      </c>
      <c r="KQ63" s="97">
        <v>0</v>
      </c>
      <c r="KR63" s="97">
        <v>2</v>
      </c>
      <c r="KS63" s="97">
        <v>1</v>
      </c>
      <c r="KT63" s="95" t="s">
        <v>494</v>
      </c>
      <c r="KU63" s="97">
        <v>0</v>
      </c>
      <c r="KV63" s="97">
        <v>2</v>
      </c>
      <c r="KW63" s="97">
        <v>0</v>
      </c>
      <c r="KX63" s="95" t="s">
        <v>527</v>
      </c>
      <c r="KY63" s="97">
        <v>0</v>
      </c>
      <c r="KZ63" s="97">
        <v>2</v>
      </c>
      <c r="LA63" s="97">
        <v>0</v>
      </c>
      <c r="LB63" s="95" t="s">
        <v>478</v>
      </c>
      <c r="LC63" s="97">
        <v>0</v>
      </c>
      <c r="LD63" s="97">
        <v>2</v>
      </c>
      <c r="LE63" s="97">
        <v>1</v>
      </c>
      <c r="LF63" s="95" t="s">
        <v>528</v>
      </c>
      <c r="LG63" s="97">
        <v>2</v>
      </c>
      <c r="LH63" s="97">
        <v>0</v>
      </c>
      <c r="LI63" s="97">
        <v>1</v>
      </c>
      <c r="LJ63" s="95" t="s">
        <v>529</v>
      </c>
      <c r="LK63" s="97">
        <v>1</v>
      </c>
      <c r="LL63" s="97">
        <v>1</v>
      </c>
      <c r="LM63" s="97">
        <v>2</v>
      </c>
      <c r="LN63" s="96">
        <f t="shared" si="25"/>
        <v>20</v>
      </c>
      <c r="LO63" s="97">
        <f t="shared" si="26"/>
        <v>7</v>
      </c>
      <c r="LP63" s="97">
        <f t="shared" si="27"/>
        <v>48</v>
      </c>
    </row>
    <row r="64" spans="1:328" s="98" customFormat="1" ht="13.8">
      <c r="A64" s="55" t="s">
        <v>604</v>
      </c>
      <c r="B64" s="110">
        <v>45966</v>
      </c>
      <c r="C64" s="61">
        <v>30</v>
      </c>
      <c r="D64" s="62" t="s">
        <v>763</v>
      </c>
      <c r="E64" s="62"/>
      <c r="F64" s="61">
        <v>1</v>
      </c>
      <c r="G64" s="61">
        <v>1</v>
      </c>
      <c r="H64" s="61">
        <v>1</v>
      </c>
      <c r="I64" s="164">
        <v>6</v>
      </c>
      <c r="J64" s="164">
        <v>6</v>
      </c>
      <c r="K64" s="63">
        <v>0.15069444444444444</v>
      </c>
      <c r="L64" s="63">
        <v>8.6805555555555552E-2</v>
      </c>
      <c r="M64" s="63">
        <v>8.3333333333333329E-2</v>
      </c>
      <c r="N64" s="64" t="s">
        <v>1041</v>
      </c>
      <c r="O64" s="101" t="s">
        <v>1038</v>
      </c>
      <c r="P64" s="160" t="s">
        <v>662</v>
      </c>
      <c r="Q64" s="161">
        <v>1</v>
      </c>
      <c r="R64" s="162">
        <v>21297</v>
      </c>
      <c r="S64" s="161">
        <v>67</v>
      </c>
      <c r="T64" s="160" t="s">
        <v>259</v>
      </c>
      <c r="U64" s="160" t="s">
        <v>298</v>
      </c>
      <c r="V64" s="163" t="s">
        <v>663</v>
      </c>
      <c r="W64" s="160" t="s">
        <v>595</v>
      </c>
      <c r="X64" s="160" t="s">
        <v>596</v>
      </c>
      <c r="Y64" s="160" t="s">
        <v>277</v>
      </c>
      <c r="Z64" s="160" t="s">
        <v>262</v>
      </c>
      <c r="AA64" s="160" t="s">
        <v>530</v>
      </c>
      <c r="AB64" s="160" t="s">
        <v>264</v>
      </c>
      <c r="AC64" s="160" t="s">
        <v>597</v>
      </c>
      <c r="AD64" s="160" t="s">
        <v>597</v>
      </c>
      <c r="AE64" s="160" t="s">
        <v>664</v>
      </c>
      <c r="AF64" s="160" t="s">
        <v>597</v>
      </c>
      <c r="AG64" s="160" t="s">
        <v>610</v>
      </c>
      <c r="AH64" s="160" t="s">
        <v>597</v>
      </c>
      <c r="AI64" s="160" t="s">
        <v>597</v>
      </c>
      <c r="AJ64" s="162">
        <v>45966</v>
      </c>
      <c r="AK64" s="160" t="s">
        <v>610</v>
      </c>
      <c r="AL64" s="115">
        <v>1</v>
      </c>
      <c r="AM64" s="115">
        <v>1</v>
      </c>
      <c r="AN64" s="115">
        <v>1</v>
      </c>
      <c r="AO64" s="115">
        <v>1</v>
      </c>
      <c r="AP64" s="115">
        <v>1</v>
      </c>
      <c r="AQ64" s="115">
        <v>1</v>
      </c>
      <c r="AR64" s="115">
        <v>1</v>
      </c>
      <c r="AS64" s="115">
        <v>1</v>
      </c>
      <c r="AT64" s="70">
        <f t="shared" si="0"/>
        <v>8</v>
      </c>
      <c r="AU64" s="71">
        <v>1</v>
      </c>
      <c r="AV64" s="71">
        <v>1</v>
      </c>
      <c r="AW64" s="71">
        <v>1</v>
      </c>
      <c r="AX64" s="71">
        <v>1</v>
      </c>
      <c r="AY64" s="70">
        <f t="shared" si="1"/>
        <v>4</v>
      </c>
      <c r="AZ64" s="69">
        <v>1</v>
      </c>
      <c r="BA64" s="69">
        <v>1</v>
      </c>
      <c r="BB64" s="69">
        <v>1</v>
      </c>
      <c r="BC64" s="69">
        <v>1</v>
      </c>
      <c r="BD64" s="69">
        <v>1</v>
      </c>
      <c r="BE64" s="69">
        <v>1</v>
      </c>
      <c r="BF64" s="69">
        <v>1</v>
      </c>
      <c r="BG64" s="69">
        <v>1</v>
      </c>
      <c r="BH64" s="70">
        <f t="shared" si="2"/>
        <v>8</v>
      </c>
      <c r="BI64" s="69">
        <v>1</v>
      </c>
      <c r="BJ64" s="69">
        <v>1</v>
      </c>
      <c r="BK64" s="70">
        <f t="shared" si="3"/>
        <v>2</v>
      </c>
      <c r="BL64" s="72">
        <v>1</v>
      </c>
      <c r="BM64" s="72">
        <v>1</v>
      </c>
      <c r="BN64" s="72">
        <v>1</v>
      </c>
      <c r="BO64" s="72">
        <v>1</v>
      </c>
      <c r="BP64" s="72">
        <v>1</v>
      </c>
      <c r="BQ64" s="72">
        <v>1</v>
      </c>
      <c r="BR64" s="72">
        <v>1</v>
      </c>
      <c r="BS64" s="72">
        <v>1</v>
      </c>
      <c r="BT64" s="70">
        <f t="shared" si="4"/>
        <v>7</v>
      </c>
      <c r="BU64" s="70">
        <f t="shared" si="5"/>
        <v>29</v>
      </c>
      <c r="BV64" s="105">
        <v>5</v>
      </c>
      <c r="BW64" s="105">
        <v>5</v>
      </c>
      <c r="BX64" s="105">
        <v>5</v>
      </c>
      <c r="BY64" s="73">
        <v>1</v>
      </c>
      <c r="BZ64" s="105">
        <v>5</v>
      </c>
      <c r="CA64" s="73">
        <v>3</v>
      </c>
      <c r="CB64" s="105">
        <v>5</v>
      </c>
      <c r="CC64" s="73">
        <v>5</v>
      </c>
      <c r="CD64" s="73">
        <v>2</v>
      </c>
      <c r="CE64" s="73">
        <v>3</v>
      </c>
      <c r="CF64" s="73">
        <v>3</v>
      </c>
      <c r="CG64" s="73">
        <v>5</v>
      </c>
      <c r="CH64" s="74">
        <v>5</v>
      </c>
      <c r="CI64" s="105">
        <v>5</v>
      </c>
      <c r="CJ64" s="73">
        <v>3</v>
      </c>
      <c r="CK64" s="75">
        <f t="shared" si="184"/>
        <v>60</v>
      </c>
      <c r="CL64" s="76">
        <v>5</v>
      </c>
      <c r="CM64" s="76">
        <v>1</v>
      </c>
      <c r="CN64" s="76">
        <v>5</v>
      </c>
      <c r="CO64" s="76">
        <v>5</v>
      </c>
      <c r="CP64" s="76">
        <v>5</v>
      </c>
      <c r="CQ64" s="106">
        <v>5</v>
      </c>
      <c r="CR64" s="76">
        <v>1</v>
      </c>
      <c r="CS64" s="76">
        <v>5</v>
      </c>
      <c r="CT64" s="76">
        <v>5</v>
      </c>
      <c r="CU64" s="76">
        <v>5</v>
      </c>
      <c r="CV64" s="76">
        <v>5</v>
      </c>
      <c r="CW64" s="76">
        <v>1</v>
      </c>
      <c r="CX64" s="76">
        <v>1</v>
      </c>
      <c r="CY64" s="76">
        <v>5</v>
      </c>
      <c r="CZ64" s="76">
        <v>5</v>
      </c>
      <c r="DA64" s="76">
        <v>5</v>
      </c>
      <c r="DB64" s="76">
        <v>5</v>
      </c>
      <c r="DC64" s="76">
        <v>4</v>
      </c>
      <c r="DD64" s="76">
        <v>5</v>
      </c>
      <c r="DE64" s="76">
        <v>5</v>
      </c>
      <c r="DF64" s="76">
        <v>5</v>
      </c>
      <c r="DG64" s="76">
        <v>5</v>
      </c>
      <c r="DH64" s="76">
        <v>5</v>
      </c>
      <c r="DI64" s="76">
        <v>5</v>
      </c>
      <c r="DJ64" s="76">
        <v>1</v>
      </c>
      <c r="DK64" s="76">
        <v>5</v>
      </c>
      <c r="DL64" s="76">
        <v>3</v>
      </c>
      <c r="DM64" s="76">
        <v>1</v>
      </c>
      <c r="DN64" s="76">
        <f t="shared" si="7"/>
        <v>113</v>
      </c>
      <c r="DO64" s="118">
        <v>29</v>
      </c>
      <c r="DP64" s="97">
        <v>0</v>
      </c>
      <c r="DQ64" s="97">
        <v>1</v>
      </c>
      <c r="DR64" s="97">
        <v>0</v>
      </c>
      <c r="DS64" s="97">
        <v>0</v>
      </c>
      <c r="DT64" s="97">
        <v>0</v>
      </c>
      <c r="DU64" s="97">
        <v>1</v>
      </c>
      <c r="DV64" s="97">
        <v>0</v>
      </c>
      <c r="DW64" s="97">
        <v>0</v>
      </c>
      <c r="DX64" s="97">
        <v>0</v>
      </c>
      <c r="DY64" s="97">
        <v>0</v>
      </c>
      <c r="DZ64" s="97">
        <v>0</v>
      </c>
      <c r="EA64" s="97">
        <v>0</v>
      </c>
      <c r="EB64" s="97">
        <v>0</v>
      </c>
      <c r="EC64" s="97">
        <v>0</v>
      </c>
      <c r="ED64" s="97">
        <v>0</v>
      </c>
      <c r="EE64" s="77">
        <f t="shared" si="124"/>
        <v>2</v>
      </c>
      <c r="EF64" s="77" t="s">
        <v>265</v>
      </c>
      <c r="EG64" s="78">
        <f t="shared" si="8"/>
        <v>2</v>
      </c>
      <c r="EH64" s="97">
        <v>0</v>
      </c>
      <c r="EI64" s="97">
        <v>0</v>
      </c>
      <c r="EJ64" s="97">
        <v>0</v>
      </c>
      <c r="EK64" s="97">
        <v>0</v>
      </c>
      <c r="EL64" s="97">
        <v>0</v>
      </c>
      <c r="EM64" s="97">
        <v>0</v>
      </c>
      <c r="EN64" s="97">
        <v>0</v>
      </c>
      <c r="EO64" s="97">
        <v>0</v>
      </c>
      <c r="EP64" s="97">
        <v>0</v>
      </c>
      <c r="EQ64" s="97">
        <v>0</v>
      </c>
      <c r="ER64" s="97">
        <v>0</v>
      </c>
      <c r="ES64" s="97">
        <v>0</v>
      </c>
      <c r="ET64" s="97">
        <v>0</v>
      </c>
      <c r="EU64" s="97">
        <v>0</v>
      </c>
      <c r="EV64" s="97">
        <v>0</v>
      </c>
      <c r="EW64" s="97">
        <v>0</v>
      </c>
      <c r="EX64" s="97">
        <v>0</v>
      </c>
      <c r="EY64" s="97">
        <v>0</v>
      </c>
      <c r="EZ64" s="97">
        <v>0</v>
      </c>
      <c r="FA64" s="97">
        <v>0</v>
      </c>
      <c r="FB64" s="97">
        <v>0</v>
      </c>
      <c r="FC64" s="97">
        <v>0</v>
      </c>
      <c r="FD64" s="79">
        <f t="shared" si="9"/>
        <v>0</v>
      </c>
      <c r="FE64" s="80">
        <v>1</v>
      </c>
      <c r="FF64" s="97">
        <v>1</v>
      </c>
      <c r="FG64" s="97">
        <v>1</v>
      </c>
      <c r="FH64" s="97">
        <v>1</v>
      </c>
      <c r="FI64" s="97">
        <v>1</v>
      </c>
      <c r="FJ64" s="97">
        <v>1</v>
      </c>
      <c r="FK64" s="97">
        <v>1</v>
      </c>
      <c r="FL64" s="97">
        <v>1</v>
      </c>
      <c r="FM64" s="97">
        <v>1</v>
      </c>
      <c r="FN64" s="81">
        <f t="shared" si="10"/>
        <v>8</v>
      </c>
      <c r="FO64" s="82">
        <v>1</v>
      </c>
      <c r="FP64" s="97">
        <v>10</v>
      </c>
      <c r="FQ64" s="97">
        <v>5</v>
      </c>
      <c r="FR64" s="97">
        <v>10</v>
      </c>
      <c r="FS64" s="97">
        <v>5</v>
      </c>
      <c r="FT64" s="97">
        <v>10</v>
      </c>
      <c r="FU64" s="97">
        <v>10</v>
      </c>
      <c r="FV64" s="97">
        <v>10</v>
      </c>
      <c r="FW64" s="97">
        <v>15</v>
      </c>
      <c r="FX64" s="97">
        <v>15</v>
      </c>
      <c r="FY64" s="97">
        <v>10</v>
      </c>
      <c r="FZ64" s="83">
        <f t="shared" si="11"/>
        <v>100</v>
      </c>
      <c r="GA64" s="84">
        <v>1</v>
      </c>
      <c r="GB64" s="55">
        <v>0</v>
      </c>
      <c r="GC64" s="85">
        <v>0</v>
      </c>
      <c r="GD64" s="85">
        <v>0</v>
      </c>
      <c r="GE64" s="85">
        <v>0</v>
      </c>
      <c r="GF64" s="85">
        <v>0</v>
      </c>
      <c r="GG64" s="85">
        <v>0</v>
      </c>
      <c r="GH64" s="85">
        <v>0</v>
      </c>
      <c r="GI64" s="97">
        <v>0</v>
      </c>
      <c r="GJ64" s="97">
        <v>0</v>
      </c>
      <c r="GK64" s="97">
        <v>0</v>
      </c>
      <c r="GL64" s="97">
        <v>1</v>
      </c>
      <c r="GM64" s="97">
        <v>2</v>
      </c>
      <c r="GN64" s="97">
        <v>0</v>
      </c>
      <c r="GO64" s="97">
        <v>0</v>
      </c>
      <c r="GP64" s="97">
        <v>0</v>
      </c>
      <c r="GQ64" s="97">
        <v>0</v>
      </c>
      <c r="GR64" s="97">
        <v>0</v>
      </c>
      <c r="GS64" s="97">
        <v>0</v>
      </c>
      <c r="GT64" s="97">
        <v>1</v>
      </c>
      <c r="GU64" s="86">
        <f t="shared" si="12"/>
        <v>4</v>
      </c>
      <c r="GV64" s="87" t="s">
        <v>266</v>
      </c>
      <c r="GW64" s="87">
        <v>0</v>
      </c>
      <c r="GX64" s="88" t="s">
        <v>267</v>
      </c>
      <c r="GY64" s="55">
        <v>5</v>
      </c>
      <c r="GZ64" s="55">
        <v>5</v>
      </c>
      <c r="HA64" s="55">
        <v>3</v>
      </c>
      <c r="HB64" s="55">
        <v>1</v>
      </c>
      <c r="HC64" s="55">
        <v>5</v>
      </c>
      <c r="HD64" s="55">
        <v>5</v>
      </c>
      <c r="HE64" s="55"/>
      <c r="HF64" s="55"/>
      <c r="HG64" s="55">
        <v>2</v>
      </c>
      <c r="HH64" s="55">
        <v>7</v>
      </c>
      <c r="HI64" s="55">
        <v>7</v>
      </c>
      <c r="HJ64" s="55"/>
      <c r="HK64" s="55">
        <v>2</v>
      </c>
      <c r="HL64" s="55">
        <v>7</v>
      </c>
      <c r="HM64" s="55">
        <v>2</v>
      </c>
      <c r="HN64" s="55">
        <v>1</v>
      </c>
      <c r="HO64" s="55">
        <v>3</v>
      </c>
      <c r="HP64" s="55">
        <v>1</v>
      </c>
      <c r="HQ64" s="55">
        <v>2</v>
      </c>
      <c r="HR64" s="55">
        <v>1</v>
      </c>
      <c r="HS64" s="55">
        <v>1</v>
      </c>
      <c r="HT64" s="55">
        <v>2</v>
      </c>
      <c r="HU64" s="55">
        <v>4</v>
      </c>
      <c r="HV64" s="55">
        <v>1</v>
      </c>
      <c r="HW64" s="55">
        <v>1</v>
      </c>
      <c r="HX64" s="55">
        <v>2</v>
      </c>
      <c r="HY64" s="55">
        <v>5</v>
      </c>
      <c r="HZ64" s="55">
        <v>4</v>
      </c>
      <c r="IA64" s="55">
        <v>4</v>
      </c>
      <c r="IB64" s="55">
        <v>7</v>
      </c>
      <c r="IC64" s="55"/>
      <c r="ID64" s="55">
        <f t="shared" ref="ID64:IG64" si="218">SUM(GY64)</f>
        <v>5</v>
      </c>
      <c r="IE64" s="55">
        <f t="shared" si="218"/>
        <v>5</v>
      </c>
      <c r="IF64" s="55">
        <f t="shared" si="218"/>
        <v>3</v>
      </c>
      <c r="IG64" s="55">
        <f t="shared" si="218"/>
        <v>1</v>
      </c>
      <c r="IH64" s="55">
        <f t="shared" si="14"/>
        <v>10</v>
      </c>
      <c r="II64" s="55">
        <f t="shared" si="15"/>
        <v>2</v>
      </c>
      <c r="IJ64" s="55">
        <f t="shared" si="16"/>
        <v>14</v>
      </c>
      <c r="IK64" s="55">
        <f t="shared" ref="IK64:IQ64" si="219">SUM(HK64)</f>
        <v>2</v>
      </c>
      <c r="IL64" s="55">
        <f t="shared" si="219"/>
        <v>7</v>
      </c>
      <c r="IM64" s="55">
        <f t="shared" si="219"/>
        <v>2</v>
      </c>
      <c r="IN64" s="55">
        <f t="shared" si="219"/>
        <v>1</v>
      </c>
      <c r="IO64" s="55">
        <f t="shared" si="219"/>
        <v>3</v>
      </c>
      <c r="IP64" s="55">
        <f t="shared" si="219"/>
        <v>1</v>
      </c>
      <c r="IQ64" s="55">
        <f t="shared" si="219"/>
        <v>2</v>
      </c>
      <c r="IR64" s="55">
        <f t="shared" si="18"/>
        <v>2</v>
      </c>
      <c r="IS64" s="55">
        <f t="shared" ref="IS64:JB64" si="220">SUM(HT64)</f>
        <v>2</v>
      </c>
      <c r="IT64" s="55">
        <f t="shared" si="220"/>
        <v>4</v>
      </c>
      <c r="IU64" s="55">
        <f t="shared" si="220"/>
        <v>1</v>
      </c>
      <c r="IV64" s="55">
        <f t="shared" si="220"/>
        <v>1</v>
      </c>
      <c r="IW64" s="55">
        <f t="shared" si="220"/>
        <v>2</v>
      </c>
      <c r="IX64" s="55">
        <f t="shared" si="220"/>
        <v>5</v>
      </c>
      <c r="IY64" s="55">
        <f t="shared" si="220"/>
        <v>4</v>
      </c>
      <c r="IZ64" s="55">
        <f t="shared" si="220"/>
        <v>4</v>
      </c>
      <c r="JA64" s="55">
        <f t="shared" si="220"/>
        <v>7</v>
      </c>
      <c r="JB64" s="55">
        <f t="shared" si="220"/>
        <v>0</v>
      </c>
      <c r="JC64" s="89">
        <f t="shared" si="20"/>
        <v>89</v>
      </c>
      <c r="JD64" s="90">
        <v>1</v>
      </c>
      <c r="JE64" s="90"/>
      <c r="JF64" s="91">
        <v>57</v>
      </c>
      <c r="JG64" s="91">
        <v>2</v>
      </c>
      <c r="JH64" s="97">
        <v>2</v>
      </c>
      <c r="JI64" s="97">
        <v>2</v>
      </c>
      <c r="JJ64" s="97">
        <v>2</v>
      </c>
      <c r="JK64" s="97">
        <v>1</v>
      </c>
      <c r="JL64" s="97">
        <v>0</v>
      </c>
      <c r="JM64" s="97">
        <v>0</v>
      </c>
      <c r="JN64" s="97">
        <v>0</v>
      </c>
      <c r="JO64" s="97">
        <v>0</v>
      </c>
      <c r="JP64" s="89">
        <f t="shared" si="170"/>
        <v>7</v>
      </c>
      <c r="JQ64" s="97">
        <v>2</v>
      </c>
      <c r="JR64" s="97">
        <v>2</v>
      </c>
      <c r="JS64" s="97">
        <v>2</v>
      </c>
      <c r="JT64" s="97">
        <v>0</v>
      </c>
      <c r="JU64" s="97">
        <v>0</v>
      </c>
      <c r="JV64" s="97">
        <v>0</v>
      </c>
      <c r="JW64" s="97">
        <v>0</v>
      </c>
      <c r="JX64" s="92">
        <f t="shared" si="22"/>
        <v>6</v>
      </c>
      <c r="JY64" s="93">
        <f t="shared" si="23"/>
        <v>13</v>
      </c>
      <c r="JZ64" s="97">
        <v>3</v>
      </c>
      <c r="KA64" s="97">
        <v>3</v>
      </c>
      <c r="KB64" s="97">
        <v>1</v>
      </c>
      <c r="KC64" s="97">
        <v>0</v>
      </c>
      <c r="KD64" s="97">
        <v>0</v>
      </c>
      <c r="KE64" s="97">
        <v>0</v>
      </c>
      <c r="KF64" s="97">
        <v>0</v>
      </c>
      <c r="KG64" s="94">
        <f t="shared" si="24"/>
        <v>7</v>
      </c>
      <c r="KH64" s="95" t="s">
        <v>330</v>
      </c>
      <c r="KI64" s="97">
        <v>0</v>
      </c>
      <c r="KJ64" s="97">
        <v>2</v>
      </c>
      <c r="KK64" s="55">
        <v>0</v>
      </c>
      <c r="KL64" s="95" t="s">
        <v>331</v>
      </c>
      <c r="KM64" s="97">
        <v>0</v>
      </c>
      <c r="KN64" s="97">
        <v>2</v>
      </c>
      <c r="KO64" s="55">
        <v>0</v>
      </c>
      <c r="KP64" s="95" t="s">
        <v>333</v>
      </c>
      <c r="KQ64" s="97">
        <v>0</v>
      </c>
      <c r="KR64" s="97">
        <v>2</v>
      </c>
      <c r="KS64" s="55">
        <v>0</v>
      </c>
      <c r="KT64" s="95" t="s">
        <v>326</v>
      </c>
      <c r="KU64" s="97">
        <v>0</v>
      </c>
      <c r="KV64" s="97">
        <v>2</v>
      </c>
      <c r="KW64" s="55">
        <v>0</v>
      </c>
      <c r="KX64" s="95" t="s">
        <v>330</v>
      </c>
      <c r="KY64" s="97">
        <v>0</v>
      </c>
      <c r="KZ64" s="97">
        <v>2</v>
      </c>
      <c r="LA64" s="55">
        <v>1</v>
      </c>
      <c r="LB64" s="95" t="s">
        <v>326</v>
      </c>
      <c r="LC64" s="97">
        <v>0</v>
      </c>
      <c r="LD64" s="97">
        <v>2</v>
      </c>
      <c r="LE64" s="55">
        <v>0</v>
      </c>
      <c r="LF64" s="95" t="s">
        <v>325</v>
      </c>
      <c r="LG64" s="97">
        <v>0</v>
      </c>
      <c r="LH64" s="97">
        <v>2</v>
      </c>
      <c r="LI64" s="55">
        <v>0</v>
      </c>
      <c r="LJ64" s="95" t="s">
        <v>531</v>
      </c>
      <c r="LK64" s="97">
        <v>1</v>
      </c>
      <c r="LL64" s="97">
        <v>1</v>
      </c>
      <c r="LM64" s="55">
        <v>0</v>
      </c>
      <c r="LN64" s="96">
        <f t="shared" si="25"/>
        <v>16</v>
      </c>
      <c r="LO64" s="97">
        <f t="shared" si="26"/>
        <v>1</v>
      </c>
      <c r="LP64" s="97">
        <f t="shared" si="27"/>
        <v>36</v>
      </c>
    </row>
    <row r="65" spans="1:328" s="98" customFormat="1" ht="13.2">
      <c r="A65" s="55" t="s">
        <v>613</v>
      </c>
      <c r="B65" s="40"/>
      <c r="C65" s="40"/>
      <c r="D65" s="49"/>
      <c r="E65" s="49"/>
      <c r="F65" s="40"/>
      <c r="G65" s="40"/>
      <c r="H65" s="40"/>
      <c r="I65" s="40"/>
      <c r="J65" s="40"/>
      <c r="K65" s="40"/>
      <c r="L65" s="40"/>
      <c r="M65" s="40"/>
      <c r="N65" s="64" t="s">
        <v>1040</v>
      </c>
      <c r="O65" s="101" t="s">
        <v>1039</v>
      </c>
      <c r="P65" s="95" t="s">
        <v>819</v>
      </c>
      <c r="Q65" s="95">
        <v>1</v>
      </c>
      <c r="R65" s="125">
        <v>22003</v>
      </c>
      <c r="S65" s="95">
        <v>65</v>
      </c>
      <c r="T65" s="95" t="s">
        <v>259</v>
      </c>
      <c r="U65" s="95" t="s">
        <v>298</v>
      </c>
      <c r="V65" s="130" t="s">
        <v>820</v>
      </c>
      <c r="W65" s="95" t="s">
        <v>722</v>
      </c>
      <c r="X65" s="95" t="s">
        <v>596</v>
      </c>
      <c r="Y65" s="95" t="s">
        <v>311</v>
      </c>
      <c r="Z65" s="95" t="s">
        <v>262</v>
      </c>
      <c r="AA65" s="95" t="s">
        <v>471</v>
      </c>
      <c r="AB65" s="95" t="s">
        <v>264</v>
      </c>
      <c r="AC65" s="95" t="s">
        <v>597</v>
      </c>
      <c r="AD65" s="95" t="s">
        <v>597</v>
      </c>
      <c r="AE65" s="95" t="s">
        <v>821</v>
      </c>
      <c r="AF65" s="95" t="s">
        <v>597</v>
      </c>
      <c r="AG65" s="95" t="s">
        <v>602</v>
      </c>
      <c r="AH65" s="95" t="s">
        <v>597</v>
      </c>
      <c r="AI65" s="95" t="s">
        <v>597</v>
      </c>
      <c r="AJ65" s="125">
        <v>45876</v>
      </c>
      <c r="AK65" s="97"/>
      <c r="AL65" s="115">
        <v>1</v>
      </c>
      <c r="AM65" s="115">
        <v>1</v>
      </c>
      <c r="AN65" s="115">
        <v>1</v>
      </c>
      <c r="AO65" s="115">
        <v>1</v>
      </c>
      <c r="AP65" s="115">
        <v>1</v>
      </c>
      <c r="AQ65" s="115">
        <v>1</v>
      </c>
      <c r="AR65" s="115">
        <v>1</v>
      </c>
      <c r="AS65" s="115">
        <v>1</v>
      </c>
      <c r="AT65" s="70">
        <f t="shared" si="0"/>
        <v>8</v>
      </c>
      <c r="AU65" s="71">
        <v>1</v>
      </c>
      <c r="AV65" s="71">
        <v>1</v>
      </c>
      <c r="AW65" s="71">
        <v>1</v>
      </c>
      <c r="AX65" s="71">
        <v>1</v>
      </c>
      <c r="AY65" s="70">
        <f t="shared" si="1"/>
        <v>4</v>
      </c>
      <c r="AZ65" s="69">
        <v>1</v>
      </c>
      <c r="BA65" s="69">
        <v>1</v>
      </c>
      <c r="BB65" s="69">
        <v>1</v>
      </c>
      <c r="BC65" s="69">
        <v>1</v>
      </c>
      <c r="BD65" s="69">
        <v>1</v>
      </c>
      <c r="BE65" s="69">
        <v>1</v>
      </c>
      <c r="BF65" s="69">
        <v>1</v>
      </c>
      <c r="BG65" s="69">
        <v>1</v>
      </c>
      <c r="BH65" s="70">
        <f t="shared" si="2"/>
        <v>8</v>
      </c>
      <c r="BI65" s="69">
        <v>1</v>
      </c>
      <c r="BJ65" s="69">
        <v>1</v>
      </c>
      <c r="BK65" s="70">
        <f t="shared" si="3"/>
        <v>2</v>
      </c>
      <c r="BL65" s="72">
        <v>1</v>
      </c>
      <c r="BM65" s="72">
        <v>1</v>
      </c>
      <c r="BN65" s="72">
        <v>1</v>
      </c>
      <c r="BO65" s="72">
        <v>1</v>
      </c>
      <c r="BP65" s="72">
        <v>1</v>
      </c>
      <c r="BQ65" s="72">
        <v>1</v>
      </c>
      <c r="BR65" s="72">
        <v>1</v>
      </c>
      <c r="BS65" s="72">
        <v>1</v>
      </c>
      <c r="BT65" s="70">
        <f t="shared" si="4"/>
        <v>7</v>
      </c>
      <c r="BU65" s="70">
        <f t="shared" si="5"/>
        <v>29</v>
      </c>
      <c r="BV65" s="73">
        <v>5</v>
      </c>
      <c r="BW65" s="73">
        <v>5</v>
      </c>
      <c r="BX65" s="73">
        <v>5</v>
      </c>
      <c r="BY65" s="73">
        <v>1</v>
      </c>
      <c r="BZ65" s="73">
        <v>5</v>
      </c>
      <c r="CA65" s="73">
        <v>3</v>
      </c>
      <c r="CB65" s="73">
        <v>5</v>
      </c>
      <c r="CC65" s="73">
        <v>5</v>
      </c>
      <c r="CD65" s="73">
        <v>2</v>
      </c>
      <c r="CE65" s="73">
        <v>3</v>
      </c>
      <c r="CF65" s="73">
        <v>3</v>
      </c>
      <c r="CG65" s="73">
        <v>5</v>
      </c>
      <c r="CH65" s="74">
        <v>5</v>
      </c>
      <c r="CI65" s="73">
        <v>5</v>
      </c>
      <c r="CJ65" s="73">
        <v>3</v>
      </c>
      <c r="CK65" s="75">
        <f t="shared" si="184"/>
        <v>60</v>
      </c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>
        <f t="shared" si="7"/>
        <v>0</v>
      </c>
      <c r="DO65" s="118">
        <v>24</v>
      </c>
      <c r="DP65" s="97">
        <v>0</v>
      </c>
      <c r="DQ65" s="97">
        <v>1</v>
      </c>
      <c r="DR65" s="97">
        <v>1</v>
      </c>
      <c r="DS65" s="97">
        <v>0</v>
      </c>
      <c r="DT65" s="97">
        <v>1</v>
      </c>
      <c r="DU65" s="97">
        <v>0</v>
      </c>
      <c r="DV65" s="97">
        <v>1</v>
      </c>
      <c r="DW65" s="97">
        <v>0</v>
      </c>
      <c r="DX65" s="97">
        <v>1</v>
      </c>
      <c r="DY65" s="97">
        <v>0</v>
      </c>
      <c r="DZ65" s="97">
        <v>0</v>
      </c>
      <c r="EA65" s="97">
        <v>0</v>
      </c>
      <c r="EB65" s="97">
        <v>0</v>
      </c>
      <c r="EC65" s="97">
        <v>0</v>
      </c>
      <c r="ED65" s="97">
        <v>0</v>
      </c>
      <c r="EE65" s="77">
        <f t="shared" si="124"/>
        <v>5</v>
      </c>
      <c r="EF65" s="77" t="s">
        <v>267</v>
      </c>
      <c r="EG65" s="78">
        <f t="shared" si="8"/>
        <v>5</v>
      </c>
      <c r="EH65" s="55">
        <v>0</v>
      </c>
      <c r="EI65" s="55">
        <v>0</v>
      </c>
      <c r="EJ65" s="55">
        <v>0</v>
      </c>
      <c r="EK65" s="55">
        <v>0</v>
      </c>
      <c r="EL65" s="55">
        <v>0</v>
      </c>
      <c r="EM65" s="55">
        <v>0</v>
      </c>
      <c r="EN65" s="55">
        <v>0</v>
      </c>
      <c r="EO65" s="55">
        <v>0</v>
      </c>
      <c r="EP65" s="55">
        <v>0</v>
      </c>
      <c r="EQ65" s="55">
        <v>0</v>
      </c>
      <c r="ER65" s="55">
        <v>0</v>
      </c>
      <c r="ES65" s="55">
        <v>1</v>
      </c>
      <c r="ET65" s="55">
        <v>0</v>
      </c>
      <c r="EU65" s="55">
        <v>0</v>
      </c>
      <c r="EV65" s="55">
        <v>0</v>
      </c>
      <c r="EW65" s="55">
        <v>0</v>
      </c>
      <c r="EX65" s="55">
        <v>0</v>
      </c>
      <c r="EY65" s="55">
        <v>0</v>
      </c>
      <c r="EZ65" s="55">
        <v>0</v>
      </c>
      <c r="FA65" s="55">
        <v>0</v>
      </c>
      <c r="FB65" s="55">
        <v>0</v>
      </c>
      <c r="FC65" s="55">
        <v>0</v>
      </c>
      <c r="FD65" s="79">
        <f t="shared" si="9"/>
        <v>1</v>
      </c>
      <c r="FE65" s="80">
        <v>1</v>
      </c>
      <c r="FF65" s="55">
        <v>1</v>
      </c>
      <c r="FG65" s="55">
        <v>1</v>
      </c>
      <c r="FH65" s="55">
        <v>1</v>
      </c>
      <c r="FI65" s="55">
        <v>1</v>
      </c>
      <c r="FJ65" s="55">
        <v>0</v>
      </c>
      <c r="FK65" s="55">
        <v>1</v>
      </c>
      <c r="FL65" s="55">
        <v>1</v>
      </c>
      <c r="FM65" s="55">
        <v>1</v>
      </c>
      <c r="FN65" s="81">
        <f t="shared" si="10"/>
        <v>7</v>
      </c>
      <c r="FO65" s="81">
        <v>2</v>
      </c>
      <c r="FP65" s="55">
        <v>10</v>
      </c>
      <c r="FQ65" s="55">
        <v>5</v>
      </c>
      <c r="FR65" s="55">
        <v>10</v>
      </c>
      <c r="FS65" s="55">
        <v>5</v>
      </c>
      <c r="FT65" s="55">
        <v>10</v>
      </c>
      <c r="FU65" s="55">
        <v>10</v>
      </c>
      <c r="FV65" s="55">
        <v>10</v>
      </c>
      <c r="FW65" s="55">
        <v>15</v>
      </c>
      <c r="FX65" s="55">
        <v>15</v>
      </c>
      <c r="FY65" s="55">
        <v>10</v>
      </c>
      <c r="FZ65" s="83">
        <f t="shared" si="11"/>
        <v>100</v>
      </c>
      <c r="GA65" s="84">
        <v>1</v>
      </c>
      <c r="GB65" s="55">
        <v>0</v>
      </c>
      <c r="GC65" s="85">
        <v>0.5</v>
      </c>
      <c r="GD65" s="85">
        <v>0</v>
      </c>
      <c r="GE65" s="85">
        <v>0</v>
      </c>
      <c r="GF65" s="85">
        <v>0</v>
      </c>
      <c r="GG65" s="85">
        <v>0</v>
      </c>
      <c r="GH65" s="85">
        <v>0</v>
      </c>
      <c r="GI65" s="55">
        <v>0</v>
      </c>
      <c r="GJ65" s="55">
        <v>0</v>
      </c>
      <c r="GK65" s="55">
        <v>0</v>
      </c>
      <c r="GL65" s="55">
        <v>0</v>
      </c>
      <c r="GM65" s="55">
        <v>0</v>
      </c>
      <c r="GN65" s="55">
        <v>0</v>
      </c>
      <c r="GO65" s="55">
        <v>0</v>
      </c>
      <c r="GP65" s="55">
        <v>0</v>
      </c>
      <c r="GQ65" s="55">
        <v>0</v>
      </c>
      <c r="GR65" s="55">
        <v>0</v>
      </c>
      <c r="GS65" s="55">
        <v>0</v>
      </c>
      <c r="GT65" s="55">
        <v>0</v>
      </c>
      <c r="GU65" s="86">
        <f t="shared" si="12"/>
        <v>0</v>
      </c>
      <c r="GV65" s="87" t="s">
        <v>301</v>
      </c>
      <c r="GW65" s="87">
        <v>0</v>
      </c>
      <c r="GX65" s="88" t="s">
        <v>267</v>
      </c>
      <c r="GY65" s="97">
        <v>5</v>
      </c>
      <c r="GZ65" s="97">
        <v>5</v>
      </c>
      <c r="HA65" s="97">
        <v>3</v>
      </c>
      <c r="HB65" s="97">
        <v>1</v>
      </c>
      <c r="HC65" s="97">
        <v>4</v>
      </c>
      <c r="HD65" s="97">
        <v>4</v>
      </c>
      <c r="HE65" s="97"/>
      <c r="HF65" s="97"/>
      <c r="HG65" s="97">
        <v>2</v>
      </c>
      <c r="HH65" s="97">
        <v>6</v>
      </c>
      <c r="HI65" s="97">
        <v>6</v>
      </c>
      <c r="HJ65" s="97"/>
      <c r="HK65" s="97">
        <v>1</v>
      </c>
      <c r="HL65" s="97">
        <v>6</v>
      </c>
      <c r="HM65" s="97">
        <v>6</v>
      </c>
      <c r="HN65" s="55">
        <v>1</v>
      </c>
      <c r="HO65" s="97">
        <v>3</v>
      </c>
      <c r="HP65" s="97">
        <v>1</v>
      </c>
      <c r="HQ65" s="97">
        <v>0</v>
      </c>
      <c r="HR65" s="97">
        <v>1</v>
      </c>
      <c r="HS65" s="97">
        <v>1</v>
      </c>
      <c r="HT65" s="97">
        <v>2</v>
      </c>
      <c r="HU65" s="97">
        <v>4</v>
      </c>
      <c r="HV65" s="97">
        <v>1</v>
      </c>
      <c r="HW65" s="97">
        <v>0</v>
      </c>
      <c r="HX65" s="97">
        <v>0</v>
      </c>
      <c r="HY65" s="97">
        <v>4</v>
      </c>
      <c r="HZ65" s="97">
        <v>4</v>
      </c>
      <c r="IA65" s="97">
        <v>4</v>
      </c>
      <c r="IB65" s="97">
        <v>2</v>
      </c>
      <c r="IC65" s="97">
        <v>2</v>
      </c>
      <c r="ID65" s="55">
        <f t="shared" ref="ID65:IG65" si="221">SUM(GY65)</f>
        <v>5</v>
      </c>
      <c r="IE65" s="55">
        <f t="shared" si="221"/>
        <v>5</v>
      </c>
      <c r="IF65" s="55">
        <f t="shared" si="221"/>
        <v>3</v>
      </c>
      <c r="IG65" s="55">
        <f t="shared" si="221"/>
        <v>1</v>
      </c>
      <c r="IH65" s="55">
        <f t="shared" si="14"/>
        <v>8</v>
      </c>
      <c r="II65" s="55">
        <f t="shared" si="15"/>
        <v>2</v>
      </c>
      <c r="IJ65" s="55">
        <f t="shared" si="16"/>
        <v>12</v>
      </c>
      <c r="IK65" s="55">
        <f t="shared" ref="IK65:IQ65" si="222">SUM(HK65)</f>
        <v>1</v>
      </c>
      <c r="IL65" s="55">
        <f t="shared" si="222"/>
        <v>6</v>
      </c>
      <c r="IM65" s="55">
        <f t="shared" si="222"/>
        <v>6</v>
      </c>
      <c r="IN65" s="55">
        <f t="shared" si="222"/>
        <v>1</v>
      </c>
      <c r="IO65" s="55">
        <f t="shared" si="222"/>
        <v>3</v>
      </c>
      <c r="IP65" s="55">
        <f t="shared" si="222"/>
        <v>1</v>
      </c>
      <c r="IQ65" s="55">
        <f t="shared" si="222"/>
        <v>0</v>
      </c>
      <c r="IR65" s="55">
        <f t="shared" si="18"/>
        <v>2</v>
      </c>
      <c r="IS65" s="55">
        <f t="shared" ref="IS65:JB65" si="223">SUM(HT65)</f>
        <v>2</v>
      </c>
      <c r="IT65" s="55">
        <f t="shared" si="223"/>
        <v>4</v>
      </c>
      <c r="IU65" s="55">
        <f t="shared" si="223"/>
        <v>1</v>
      </c>
      <c r="IV65" s="55">
        <f t="shared" si="223"/>
        <v>0</v>
      </c>
      <c r="IW65" s="55">
        <f t="shared" si="223"/>
        <v>0</v>
      </c>
      <c r="IX65" s="55">
        <f t="shared" si="223"/>
        <v>4</v>
      </c>
      <c r="IY65" s="55">
        <f t="shared" si="223"/>
        <v>4</v>
      </c>
      <c r="IZ65" s="55">
        <f t="shared" si="223"/>
        <v>4</v>
      </c>
      <c r="JA65" s="55">
        <f t="shared" si="223"/>
        <v>2</v>
      </c>
      <c r="JB65" s="55">
        <f t="shared" si="223"/>
        <v>2</v>
      </c>
      <c r="JC65" s="89">
        <f t="shared" si="20"/>
        <v>78</v>
      </c>
      <c r="JD65" s="90">
        <v>1</v>
      </c>
      <c r="JE65" s="90">
        <v>1</v>
      </c>
      <c r="JF65" s="91">
        <v>33</v>
      </c>
      <c r="JG65" s="91">
        <v>2</v>
      </c>
      <c r="JH65" s="97">
        <v>2</v>
      </c>
      <c r="JI65" s="97">
        <v>2</v>
      </c>
      <c r="JJ65" s="97">
        <v>2</v>
      </c>
      <c r="JK65" s="97">
        <v>2</v>
      </c>
      <c r="JL65" s="97">
        <v>0</v>
      </c>
      <c r="JM65" s="97">
        <v>0</v>
      </c>
      <c r="JN65" s="97">
        <v>0</v>
      </c>
      <c r="JO65" s="97">
        <v>0</v>
      </c>
      <c r="JP65" s="89">
        <f t="shared" si="170"/>
        <v>8</v>
      </c>
      <c r="JQ65" s="97">
        <v>2</v>
      </c>
      <c r="JR65" s="97">
        <v>2</v>
      </c>
      <c r="JS65" s="97">
        <v>0</v>
      </c>
      <c r="JT65" s="97">
        <v>1</v>
      </c>
      <c r="JU65" s="97">
        <v>0</v>
      </c>
      <c r="JV65" s="97">
        <v>0</v>
      </c>
      <c r="JW65" s="97">
        <v>0</v>
      </c>
      <c r="JX65" s="92">
        <f t="shared" si="22"/>
        <v>5</v>
      </c>
      <c r="JY65" s="93">
        <f t="shared" si="23"/>
        <v>13</v>
      </c>
      <c r="JZ65" s="97">
        <v>3</v>
      </c>
      <c r="KA65" s="97">
        <v>3</v>
      </c>
      <c r="KB65" s="97">
        <v>3</v>
      </c>
      <c r="KC65" s="97">
        <v>0</v>
      </c>
      <c r="KD65" s="97">
        <v>0</v>
      </c>
      <c r="KE65" s="97">
        <v>0</v>
      </c>
      <c r="KF65" s="97">
        <v>0</v>
      </c>
      <c r="KG65" s="94">
        <f t="shared" si="24"/>
        <v>9</v>
      </c>
      <c r="KH65" s="95" t="s">
        <v>822</v>
      </c>
      <c r="KI65" s="97">
        <v>0</v>
      </c>
      <c r="KJ65" s="97">
        <v>2</v>
      </c>
      <c r="KK65" s="97">
        <v>0</v>
      </c>
      <c r="KL65" s="95" t="s">
        <v>331</v>
      </c>
      <c r="KM65" s="97">
        <v>1</v>
      </c>
      <c r="KN65" s="97">
        <v>1</v>
      </c>
      <c r="KO65" s="97">
        <v>0</v>
      </c>
      <c r="KP65" s="95" t="s">
        <v>823</v>
      </c>
      <c r="KQ65" s="97">
        <v>0</v>
      </c>
      <c r="KR65" s="97">
        <v>2</v>
      </c>
      <c r="KS65" s="97">
        <v>1</v>
      </c>
      <c r="KT65" s="95" t="s">
        <v>824</v>
      </c>
      <c r="KU65" s="97">
        <v>0</v>
      </c>
      <c r="KV65" s="97">
        <v>2</v>
      </c>
      <c r="KW65" s="97">
        <v>0</v>
      </c>
      <c r="KX65" s="95" t="s">
        <v>825</v>
      </c>
      <c r="KY65" s="97">
        <v>0</v>
      </c>
      <c r="KZ65" s="97">
        <v>2</v>
      </c>
      <c r="LA65" s="97">
        <v>0</v>
      </c>
      <c r="LB65" s="95" t="s">
        <v>826</v>
      </c>
      <c r="LC65" s="97">
        <v>0</v>
      </c>
      <c r="LD65" s="97">
        <v>2</v>
      </c>
      <c r="LE65" s="97">
        <v>0</v>
      </c>
      <c r="LF65" s="95" t="s">
        <v>431</v>
      </c>
      <c r="LG65" s="97">
        <v>0</v>
      </c>
      <c r="LH65" s="97">
        <v>2</v>
      </c>
      <c r="LI65" s="97">
        <v>0</v>
      </c>
      <c r="LJ65" s="95" t="s">
        <v>827</v>
      </c>
      <c r="LK65" s="97">
        <v>0</v>
      </c>
      <c r="LL65" s="97">
        <v>2</v>
      </c>
      <c r="LM65" s="97">
        <v>1</v>
      </c>
      <c r="LN65" s="96">
        <f t="shared" si="25"/>
        <v>17</v>
      </c>
      <c r="LO65" s="97">
        <f t="shared" si="26"/>
        <v>2</v>
      </c>
      <c r="LP65" s="97">
        <f t="shared" si="27"/>
        <v>39</v>
      </c>
    </row>
    <row r="66" spans="1:328" ht="15">
      <c r="A66" s="42"/>
      <c r="B66" s="42"/>
      <c r="C66" s="42"/>
      <c r="D66" s="52"/>
      <c r="E66" s="52"/>
      <c r="O66" s="43"/>
      <c r="AL66" s="44"/>
      <c r="AM66" s="44"/>
      <c r="AN66" s="44"/>
      <c r="AO66" s="44"/>
      <c r="AP66" s="44"/>
      <c r="AQ66" s="44"/>
      <c r="AR66" s="44"/>
      <c r="AS66" s="44"/>
      <c r="AT66" s="45"/>
      <c r="AY66" s="45"/>
      <c r="BH66" s="45"/>
      <c r="BK66" s="45"/>
      <c r="BT66" s="45"/>
      <c r="BU66" s="45"/>
      <c r="CK66" s="10"/>
      <c r="EF66" s="20"/>
      <c r="FD66" s="21"/>
      <c r="FE66" s="21"/>
      <c r="FN66" s="22"/>
      <c r="FO66" s="22"/>
      <c r="FZ66" s="23"/>
      <c r="GA66" s="23"/>
      <c r="GU66" s="24"/>
      <c r="GV66" s="25"/>
      <c r="JD66" s="26"/>
      <c r="JE66" s="26"/>
      <c r="JF66" s="27"/>
      <c r="JG66" s="27"/>
      <c r="KL66" s="28"/>
      <c r="KP66" s="28"/>
      <c r="KT66" s="28"/>
      <c r="KX66" s="28"/>
      <c r="LB66" s="28"/>
      <c r="LF66" s="28"/>
      <c r="LJ66" s="28"/>
    </row>
    <row r="67" spans="1:328" ht="13.2">
      <c r="A67" s="42"/>
      <c r="B67" s="42"/>
      <c r="C67" s="42"/>
      <c r="D67" s="52"/>
      <c r="E67" s="52"/>
      <c r="O67" s="43"/>
      <c r="AL67" s="44"/>
      <c r="AM67" s="44"/>
      <c r="AN67" s="44"/>
      <c r="AO67" s="44"/>
      <c r="AP67" s="44"/>
      <c r="AQ67" s="44"/>
      <c r="AR67" s="44"/>
      <c r="AS67" s="44"/>
      <c r="AT67" s="45"/>
      <c r="AY67" s="45"/>
      <c r="BH67" s="45"/>
      <c r="BK67" s="45"/>
      <c r="BT67" s="45"/>
      <c r="BU67" s="45"/>
      <c r="CK67" s="10"/>
      <c r="EF67" s="20"/>
      <c r="FD67" s="21"/>
      <c r="FE67" s="21"/>
      <c r="FN67" s="22"/>
      <c r="FO67" s="22"/>
      <c r="FZ67" s="23"/>
      <c r="GA67" s="23"/>
      <c r="JD67" s="26"/>
      <c r="JE67" s="26"/>
      <c r="JF67" s="27"/>
      <c r="JG67" s="27"/>
      <c r="KL67" s="28"/>
      <c r="KP67" s="28"/>
      <c r="KT67" s="28"/>
      <c r="KX67" s="28"/>
      <c r="LB67" s="28"/>
      <c r="LF67" s="28"/>
      <c r="LJ67" s="28"/>
    </row>
    <row r="68" spans="1:328" ht="13.2">
      <c r="A68" s="42"/>
      <c r="B68" s="42"/>
      <c r="C68" s="42"/>
      <c r="D68" s="52"/>
      <c r="E68" s="52"/>
      <c r="O68" s="46"/>
      <c r="P68" s="47" t="s">
        <v>743</v>
      </c>
      <c r="AL68" s="44"/>
      <c r="AM68" s="44"/>
      <c r="AN68" s="44"/>
      <c r="AO68" s="44"/>
      <c r="AP68" s="44"/>
      <c r="AQ68" s="44"/>
      <c r="AR68" s="44"/>
      <c r="AS68" s="44"/>
      <c r="AT68" s="45"/>
      <c r="AY68" s="45"/>
      <c r="BH68" s="45"/>
      <c r="BK68" s="45"/>
      <c r="BT68" s="45"/>
      <c r="BU68" s="45"/>
      <c r="CK68" s="10"/>
      <c r="EF68" s="20"/>
      <c r="FD68" s="21"/>
      <c r="FE68" s="21"/>
      <c r="FN68" s="22"/>
      <c r="FO68" s="22"/>
      <c r="FZ68" s="23"/>
      <c r="GA68" s="23"/>
      <c r="JD68" s="26"/>
      <c r="JE68" s="26"/>
      <c r="JF68" s="27"/>
      <c r="JG68" s="27"/>
      <c r="KL68" s="28"/>
      <c r="KP68" s="28"/>
      <c r="KT68" s="28"/>
      <c r="KX68" s="28"/>
      <c r="LB68" s="28"/>
      <c r="LF68" s="28"/>
      <c r="LJ68" s="28"/>
    </row>
    <row r="69" spans="1:328" ht="13.2">
      <c r="A69" s="42"/>
      <c r="B69" s="42"/>
      <c r="C69" s="42"/>
      <c r="D69" s="52"/>
      <c r="E69" s="52"/>
      <c r="O69" s="48"/>
      <c r="P69" s="47" t="s">
        <v>828</v>
      </c>
      <c r="AL69" s="44"/>
      <c r="AM69" s="44"/>
      <c r="AN69" s="44"/>
      <c r="AO69" s="44"/>
      <c r="AP69" s="44"/>
      <c r="AQ69" s="44"/>
      <c r="AR69" s="44"/>
      <c r="AS69" s="44"/>
      <c r="AT69" s="45"/>
      <c r="AY69" s="45"/>
      <c r="BH69" s="45"/>
      <c r="BK69" s="45"/>
      <c r="BT69" s="45"/>
      <c r="BU69" s="45"/>
      <c r="CK69" s="10"/>
      <c r="EF69" s="20"/>
      <c r="FD69" s="21"/>
      <c r="FE69" s="21"/>
      <c r="FN69" s="22"/>
      <c r="FO69" s="22"/>
      <c r="FZ69" s="23"/>
      <c r="GA69" s="23"/>
      <c r="JD69" s="26"/>
      <c r="JE69" s="26"/>
      <c r="JF69" s="27"/>
      <c r="JG69" s="27"/>
      <c r="KL69" s="28"/>
      <c r="KP69" s="28"/>
      <c r="KT69" s="28"/>
      <c r="KX69" s="28"/>
      <c r="LB69" s="28"/>
      <c r="LF69" s="28"/>
      <c r="LJ69" s="28"/>
    </row>
    <row r="70" spans="1:328" ht="13.2">
      <c r="A70" s="42"/>
      <c r="B70" s="42"/>
      <c r="C70" s="42"/>
      <c r="D70" s="52"/>
      <c r="E70" s="52"/>
      <c r="O70" s="43"/>
      <c r="AL70" s="44"/>
      <c r="AM70" s="44"/>
      <c r="AN70" s="44"/>
      <c r="AO70" s="44"/>
      <c r="AP70" s="44"/>
      <c r="AQ70" s="44"/>
      <c r="AR70" s="44"/>
      <c r="AS70" s="44"/>
      <c r="AT70" s="45"/>
      <c r="AY70" s="45"/>
      <c r="BH70" s="45"/>
      <c r="BK70" s="45"/>
      <c r="BT70" s="45"/>
      <c r="BU70" s="45"/>
      <c r="CK70" s="10"/>
      <c r="EF70" s="20"/>
      <c r="FD70" s="21"/>
      <c r="FE70" s="21"/>
      <c r="FN70" s="22"/>
      <c r="FO70" s="22"/>
      <c r="FZ70" s="23"/>
      <c r="GA70" s="23"/>
      <c r="JD70" s="26"/>
      <c r="JE70" s="26"/>
      <c r="JF70" s="27"/>
      <c r="JG70" s="27"/>
      <c r="KL70" s="28"/>
      <c r="KP70" s="28"/>
      <c r="KT70" s="28"/>
      <c r="KX70" s="28"/>
      <c r="LB70" s="28"/>
      <c r="LF70" s="28"/>
      <c r="LJ70" s="28"/>
    </row>
    <row r="71" spans="1:328" ht="13.2">
      <c r="A71" s="42"/>
      <c r="B71" s="42"/>
      <c r="C71" s="42"/>
      <c r="D71" s="52"/>
      <c r="E71" s="52"/>
      <c r="O71" s="43"/>
      <c r="AL71" s="44"/>
      <c r="AM71" s="44"/>
      <c r="AN71" s="44"/>
      <c r="AO71" s="44"/>
      <c r="AP71" s="44"/>
      <c r="AQ71" s="44"/>
      <c r="AR71" s="44"/>
      <c r="AS71" s="44"/>
      <c r="AT71" s="45"/>
      <c r="AY71" s="45"/>
      <c r="BH71" s="45"/>
      <c r="BK71" s="45"/>
      <c r="BT71" s="45"/>
      <c r="BU71" s="45"/>
      <c r="CK71" s="10"/>
      <c r="EF71" s="20"/>
      <c r="FD71" s="21"/>
      <c r="FE71" s="21"/>
      <c r="FN71" s="22"/>
      <c r="FO71" s="22"/>
      <c r="FZ71" s="23"/>
      <c r="GA71" s="23"/>
      <c r="JD71" s="26"/>
      <c r="JE71" s="26"/>
      <c r="JF71" s="27"/>
      <c r="JG71" s="27"/>
      <c r="KL71" s="28"/>
      <c r="KP71" s="28"/>
      <c r="KT71" s="28"/>
      <c r="KX71" s="28"/>
      <c r="LB71" s="28"/>
      <c r="LF71" s="28"/>
      <c r="LJ71" s="28"/>
    </row>
    <row r="72" spans="1:328" ht="13.2">
      <c r="A72" s="42"/>
      <c r="B72" s="42"/>
      <c r="C72" s="42"/>
      <c r="D72" s="52"/>
      <c r="E72" s="52"/>
      <c r="O72" s="43"/>
      <c r="P72" s="47" t="s">
        <v>744</v>
      </c>
      <c r="AL72" s="44"/>
      <c r="AM72" s="44"/>
      <c r="AN72" s="44"/>
      <c r="AO72" s="44"/>
      <c r="AP72" s="44"/>
      <c r="AQ72" s="44"/>
      <c r="AR72" s="44"/>
      <c r="AS72" s="44"/>
      <c r="AT72" s="45"/>
      <c r="AY72" s="45"/>
      <c r="BH72" s="45"/>
      <c r="BK72" s="45"/>
      <c r="BT72" s="45"/>
      <c r="BU72" s="45"/>
      <c r="CK72" s="10"/>
      <c r="EF72" s="20"/>
      <c r="FD72" s="21"/>
      <c r="FE72" s="21"/>
      <c r="FN72" s="22"/>
      <c r="FO72" s="22"/>
      <c r="FZ72" s="23"/>
      <c r="GA72" s="23"/>
      <c r="JD72" s="26"/>
      <c r="JE72" s="26"/>
      <c r="JF72" s="27"/>
      <c r="JG72" s="27"/>
      <c r="KL72" s="28"/>
      <c r="KP72" s="28"/>
      <c r="KT72" s="28"/>
      <c r="KX72" s="28"/>
      <c r="LB72" s="28"/>
      <c r="LF72" s="28"/>
      <c r="LJ72" s="28"/>
    </row>
    <row r="73" spans="1:328" ht="13.2">
      <c r="A73" s="42"/>
      <c r="B73" s="42"/>
      <c r="C73" s="42"/>
      <c r="D73" s="52"/>
      <c r="E73" s="52"/>
      <c r="O73" s="43"/>
      <c r="AL73" s="44"/>
      <c r="AM73" s="44"/>
      <c r="AN73" s="44"/>
      <c r="AO73" s="44"/>
      <c r="AP73" s="44"/>
      <c r="AQ73" s="44"/>
      <c r="AR73" s="44"/>
      <c r="AS73" s="44"/>
      <c r="AT73" s="45"/>
      <c r="AY73" s="45"/>
      <c r="BH73" s="45"/>
      <c r="BK73" s="45"/>
      <c r="BT73" s="45"/>
      <c r="BU73" s="45"/>
      <c r="CK73" s="10"/>
      <c r="EF73" s="20"/>
      <c r="FD73" s="21"/>
      <c r="FE73" s="21"/>
      <c r="FN73" s="22"/>
      <c r="FO73" s="22"/>
      <c r="FZ73" s="23"/>
      <c r="GA73" s="23"/>
      <c r="JD73" s="26"/>
      <c r="JE73" s="26"/>
      <c r="JF73" s="27"/>
      <c r="JG73" s="27"/>
      <c r="KL73" s="28"/>
      <c r="KP73" s="28"/>
      <c r="KT73" s="28"/>
      <c r="KX73" s="28"/>
      <c r="LB73" s="28"/>
      <c r="LF73" s="28"/>
      <c r="LJ73" s="28"/>
    </row>
    <row r="74" spans="1:328" ht="13.2">
      <c r="A74" s="42"/>
      <c r="B74" s="42"/>
      <c r="C74" s="42"/>
      <c r="D74" s="52"/>
      <c r="E74" s="52"/>
      <c r="O74" s="43"/>
      <c r="AL74" s="44"/>
      <c r="AM74" s="44"/>
      <c r="AN74" s="44"/>
      <c r="AO74" s="44"/>
      <c r="AP74" s="44"/>
      <c r="AQ74" s="44"/>
      <c r="AR74" s="44"/>
      <c r="AS74" s="44"/>
      <c r="AT74" s="45"/>
      <c r="AY74" s="45"/>
      <c r="BH74" s="45"/>
      <c r="BK74" s="45"/>
      <c r="BT74" s="45"/>
      <c r="BU74" s="45"/>
      <c r="CK74" s="10"/>
      <c r="EF74" s="20"/>
      <c r="FD74" s="21"/>
      <c r="FE74" s="21"/>
      <c r="FN74" s="22"/>
      <c r="FO74" s="22"/>
      <c r="FZ74" s="23"/>
      <c r="GA74" s="23"/>
      <c r="JD74" s="26"/>
      <c r="JE74" s="26"/>
      <c r="JF74" s="27"/>
      <c r="JG74" s="27"/>
      <c r="KL74" s="28"/>
      <c r="KP74" s="28"/>
      <c r="KT74" s="28"/>
      <c r="KX74" s="28"/>
      <c r="LB74" s="28"/>
      <c r="LF74" s="28"/>
      <c r="LJ74" s="28"/>
    </row>
    <row r="75" spans="1:328" ht="13.2">
      <c r="A75" s="42"/>
      <c r="B75" s="42"/>
      <c r="C75" s="42"/>
      <c r="D75" s="52"/>
      <c r="E75" s="52"/>
      <c r="O75" s="43"/>
      <c r="AL75" s="44"/>
      <c r="AM75" s="44"/>
      <c r="AN75" s="44"/>
      <c r="AO75" s="44"/>
      <c r="AP75" s="44"/>
      <c r="AQ75" s="44"/>
      <c r="AR75" s="44"/>
      <c r="AS75" s="44"/>
      <c r="AT75" s="45"/>
      <c r="AY75" s="45"/>
      <c r="BH75" s="45"/>
      <c r="BK75" s="45"/>
      <c r="BT75" s="45"/>
      <c r="BU75" s="45"/>
      <c r="CK75" s="10"/>
      <c r="EF75" s="20"/>
      <c r="FD75" s="21"/>
      <c r="FE75" s="21"/>
      <c r="FN75" s="22"/>
      <c r="FO75" s="22"/>
      <c r="FZ75" s="23"/>
      <c r="GA75" s="23"/>
      <c r="JD75" s="26"/>
      <c r="JE75" s="26"/>
      <c r="JF75" s="27"/>
      <c r="JG75" s="27"/>
      <c r="KL75" s="28"/>
      <c r="KP75" s="28"/>
      <c r="KT75" s="28"/>
      <c r="KX75" s="28"/>
      <c r="LB75" s="28"/>
      <c r="LF75" s="28"/>
      <c r="LJ75" s="28"/>
    </row>
    <row r="76" spans="1:328" ht="13.2">
      <c r="A76" s="42"/>
      <c r="B76" s="42"/>
      <c r="C76" s="42"/>
      <c r="D76" s="52"/>
      <c r="E76" s="52"/>
      <c r="O76" s="43"/>
      <c r="AL76" s="44"/>
      <c r="AM76" s="44"/>
      <c r="AN76" s="44"/>
      <c r="AO76" s="44"/>
      <c r="AP76" s="44"/>
      <c r="AQ76" s="44"/>
      <c r="AR76" s="44"/>
      <c r="AS76" s="44"/>
      <c r="AT76" s="45"/>
      <c r="AY76" s="45"/>
      <c r="BH76" s="45"/>
      <c r="BK76" s="45"/>
      <c r="BT76" s="45"/>
      <c r="BU76" s="45"/>
      <c r="CK76" s="10"/>
      <c r="EF76" s="20"/>
      <c r="FD76" s="21"/>
      <c r="FE76" s="21"/>
      <c r="FN76" s="22"/>
      <c r="FO76" s="22"/>
      <c r="FZ76" s="23"/>
      <c r="GA76" s="23"/>
      <c r="JD76" s="26"/>
      <c r="JE76" s="26"/>
      <c r="JF76" s="27"/>
      <c r="JG76" s="27"/>
      <c r="KL76" s="28"/>
      <c r="KP76" s="28"/>
      <c r="KT76" s="28"/>
      <c r="KX76" s="28"/>
      <c r="LB76" s="28"/>
      <c r="LF76" s="28"/>
      <c r="LJ76" s="28"/>
    </row>
    <row r="77" spans="1:328" ht="13.2">
      <c r="A77" s="42"/>
      <c r="B77" s="42"/>
      <c r="C77" s="42"/>
      <c r="D77" s="52"/>
      <c r="E77" s="52"/>
      <c r="O77" s="43"/>
      <c r="AL77" s="44"/>
      <c r="AM77" s="44"/>
      <c r="AN77" s="44"/>
      <c r="AO77" s="44"/>
      <c r="AP77" s="44"/>
      <c r="AQ77" s="44"/>
      <c r="AR77" s="44"/>
      <c r="AS77" s="44"/>
      <c r="AT77" s="45"/>
      <c r="AY77" s="45"/>
      <c r="BH77" s="45"/>
      <c r="BK77" s="45"/>
      <c r="BT77" s="45"/>
      <c r="BU77" s="45"/>
      <c r="CK77" s="10"/>
      <c r="EF77" s="20"/>
      <c r="FD77" s="21"/>
      <c r="FE77" s="21"/>
      <c r="FN77" s="22"/>
      <c r="FO77" s="22"/>
      <c r="FZ77" s="23"/>
      <c r="GA77" s="23"/>
      <c r="JD77" s="26"/>
      <c r="JE77" s="26"/>
      <c r="JF77" s="27"/>
      <c r="JG77" s="27"/>
      <c r="KL77" s="28"/>
      <c r="KP77" s="28"/>
      <c r="KT77" s="28"/>
      <c r="KX77" s="28"/>
      <c r="LB77" s="28"/>
      <c r="LF77" s="28"/>
      <c r="LJ77" s="28"/>
    </row>
    <row r="78" spans="1:328" ht="13.2">
      <c r="A78" s="42"/>
      <c r="B78" s="42"/>
      <c r="C78" s="42"/>
      <c r="D78" s="52"/>
      <c r="E78" s="52"/>
      <c r="O78" s="43"/>
      <c r="AL78" s="44"/>
      <c r="AM78" s="44"/>
      <c r="AN78" s="44"/>
      <c r="AO78" s="44"/>
      <c r="AP78" s="44"/>
      <c r="AQ78" s="44"/>
      <c r="AR78" s="44"/>
      <c r="AS78" s="44"/>
      <c r="AT78" s="45"/>
      <c r="AY78" s="45"/>
      <c r="BH78" s="45"/>
      <c r="BK78" s="45"/>
      <c r="BT78" s="45"/>
      <c r="BU78" s="45"/>
      <c r="CK78" s="10"/>
      <c r="EF78" s="20"/>
      <c r="FD78" s="21"/>
      <c r="FE78" s="21"/>
      <c r="FN78" s="22"/>
      <c r="FO78" s="22"/>
      <c r="FZ78" s="23"/>
      <c r="GA78" s="23"/>
      <c r="JD78" s="26"/>
      <c r="JE78" s="26"/>
      <c r="JF78" s="27"/>
      <c r="JG78" s="27"/>
      <c r="KL78" s="28"/>
      <c r="KP78" s="28"/>
      <c r="KT78" s="28"/>
      <c r="KX78" s="28"/>
      <c r="LB78" s="28"/>
      <c r="LF78" s="28"/>
      <c r="LJ78" s="28"/>
    </row>
    <row r="79" spans="1:328" ht="13.2">
      <c r="A79" s="42"/>
      <c r="B79" s="42"/>
      <c r="C79" s="42"/>
      <c r="D79" s="52"/>
      <c r="E79" s="52"/>
      <c r="O79" s="43"/>
      <c r="AL79" s="44"/>
      <c r="AM79" s="44"/>
      <c r="AN79" s="44"/>
      <c r="AO79" s="44"/>
      <c r="AP79" s="44"/>
      <c r="AQ79" s="44"/>
      <c r="AR79" s="44"/>
      <c r="AS79" s="44"/>
      <c r="AT79" s="45"/>
      <c r="AY79" s="45"/>
      <c r="BH79" s="45"/>
      <c r="BK79" s="45"/>
      <c r="BT79" s="45"/>
      <c r="BU79" s="45"/>
      <c r="CK79" s="10"/>
      <c r="EF79" s="20"/>
      <c r="FD79" s="21"/>
      <c r="FE79" s="21"/>
      <c r="FN79" s="22"/>
      <c r="FO79" s="22"/>
      <c r="FZ79" s="23"/>
      <c r="GA79" s="23"/>
      <c r="JD79" s="26"/>
      <c r="JE79" s="26"/>
      <c r="JF79" s="27"/>
      <c r="JG79" s="27"/>
      <c r="KL79" s="28"/>
      <c r="KP79" s="28"/>
      <c r="KT79" s="28"/>
      <c r="KX79" s="28"/>
      <c r="LB79" s="28"/>
      <c r="LF79" s="28"/>
      <c r="LJ79" s="28"/>
    </row>
    <row r="80" spans="1:328" ht="13.2">
      <c r="A80" s="42"/>
      <c r="B80" s="42"/>
      <c r="C80" s="42"/>
      <c r="D80" s="52"/>
      <c r="E80" s="52"/>
      <c r="O80" s="43"/>
      <c r="AL80" s="44"/>
      <c r="AM80" s="44"/>
      <c r="AN80" s="44"/>
      <c r="AO80" s="44"/>
      <c r="AP80" s="44"/>
      <c r="AQ80" s="44"/>
      <c r="AR80" s="44"/>
      <c r="AS80" s="44"/>
      <c r="AT80" s="45"/>
      <c r="AY80" s="45"/>
      <c r="BH80" s="45"/>
      <c r="BK80" s="45"/>
      <c r="BT80" s="45"/>
      <c r="BU80" s="45"/>
      <c r="CK80" s="10"/>
      <c r="EF80" s="20"/>
      <c r="FD80" s="21"/>
      <c r="FE80" s="21"/>
      <c r="FN80" s="22"/>
      <c r="FO80" s="22"/>
      <c r="FZ80" s="23"/>
      <c r="GA80" s="23"/>
      <c r="JD80" s="26"/>
      <c r="JE80" s="26"/>
      <c r="JF80" s="27"/>
      <c r="JG80" s="27"/>
      <c r="KL80" s="28"/>
      <c r="KP80" s="28"/>
      <c r="KT80" s="28"/>
      <c r="KX80" s="28"/>
      <c r="LB80" s="28"/>
      <c r="LF80" s="28"/>
      <c r="LJ80" s="28"/>
    </row>
    <row r="81" spans="1:322" ht="13.2">
      <c r="A81" s="42"/>
      <c r="B81" s="42"/>
      <c r="C81" s="42"/>
      <c r="D81" s="52"/>
      <c r="E81" s="52"/>
      <c r="O81" s="43"/>
      <c r="AL81" s="44"/>
      <c r="AM81" s="44"/>
      <c r="AN81" s="44"/>
      <c r="AO81" s="44"/>
      <c r="AP81" s="44"/>
      <c r="AQ81" s="44"/>
      <c r="AR81" s="44"/>
      <c r="AS81" s="44"/>
      <c r="AT81" s="45"/>
      <c r="AY81" s="45"/>
      <c r="BH81" s="45"/>
      <c r="BK81" s="45"/>
      <c r="BT81" s="45"/>
      <c r="BU81" s="45"/>
      <c r="CK81" s="10"/>
      <c r="EF81" s="20"/>
      <c r="FD81" s="21"/>
      <c r="FE81" s="21"/>
      <c r="FN81" s="22"/>
      <c r="FO81" s="22"/>
      <c r="FZ81" s="23"/>
      <c r="GA81" s="23"/>
      <c r="JD81" s="26"/>
      <c r="JE81" s="26"/>
      <c r="JF81" s="27"/>
      <c r="JG81" s="27"/>
      <c r="KL81" s="28"/>
      <c r="KP81" s="28"/>
      <c r="KT81" s="28"/>
      <c r="KX81" s="28"/>
      <c r="LB81" s="28"/>
      <c r="LF81" s="28"/>
      <c r="LJ81" s="28"/>
    </row>
    <row r="82" spans="1:322" ht="13.2">
      <c r="A82" s="42"/>
      <c r="B82" s="42"/>
      <c r="C82" s="42"/>
      <c r="D82" s="52"/>
      <c r="E82" s="52"/>
      <c r="O82" s="43"/>
      <c r="AL82" s="44"/>
      <c r="AM82" s="44"/>
      <c r="AN82" s="44"/>
      <c r="AO82" s="44"/>
      <c r="AP82" s="44"/>
      <c r="AQ82" s="44"/>
      <c r="AR82" s="44"/>
      <c r="AS82" s="44"/>
      <c r="AT82" s="45"/>
      <c r="AY82" s="45"/>
      <c r="BH82" s="45"/>
      <c r="BK82" s="45"/>
      <c r="BT82" s="45"/>
      <c r="BU82" s="45"/>
      <c r="CK82" s="10"/>
      <c r="EF82" s="20"/>
      <c r="FD82" s="21"/>
      <c r="FE82" s="21"/>
      <c r="FN82" s="22"/>
      <c r="FO82" s="22"/>
      <c r="FZ82" s="23"/>
      <c r="GA82" s="23"/>
      <c r="JD82" s="26"/>
      <c r="JE82" s="26"/>
      <c r="JF82" s="27"/>
      <c r="JG82" s="27"/>
      <c r="KL82" s="28"/>
      <c r="KP82" s="28"/>
      <c r="KT82" s="28"/>
      <c r="KX82" s="28"/>
      <c r="LB82" s="28"/>
      <c r="LF82" s="28"/>
      <c r="LJ82" s="28"/>
    </row>
    <row r="83" spans="1:322" ht="13.2">
      <c r="A83" s="42"/>
      <c r="B83" s="42"/>
      <c r="C83" s="42"/>
      <c r="D83" s="52"/>
      <c r="E83" s="52"/>
      <c r="O83" s="43"/>
      <c r="AL83" s="44"/>
      <c r="AM83" s="44"/>
      <c r="AN83" s="44"/>
      <c r="AO83" s="44"/>
      <c r="AP83" s="44"/>
      <c r="AQ83" s="44"/>
      <c r="AR83" s="44"/>
      <c r="AS83" s="44"/>
      <c r="AT83" s="45"/>
      <c r="AY83" s="45"/>
      <c r="BH83" s="45"/>
      <c r="BK83" s="45"/>
      <c r="BT83" s="45"/>
      <c r="BU83" s="45"/>
      <c r="CK83" s="10"/>
      <c r="EF83" s="20"/>
      <c r="FD83" s="21"/>
      <c r="FE83" s="21"/>
      <c r="FN83" s="22"/>
      <c r="FO83" s="22"/>
      <c r="FZ83" s="23"/>
      <c r="GA83" s="23"/>
      <c r="JD83" s="26"/>
      <c r="JE83" s="26"/>
      <c r="JF83" s="27"/>
      <c r="JG83" s="27"/>
      <c r="KL83" s="28"/>
      <c r="KP83" s="28"/>
      <c r="KT83" s="28"/>
      <c r="KX83" s="28"/>
      <c r="LB83" s="28"/>
      <c r="LF83" s="28"/>
      <c r="LJ83" s="28"/>
    </row>
    <row r="84" spans="1:322" ht="13.2">
      <c r="A84" s="42"/>
      <c r="B84" s="42"/>
      <c r="C84" s="42"/>
      <c r="D84" s="52"/>
      <c r="E84" s="52"/>
      <c r="O84" s="43"/>
      <c r="AL84" s="44"/>
      <c r="AM84" s="44"/>
      <c r="AN84" s="44"/>
      <c r="AO84" s="44"/>
      <c r="AP84" s="44"/>
      <c r="AQ84" s="44"/>
      <c r="AR84" s="44"/>
      <c r="AS84" s="44"/>
      <c r="AT84" s="45"/>
      <c r="AY84" s="45"/>
      <c r="BH84" s="45"/>
      <c r="BK84" s="45"/>
      <c r="BT84" s="45"/>
      <c r="BU84" s="45"/>
      <c r="CK84" s="10"/>
      <c r="EF84" s="20"/>
      <c r="FD84" s="21"/>
      <c r="FE84" s="21"/>
      <c r="FN84" s="22"/>
      <c r="FO84" s="22"/>
      <c r="FZ84" s="23"/>
      <c r="GA84" s="23"/>
      <c r="JD84" s="26"/>
      <c r="JE84" s="26"/>
      <c r="JF84" s="27"/>
      <c r="JG84" s="27"/>
      <c r="KL84" s="28"/>
      <c r="KP84" s="28"/>
      <c r="KT84" s="28"/>
      <c r="KX84" s="28"/>
      <c r="LB84" s="28"/>
      <c r="LF84" s="28"/>
      <c r="LJ84" s="28"/>
    </row>
    <row r="85" spans="1:322" ht="13.2">
      <c r="A85" s="42"/>
      <c r="B85" s="42"/>
      <c r="C85" s="42"/>
      <c r="D85" s="52"/>
      <c r="E85" s="52"/>
      <c r="O85" s="43"/>
      <c r="AL85" s="44"/>
      <c r="AM85" s="44"/>
      <c r="AN85" s="44"/>
      <c r="AO85" s="44"/>
      <c r="AP85" s="44"/>
      <c r="AQ85" s="44"/>
      <c r="AR85" s="44"/>
      <c r="AS85" s="44"/>
      <c r="AT85" s="45"/>
      <c r="AY85" s="45"/>
      <c r="BH85" s="45"/>
      <c r="BK85" s="45"/>
      <c r="BT85" s="45"/>
      <c r="BU85" s="45"/>
      <c r="CK85" s="10"/>
      <c r="EF85" s="20"/>
      <c r="FD85" s="21"/>
      <c r="FE85" s="21"/>
      <c r="FN85" s="22"/>
      <c r="FO85" s="22"/>
      <c r="FZ85" s="23"/>
      <c r="GA85" s="23"/>
      <c r="JD85" s="26"/>
      <c r="JE85" s="26"/>
      <c r="JF85" s="27"/>
      <c r="JG85" s="27"/>
      <c r="KL85" s="28"/>
      <c r="KP85" s="28"/>
      <c r="KT85" s="28"/>
      <c r="KX85" s="28"/>
      <c r="LB85" s="28"/>
      <c r="LF85" s="28"/>
      <c r="LJ85" s="28"/>
    </row>
    <row r="86" spans="1:322" ht="13.2">
      <c r="A86" s="42"/>
      <c r="B86" s="42"/>
      <c r="C86" s="42"/>
      <c r="D86" s="52"/>
      <c r="E86" s="52"/>
      <c r="O86" s="43"/>
      <c r="AL86" s="44"/>
      <c r="AM86" s="44"/>
      <c r="AN86" s="44"/>
      <c r="AO86" s="44"/>
      <c r="AP86" s="44"/>
      <c r="AQ86" s="44"/>
      <c r="AR86" s="44"/>
      <c r="AS86" s="44"/>
      <c r="AT86" s="45"/>
      <c r="AY86" s="45"/>
      <c r="BH86" s="45"/>
      <c r="BK86" s="45"/>
      <c r="BT86" s="45"/>
      <c r="BU86" s="45"/>
      <c r="CK86" s="10"/>
      <c r="EF86" s="20"/>
      <c r="FD86" s="21"/>
      <c r="FE86" s="21"/>
      <c r="FN86" s="22"/>
      <c r="FO86" s="22"/>
      <c r="FZ86" s="23"/>
      <c r="GA86" s="23"/>
      <c r="JD86" s="26"/>
      <c r="JE86" s="26"/>
      <c r="JF86" s="27"/>
      <c r="JG86" s="27"/>
      <c r="KL86" s="28"/>
      <c r="KP86" s="28"/>
      <c r="KT86" s="28"/>
      <c r="KX86" s="28"/>
      <c r="LB86" s="28"/>
      <c r="LF86" s="28"/>
      <c r="LJ86" s="28"/>
    </row>
    <row r="87" spans="1:322" ht="13.2">
      <c r="A87" s="42"/>
      <c r="B87" s="42"/>
      <c r="C87" s="42"/>
      <c r="D87" s="52"/>
      <c r="E87" s="52"/>
      <c r="O87" s="43"/>
      <c r="AL87" s="44"/>
      <c r="AM87" s="44"/>
      <c r="AN87" s="44"/>
      <c r="AO87" s="44"/>
      <c r="AP87" s="44"/>
      <c r="AQ87" s="44"/>
      <c r="AR87" s="44"/>
      <c r="AS87" s="44"/>
      <c r="AT87" s="45"/>
      <c r="AY87" s="45"/>
      <c r="BH87" s="45"/>
      <c r="BK87" s="45"/>
      <c r="BT87" s="45"/>
      <c r="BU87" s="45"/>
      <c r="CK87" s="10"/>
      <c r="EF87" s="20"/>
      <c r="FD87" s="21"/>
      <c r="FE87" s="21"/>
      <c r="FN87" s="22"/>
      <c r="FO87" s="22"/>
      <c r="FZ87" s="23"/>
      <c r="GA87" s="23"/>
      <c r="JD87" s="26"/>
      <c r="JE87" s="26"/>
      <c r="JF87" s="27"/>
      <c r="JG87" s="27"/>
      <c r="KL87" s="28"/>
      <c r="KP87" s="28"/>
      <c r="KT87" s="28"/>
      <c r="KX87" s="28"/>
      <c r="LB87" s="28"/>
      <c r="LF87" s="28"/>
      <c r="LJ87" s="28"/>
    </row>
    <row r="88" spans="1:322" ht="13.2">
      <c r="A88" s="42"/>
      <c r="B88" s="42"/>
      <c r="C88" s="42"/>
      <c r="D88" s="52"/>
      <c r="E88" s="52"/>
      <c r="O88" s="43"/>
      <c r="AL88" s="44"/>
      <c r="AM88" s="44"/>
      <c r="AN88" s="44"/>
      <c r="AO88" s="44"/>
      <c r="AP88" s="44"/>
      <c r="AQ88" s="44"/>
      <c r="AR88" s="44"/>
      <c r="AS88" s="44"/>
      <c r="AT88" s="45"/>
      <c r="AY88" s="45"/>
      <c r="BH88" s="45"/>
      <c r="BK88" s="45"/>
      <c r="BT88" s="45"/>
      <c r="BU88" s="45"/>
      <c r="CK88" s="10"/>
      <c r="EF88" s="20"/>
      <c r="FD88" s="21"/>
      <c r="FE88" s="21"/>
      <c r="FN88" s="22"/>
      <c r="FO88" s="22"/>
      <c r="FZ88" s="23"/>
      <c r="GA88" s="23"/>
      <c r="JD88" s="26"/>
      <c r="JE88" s="26"/>
      <c r="JF88" s="27"/>
      <c r="JG88" s="27"/>
      <c r="KL88" s="28"/>
      <c r="KP88" s="28"/>
      <c r="KT88" s="28"/>
      <c r="KX88" s="28"/>
      <c r="LB88" s="28"/>
      <c r="LF88" s="28"/>
      <c r="LJ88" s="28"/>
    </row>
    <row r="89" spans="1:322" ht="13.2">
      <c r="A89" s="42"/>
      <c r="B89" s="42"/>
      <c r="C89" s="42"/>
      <c r="D89" s="52"/>
      <c r="E89" s="52"/>
      <c r="O89" s="43"/>
      <c r="AL89" s="44"/>
      <c r="AM89" s="44"/>
      <c r="AN89" s="44"/>
      <c r="AO89" s="44"/>
      <c r="AP89" s="44"/>
      <c r="AQ89" s="44"/>
      <c r="AR89" s="44"/>
      <c r="AS89" s="44"/>
      <c r="AT89" s="45"/>
      <c r="AY89" s="45"/>
      <c r="BH89" s="45"/>
      <c r="BK89" s="45"/>
      <c r="BT89" s="45"/>
      <c r="BU89" s="45"/>
      <c r="CK89" s="10"/>
      <c r="EF89" s="20"/>
      <c r="FD89" s="21"/>
      <c r="FE89" s="21"/>
      <c r="FN89" s="22"/>
      <c r="FO89" s="22"/>
      <c r="FZ89" s="23"/>
      <c r="GA89" s="23"/>
      <c r="JD89" s="26"/>
      <c r="JE89" s="26"/>
      <c r="JF89" s="27"/>
      <c r="JG89" s="27"/>
      <c r="KL89" s="28"/>
      <c r="KP89" s="28"/>
      <c r="KT89" s="28"/>
      <c r="KX89" s="28"/>
      <c r="LB89" s="28"/>
      <c r="LF89" s="28"/>
      <c r="LJ89" s="28"/>
    </row>
    <row r="90" spans="1:322" ht="13.2">
      <c r="A90" s="42"/>
      <c r="B90" s="42"/>
      <c r="C90" s="42"/>
      <c r="D90" s="52"/>
      <c r="E90" s="52"/>
      <c r="O90" s="43"/>
      <c r="AL90" s="44"/>
      <c r="AM90" s="44"/>
      <c r="AN90" s="44"/>
      <c r="AO90" s="44"/>
      <c r="AP90" s="44"/>
      <c r="AQ90" s="44"/>
      <c r="AR90" s="44"/>
      <c r="AS90" s="44"/>
      <c r="AT90" s="45"/>
      <c r="AY90" s="45"/>
      <c r="BH90" s="45"/>
      <c r="BK90" s="45"/>
      <c r="BT90" s="45"/>
      <c r="BU90" s="45"/>
      <c r="CK90" s="10"/>
      <c r="EF90" s="20"/>
      <c r="FD90" s="21"/>
      <c r="FE90" s="21"/>
      <c r="FN90" s="22"/>
      <c r="FO90" s="22"/>
      <c r="FZ90" s="23"/>
      <c r="GA90" s="23"/>
      <c r="JD90" s="26"/>
      <c r="JE90" s="26"/>
      <c r="JF90" s="27"/>
      <c r="JG90" s="27"/>
      <c r="KL90" s="28"/>
      <c r="KP90" s="28"/>
      <c r="KT90" s="28"/>
      <c r="KX90" s="28"/>
      <c r="LB90" s="28"/>
      <c r="LF90" s="28"/>
      <c r="LJ90" s="28"/>
    </row>
    <row r="91" spans="1:322" ht="13.2">
      <c r="A91" s="42"/>
      <c r="B91" s="42"/>
      <c r="C91" s="42"/>
      <c r="D91" s="52"/>
      <c r="E91" s="52"/>
      <c r="O91" s="43"/>
      <c r="AL91" s="44"/>
      <c r="AM91" s="44"/>
      <c r="AN91" s="44"/>
      <c r="AO91" s="44"/>
      <c r="AP91" s="44"/>
      <c r="AQ91" s="44"/>
      <c r="AR91" s="44"/>
      <c r="AS91" s="44"/>
      <c r="AT91" s="45"/>
      <c r="AY91" s="45"/>
      <c r="BH91" s="45"/>
      <c r="BK91" s="45"/>
      <c r="BT91" s="45"/>
      <c r="BU91" s="45"/>
      <c r="CK91" s="10"/>
      <c r="EF91" s="20"/>
      <c r="FD91" s="21"/>
      <c r="FE91" s="21"/>
      <c r="FN91" s="22"/>
      <c r="FO91" s="22"/>
      <c r="FZ91" s="23"/>
      <c r="GA91" s="23"/>
      <c r="JD91" s="26"/>
      <c r="JE91" s="26"/>
      <c r="JF91" s="27"/>
      <c r="JG91" s="27"/>
      <c r="KL91" s="28"/>
      <c r="KP91" s="28"/>
      <c r="KT91" s="28"/>
      <c r="KX91" s="28"/>
      <c r="LB91" s="28"/>
      <c r="LF91" s="28"/>
      <c r="LJ91" s="28"/>
    </row>
    <row r="92" spans="1:322" ht="13.2">
      <c r="A92" s="42"/>
      <c r="B92" s="42"/>
      <c r="C92" s="42"/>
      <c r="D92" s="52"/>
      <c r="E92" s="52"/>
      <c r="O92" s="43"/>
      <c r="AL92" s="44"/>
      <c r="AM92" s="44"/>
      <c r="AN92" s="44"/>
      <c r="AO92" s="44"/>
      <c r="AP92" s="44"/>
      <c r="AQ92" s="44"/>
      <c r="AR92" s="44"/>
      <c r="AS92" s="44"/>
      <c r="AT92" s="45"/>
      <c r="AY92" s="45"/>
      <c r="BH92" s="45"/>
      <c r="BK92" s="45"/>
      <c r="BT92" s="45"/>
      <c r="BU92" s="45"/>
      <c r="CK92" s="10"/>
      <c r="EF92" s="20"/>
      <c r="FD92" s="21"/>
      <c r="FE92" s="21"/>
      <c r="FN92" s="22"/>
      <c r="FO92" s="22"/>
      <c r="FZ92" s="23"/>
      <c r="GA92" s="23"/>
      <c r="JD92" s="26"/>
      <c r="JE92" s="26"/>
      <c r="JF92" s="27"/>
      <c r="JG92" s="27"/>
      <c r="KL92" s="28"/>
      <c r="KP92" s="28"/>
      <c r="KT92" s="28"/>
      <c r="KX92" s="28"/>
      <c r="LB92" s="28"/>
      <c r="LF92" s="28"/>
      <c r="LJ92" s="28"/>
    </row>
    <row r="93" spans="1:322" ht="13.2">
      <c r="A93" s="42"/>
      <c r="B93" s="42"/>
      <c r="C93" s="42"/>
      <c r="D93" s="52"/>
      <c r="E93" s="52"/>
      <c r="O93" s="43"/>
      <c r="AL93" s="44"/>
      <c r="AM93" s="44"/>
      <c r="AN93" s="44"/>
      <c r="AO93" s="44"/>
      <c r="AP93" s="44"/>
      <c r="AQ93" s="44"/>
      <c r="AR93" s="44"/>
      <c r="AS93" s="44"/>
      <c r="AT93" s="45"/>
      <c r="AY93" s="45"/>
      <c r="BH93" s="45"/>
      <c r="BK93" s="45"/>
      <c r="BT93" s="45"/>
      <c r="BU93" s="45"/>
      <c r="CK93" s="10"/>
      <c r="EF93" s="20"/>
      <c r="FD93" s="21"/>
      <c r="FE93" s="21"/>
      <c r="FN93" s="22"/>
      <c r="FO93" s="22"/>
      <c r="FZ93" s="23"/>
      <c r="GA93" s="23"/>
      <c r="JD93" s="26"/>
      <c r="JE93" s="26"/>
      <c r="JF93" s="27"/>
      <c r="JG93" s="27"/>
      <c r="KL93" s="28"/>
      <c r="KP93" s="28"/>
      <c r="KT93" s="28"/>
      <c r="KX93" s="28"/>
      <c r="LB93" s="28"/>
      <c r="LF93" s="28"/>
      <c r="LJ93" s="28"/>
    </row>
    <row r="94" spans="1:322" ht="13.2">
      <c r="A94" s="42"/>
      <c r="B94" s="42"/>
      <c r="C94" s="42"/>
      <c r="D94" s="52"/>
      <c r="E94" s="52"/>
      <c r="O94" s="43"/>
      <c r="AL94" s="44"/>
      <c r="AM94" s="44"/>
      <c r="AN94" s="44"/>
      <c r="AO94" s="44"/>
      <c r="AP94" s="44"/>
      <c r="AQ94" s="44"/>
      <c r="AR94" s="44"/>
      <c r="AS94" s="44"/>
      <c r="AT94" s="45"/>
      <c r="AY94" s="45"/>
      <c r="BH94" s="45"/>
      <c r="BK94" s="45"/>
      <c r="BT94" s="45"/>
      <c r="BU94" s="45"/>
      <c r="CK94" s="10"/>
      <c r="EF94" s="20"/>
      <c r="FD94" s="21"/>
      <c r="FE94" s="21"/>
      <c r="FN94" s="22"/>
      <c r="FO94" s="22"/>
      <c r="FZ94" s="23"/>
      <c r="GA94" s="23"/>
      <c r="JD94" s="26"/>
      <c r="JE94" s="26"/>
      <c r="JF94" s="27"/>
      <c r="JG94" s="27"/>
      <c r="KL94" s="28"/>
      <c r="KP94" s="28"/>
      <c r="KT94" s="28"/>
      <c r="KX94" s="28"/>
      <c r="LB94" s="28"/>
      <c r="LF94" s="28"/>
      <c r="LJ94" s="28"/>
    </row>
    <row r="95" spans="1:322" ht="13.2">
      <c r="A95" s="42"/>
      <c r="B95" s="42"/>
      <c r="C95" s="42"/>
      <c r="D95" s="52"/>
      <c r="E95" s="52"/>
      <c r="O95" s="43"/>
      <c r="AL95" s="44"/>
      <c r="AM95" s="44"/>
      <c r="AN95" s="44"/>
      <c r="AO95" s="44"/>
      <c r="AP95" s="44"/>
      <c r="AQ95" s="44"/>
      <c r="AR95" s="44"/>
      <c r="AS95" s="44"/>
      <c r="AT95" s="45"/>
      <c r="AY95" s="45"/>
      <c r="BH95" s="45"/>
      <c r="BK95" s="45"/>
      <c r="BT95" s="45"/>
      <c r="BU95" s="45"/>
      <c r="CK95" s="10"/>
      <c r="EF95" s="20"/>
      <c r="FD95" s="21"/>
      <c r="FE95" s="21"/>
      <c r="FN95" s="22"/>
      <c r="FO95" s="22"/>
      <c r="FZ95" s="23"/>
      <c r="GA95" s="23"/>
      <c r="JD95" s="26"/>
      <c r="JE95" s="26"/>
      <c r="JF95" s="27"/>
      <c r="JG95" s="27"/>
      <c r="KL95" s="28"/>
      <c r="KP95" s="28"/>
      <c r="KT95" s="28"/>
      <c r="KX95" s="28"/>
      <c r="LB95" s="28"/>
      <c r="LF95" s="28"/>
      <c r="LJ95" s="28"/>
    </row>
    <row r="96" spans="1:322" ht="13.2">
      <c r="A96" s="42"/>
      <c r="B96" s="42"/>
      <c r="C96" s="42"/>
      <c r="D96" s="52"/>
      <c r="E96" s="52"/>
      <c r="O96" s="43"/>
      <c r="AL96" s="44"/>
      <c r="AM96" s="44"/>
      <c r="AN96" s="44"/>
      <c r="AO96" s="44"/>
      <c r="AP96" s="44"/>
      <c r="AQ96" s="44"/>
      <c r="AR96" s="44"/>
      <c r="AS96" s="44"/>
      <c r="AT96" s="45"/>
      <c r="AY96" s="45"/>
      <c r="BH96" s="45"/>
      <c r="BK96" s="45"/>
      <c r="BT96" s="45"/>
      <c r="BU96" s="45"/>
      <c r="CK96" s="10"/>
      <c r="EF96" s="20"/>
      <c r="FD96" s="21"/>
      <c r="FE96" s="21"/>
      <c r="FN96" s="22"/>
      <c r="FO96" s="22"/>
      <c r="FZ96" s="23"/>
      <c r="GA96" s="23"/>
      <c r="JD96" s="26"/>
      <c r="JE96" s="26"/>
      <c r="JF96" s="27"/>
      <c r="JG96" s="27"/>
      <c r="KL96" s="28"/>
      <c r="KP96" s="28"/>
      <c r="KT96" s="28"/>
      <c r="KX96" s="28"/>
      <c r="LB96" s="28"/>
      <c r="LF96" s="28"/>
      <c r="LJ96" s="28"/>
    </row>
    <row r="97" spans="1:322" ht="13.2">
      <c r="A97" s="42"/>
      <c r="B97" s="42"/>
      <c r="C97" s="42"/>
      <c r="D97" s="52"/>
      <c r="E97" s="52"/>
      <c r="O97" s="43"/>
      <c r="AL97" s="44"/>
      <c r="AM97" s="44"/>
      <c r="AN97" s="44"/>
      <c r="AO97" s="44"/>
      <c r="AP97" s="44"/>
      <c r="AQ97" s="44"/>
      <c r="AR97" s="44"/>
      <c r="AS97" s="44"/>
      <c r="AT97" s="45"/>
      <c r="AY97" s="45"/>
      <c r="BH97" s="45"/>
      <c r="BK97" s="45"/>
      <c r="BT97" s="45"/>
      <c r="BU97" s="45"/>
      <c r="CK97" s="10"/>
      <c r="EF97" s="20"/>
      <c r="FD97" s="21"/>
      <c r="FE97" s="21"/>
      <c r="FN97" s="22"/>
      <c r="FO97" s="22"/>
      <c r="FZ97" s="23"/>
      <c r="GA97" s="23"/>
      <c r="JD97" s="26"/>
      <c r="JE97" s="26"/>
      <c r="JF97" s="27"/>
      <c r="JG97" s="27"/>
      <c r="KL97" s="28"/>
      <c r="KP97" s="28"/>
      <c r="KT97" s="28"/>
      <c r="KX97" s="28"/>
      <c r="LB97" s="28"/>
      <c r="LF97" s="28"/>
      <c r="LJ97" s="28"/>
    </row>
    <row r="98" spans="1:322" ht="13.2">
      <c r="A98" s="42"/>
      <c r="B98" s="42"/>
      <c r="C98" s="42"/>
      <c r="D98" s="52"/>
      <c r="E98" s="52"/>
      <c r="O98" s="43"/>
      <c r="AL98" s="44"/>
      <c r="AM98" s="44"/>
      <c r="AN98" s="44"/>
      <c r="AO98" s="44"/>
      <c r="AP98" s="44"/>
      <c r="AQ98" s="44"/>
      <c r="AR98" s="44"/>
      <c r="AS98" s="44"/>
      <c r="AT98" s="45"/>
      <c r="AY98" s="45"/>
      <c r="BH98" s="45"/>
      <c r="BK98" s="45"/>
      <c r="BT98" s="45"/>
      <c r="BU98" s="45"/>
      <c r="CK98" s="10"/>
      <c r="EF98" s="20"/>
      <c r="FD98" s="21"/>
      <c r="FE98" s="21"/>
      <c r="FN98" s="22"/>
      <c r="FO98" s="22"/>
      <c r="FZ98" s="23"/>
      <c r="GA98" s="23"/>
      <c r="JD98" s="26"/>
      <c r="JE98" s="26"/>
      <c r="JF98" s="27"/>
      <c r="JG98" s="27"/>
      <c r="KL98" s="28"/>
      <c r="KP98" s="28"/>
      <c r="KT98" s="28"/>
      <c r="KX98" s="28"/>
      <c r="LB98" s="28"/>
      <c r="LF98" s="28"/>
      <c r="LJ98" s="28"/>
    </row>
    <row r="99" spans="1:322" ht="13.2">
      <c r="A99" s="42"/>
      <c r="B99" s="42"/>
      <c r="C99" s="42"/>
      <c r="D99" s="52"/>
      <c r="E99" s="52"/>
      <c r="O99" s="43"/>
      <c r="AL99" s="44"/>
      <c r="AM99" s="44"/>
      <c r="AN99" s="44"/>
      <c r="AO99" s="44"/>
      <c r="AP99" s="44"/>
      <c r="AQ99" s="44"/>
      <c r="AR99" s="44"/>
      <c r="AS99" s="44"/>
      <c r="AT99" s="45"/>
      <c r="AY99" s="45"/>
      <c r="BH99" s="45"/>
      <c r="BK99" s="45"/>
      <c r="BT99" s="45"/>
      <c r="BU99" s="45"/>
      <c r="CK99" s="10"/>
      <c r="EF99" s="20"/>
      <c r="FD99" s="21"/>
      <c r="FE99" s="21"/>
      <c r="FN99" s="22"/>
      <c r="FO99" s="22"/>
      <c r="FZ99" s="23"/>
      <c r="GA99" s="23"/>
      <c r="JD99" s="26"/>
      <c r="JE99" s="26"/>
      <c r="JF99" s="27"/>
      <c r="JG99" s="27"/>
      <c r="KL99" s="28"/>
      <c r="KP99" s="28"/>
      <c r="KT99" s="28"/>
      <c r="KX99" s="28"/>
      <c r="LB99" s="28"/>
      <c r="LF99" s="28"/>
      <c r="LJ99" s="28"/>
    </row>
    <row r="100" spans="1:322" ht="13.2">
      <c r="A100" s="42"/>
      <c r="B100" s="42"/>
      <c r="C100" s="42"/>
      <c r="D100" s="52"/>
      <c r="E100" s="52"/>
      <c r="O100" s="43"/>
      <c r="AL100" s="44"/>
      <c r="AM100" s="44"/>
      <c r="AN100" s="44"/>
      <c r="AO100" s="44"/>
      <c r="AP100" s="44"/>
      <c r="AQ100" s="44"/>
      <c r="AR100" s="44"/>
      <c r="AS100" s="44"/>
      <c r="AT100" s="45"/>
      <c r="AY100" s="45"/>
      <c r="BH100" s="45"/>
      <c r="BK100" s="45"/>
      <c r="BT100" s="45"/>
      <c r="BU100" s="45"/>
      <c r="CK100" s="10"/>
      <c r="EF100" s="20"/>
      <c r="FD100" s="21"/>
      <c r="FE100" s="21"/>
      <c r="FN100" s="22"/>
      <c r="FO100" s="22"/>
      <c r="FZ100" s="23"/>
      <c r="GA100" s="23"/>
      <c r="JD100" s="26"/>
      <c r="JE100" s="26"/>
      <c r="JF100" s="27"/>
      <c r="JG100" s="27"/>
      <c r="KL100" s="28"/>
      <c r="KP100" s="28"/>
      <c r="KT100" s="28"/>
      <c r="KX100" s="28"/>
      <c r="LB100" s="28"/>
      <c r="LF100" s="28"/>
      <c r="LJ100" s="28"/>
    </row>
    <row r="101" spans="1:322" ht="13.2">
      <c r="A101" s="42"/>
      <c r="B101" s="42"/>
      <c r="C101" s="42"/>
      <c r="D101" s="52"/>
      <c r="E101" s="52"/>
      <c r="O101" s="43"/>
      <c r="AL101" s="44"/>
      <c r="AM101" s="44"/>
      <c r="AN101" s="44"/>
      <c r="AO101" s="44"/>
      <c r="AP101" s="44"/>
      <c r="AQ101" s="44"/>
      <c r="AR101" s="44"/>
      <c r="AS101" s="44"/>
      <c r="AT101" s="45"/>
      <c r="AY101" s="45"/>
      <c r="BH101" s="45"/>
      <c r="BK101" s="45"/>
      <c r="BT101" s="45"/>
      <c r="BU101" s="45"/>
      <c r="CK101" s="10"/>
      <c r="EF101" s="20"/>
      <c r="FD101" s="21"/>
      <c r="FE101" s="21"/>
      <c r="FN101" s="22"/>
      <c r="FO101" s="22"/>
      <c r="FZ101" s="23"/>
      <c r="GA101" s="23"/>
      <c r="JD101" s="26"/>
      <c r="JE101" s="26"/>
      <c r="JF101" s="27"/>
      <c r="JG101" s="27"/>
      <c r="KL101" s="28"/>
      <c r="KP101" s="28"/>
      <c r="KT101" s="28"/>
      <c r="KX101" s="28"/>
      <c r="LB101" s="28"/>
      <c r="LF101" s="28"/>
      <c r="LJ101" s="28"/>
    </row>
    <row r="102" spans="1:322" ht="13.2">
      <c r="A102" s="42"/>
      <c r="B102" s="42"/>
      <c r="C102" s="42"/>
      <c r="D102" s="52"/>
      <c r="E102" s="52"/>
      <c r="O102" s="43"/>
      <c r="AL102" s="44"/>
      <c r="AM102" s="44"/>
      <c r="AN102" s="44"/>
      <c r="AO102" s="44"/>
      <c r="AP102" s="44"/>
      <c r="AQ102" s="44"/>
      <c r="AR102" s="44"/>
      <c r="AS102" s="44"/>
      <c r="AT102" s="45"/>
      <c r="AY102" s="45"/>
      <c r="BH102" s="45"/>
      <c r="BK102" s="45"/>
      <c r="BT102" s="45"/>
      <c r="BU102" s="45"/>
      <c r="CK102" s="10"/>
      <c r="EF102" s="20"/>
      <c r="FD102" s="21"/>
      <c r="FE102" s="21"/>
      <c r="FN102" s="22"/>
      <c r="FO102" s="22"/>
      <c r="FZ102" s="23"/>
      <c r="GA102" s="23"/>
      <c r="JD102" s="26"/>
      <c r="JE102" s="26"/>
      <c r="JF102" s="27"/>
      <c r="JG102" s="27"/>
      <c r="KL102" s="28"/>
      <c r="KP102" s="28"/>
      <c r="KT102" s="28"/>
      <c r="KX102" s="28"/>
      <c r="LB102" s="28"/>
      <c r="LF102" s="28"/>
      <c r="LJ102" s="28"/>
    </row>
    <row r="103" spans="1:322" ht="13.2">
      <c r="A103" s="42"/>
      <c r="B103" s="42"/>
      <c r="C103" s="42"/>
      <c r="D103" s="52"/>
      <c r="E103" s="52"/>
      <c r="O103" s="43"/>
      <c r="AL103" s="44"/>
      <c r="AM103" s="44"/>
      <c r="AN103" s="44"/>
      <c r="AO103" s="44"/>
      <c r="AP103" s="44"/>
      <c r="AQ103" s="44"/>
      <c r="AR103" s="44"/>
      <c r="AS103" s="44"/>
      <c r="AT103" s="45"/>
      <c r="AY103" s="45"/>
      <c r="BH103" s="45"/>
      <c r="BK103" s="45"/>
      <c r="BT103" s="45"/>
      <c r="BU103" s="45"/>
      <c r="CK103" s="10"/>
      <c r="EF103" s="20"/>
      <c r="FD103" s="21"/>
      <c r="FE103" s="21"/>
      <c r="FN103" s="22"/>
      <c r="FO103" s="22"/>
      <c r="FZ103" s="23"/>
      <c r="GA103" s="23"/>
      <c r="JD103" s="26"/>
      <c r="JE103" s="26"/>
      <c r="JF103" s="27"/>
      <c r="JG103" s="27"/>
      <c r="KL103" s="28"/>
      <c r="KP103" s="28"/>
      <c r="KT103" s="28"/>
      <c r="KX103" s="28"/>
      <c r="LB103" s="28"/>
      <c r="LF103" s="28"/>
      <c r="LJ103" s="28"/>
    </row>
    <row r="104" spans="1:322" ht="13.2">
      <c r="A104" s="42"/>
      <c r="B104" s="42"/>
      <c r="C104" s="42"/>
      <c r="D104" s="52"/>
      <c r="E104" s="52"/>
      <c r="O104" s="43"/>
      <c r="AL104" s="44"/>
      <c r="AM104" s="44"/>
      <c r="AN104" s="44"/>
      <c r="AO104" s="44"/>
      <c r="AP104" s="44"/>
      <c r="AQ104" s="44"/>
      <c r="AR104" s="44"/>
      <c r="AS104" s="44"/>
      <c r="AT104" s="45"/>
      <c r="AY104" s="45"/>
      <c r="BH104" s="45"/>
      <c r="BK104" s="45"/>
      <c r="BT104" s="45"/>
      <c r="BU104" s="45"/>
      <c r="CK104" s="10"/>
      <c r="EF104" s="20"/>
      <c r="FD104" s="21"/>
      <c r="FE104" s="21"/>
      <c r="FN104" s="22"/>
      <c r="FO104" s="22"/>
      <c r="FZ104" s="23"/>
      <c r="GA104" s="23"/>
      <c r="JD104" s="26"/>
      <c r="JE104" s="26"/>
      <c r="JF104" s="27"/>
      <c r="JG104" s="27"/>
      <c r="KL104" s="28"/>
      <c r="KP104" s="28"/>
      <c r="KT104" s="28"/>
      <c r="KX104" s="28"/>
      <c r="LB104" s="28"/>
      <c r="LF104" s="28"/>
      <c r="LJ104" s="28"/>
    </row>
    <row r="105" spans="1:322" ht="13.2">
      <c r="A105" s="42"/>
      <c r="B105" s="42"/>
      <c r="C105" s="42"/>
      <c r="D105" s="52"/>
      <c r="E105" s="52"/>
      <c r="O105" s="43"/>
      <c r="AL105" s="44"/>
      <c r="AM105" s="44"/>
      <c r="AN105" s="44"/>
      <c r="AO105" s="44"/>
      <c r="AP105" s="44"/>
      <c r="AQ105" s="44"/>
      <c r="AR105" s="44"/>
      <c r="AS105" s="44"/>
      <c r="AT105" s="45"/>
      <c r="AY105" s="45"/>
      <c r="BH105" s="45"/>
      <c r="BK105" s="45"/>
      <c r="BT105" s="45"/>
      <c r="BU105" s="45"/>
      <c r="CK105" s="10"/>
      <c r="EF105" s="20"/>
      <c r="FD105" s="21"/>
      <c r="FE105" s="21"/>
      <c r="FN105" s="22"/>
      <c r="FO105" s="22"/>
      <c r="FZ105" s="23"/>
      <c r="GA105" s="23"/>
      <c r="JD105" s="26"/>
      <c r="JE105" s="26"/>
      <c r="JF105" s="27"/>
      <c r="JG105" s="27"/>
      <c r="KL105" s="28"/>
      <c r="KP105" s="28"/>
      <c r="KT105" s="28"/>
      <c r="KX105" s="28"/>
      <c r="LB105" s="28"/>
      <c r="LF105" s="28"/>
      <c r="LJ105" s="28"/>
    </row>
    <row r="106" spans="1:322" ht="13.2">
      <c r="A106" s="42"/>
      <c r="B106" s="42"/>
      <c r="C106" s="42"/>
      <c r="D106" s="52"/>
      <c r="E106" s="52"/>
      <c r="O106" s="43"/>
      <c r="AL106" s="44"/>
      <c r="AM106" s="44"/>
      <c r="AN106" s="44"/>
      <c r="AO106" s="44"/>
      <c r="AP106" s="44"/>
      <c r="AQ106" s="44"/>
      <c r="AR106" s="44"/>
      <c r="AS106" s="44"/>
      <c r="AT106" s="45"/>
      <c r="AY106" s="45"/>
      <c r="BH106" s="45"/>
      <c r="BK106" s="45"/>
      <c r="BT106" s="45"/>
      <c r="BU106" s="45"/>
      <c r="CK106" s="10"/>
      <c r="EF106" s="20"/>
      <c r="FD106" s="21"/>
      <c r="FE106" s="21"/>
      <c r="FN106" s="22"/>
      <c r="FO106" s="22"/>
      <c r="FZ106" s="23"/>
      <c r="GA106" s="23"/>
      <c r="JD106" s="26"/>
      <c r="JE106" s="26"/>
      <c r="JF106" s="27"/>
      <c r="JG106" s="27"/>
      <c r="KL106" s="28"/>
      <c r="KP106" s="28"/>
      <c r="KT106" s="28"/>
      <c r="KX106" s="28"/>
      <c r="LB106" s="28"/>
      <c r="LF106" s="28"/>
      <c r="LJ106" s="28"/>
    </row>
    <row r="107" spans="1:322" ht="13.2">
      <c r="A107" s="42"/>
      <c r="B107" s="42"/>
      <c r="C107" s="42"/>
      <c r="D107" s="52"/>
      <c r="E107" s="52"/>
      <c r="O107" s="43"/>
      <c r="AL107" s="44"/>
      <c r="AM107" s="44"/>
      <c r="AN107" s="44"/>
      <c r="AO107" s="44"/>
      <c r="AP107" s="44"/>
      <c r="AQ107" s="44"/>
      <c r="AR107" s="44"/>
      <c r="AS107" s="44"/>
      <c r="AT107" s="45"/>
      <c r="AY107" s="45"/>
      <c r="BH107" s="45"/>
      <c r="BK107" s="45"/>
      <c r="BT107" s="45"/>
      <c r="BU107" s="45"/>
      <c r="CK107" s="10"/>
      <c r="EF107" s="20"/>
      <c r="FD107" s="21"/>
      <c r="FE107" s="21"/>
      <c r="FN107" s="22"/>
      <c r="FO107" s="22"/>
      <c r="FZ107" s="23"/>
      <c r="GA107" s="23"/>
      <c r="JD107" s="26"/>
      <c r="JE107" s="26"/>
      <c r="JF107" s="27"/>
      <c r="JG107" s="27"/>
      <c r="KL107" s="28"/>
      <c r="KP107" s="28"/>
      <c r="KT107" s="28"/>
      <c r="KX107" s="28"/>
      <c r="LB107" s="28"/>
      <c r="LF107" s="28"/>
      <c r="LJ107" s="28"/>
    </row>
    <row r="108" spans="1:322" ht="13.2">
      <c r="A108" s="42"/>
      <c r="B108" s="42"/>
      <c r="C108" s="42"/>
      <c r="D108" s="52"/>
      <c r="E108" s="52"/>
      <c r="O108" s="43"/>
      <c r="AL108" s="44"/>
      <c r="AM108" s="44"/>
      <c r="AN108" s="44"/>
      <c r="AO108" s="44"/>
      <c r="AP108" s="44"/>
      <c r="AQ108" s="44"/>
      <c r="AR108" s="44"/>
      <c r="AS108" s="44"/>
      <c r="AT108" s="45"/>
      <c r="AY108" s="45"/>
      <c r="BH108" s="45"/>
      <c r="BK108" s="45"/>
      <c r="BT108" s="45"/>
      <c r="BU108" s="45"/>
      <c r="CK108" s="10"/>
      <c r="EF108" s="20"/>
      <c r="FD108" s="21"/>
      <c r="FE108" s="21"/>
      <c r="FN108" s="22"/>
      <c r="FO108" s="22"/>
      <c r="FZ108" s="23"/>
      <c r="GA108" s="23"/>
      <c r="JD108" s="26"/>
      <c r="JE108" s="26"/>
      <c r="JF108" s="27"/>
      <c r="JG108" s="27"/>
      <c r="KL108" s="28"/>
      <c r="KP108" s="28"/>
      <c r="KT108" s="28"/>
      <c r="KX108" s="28"/>
      <c r="LB108" s="28"/>
      <c r="LF108" s="28"/>
      <c r="LJ108" s="28"/>
    </row>
    <row r="109" spans="1:322" ht="13.2">
      <c r="A109" s="42"/>
      <c r="B109" s="42"/>
      <c r="C109" s="42"/>
      <c r="D109" s="52"/>
      <c r="E109" s="52"/>
      <c r="O109" s="43"/>
      <c r="AL109" s="44"/>
      <c r="AM109" s="44"/>
      <c r="AN109" s="44"/>
      <c r="AO109" s="44"/>
      <c r="AP109" s="44"/>
      <c r="AQ109" s="44"/>
      <c r="AR109" s="44"/>
      <c r="AS109" s="44"/>
      <c r="AT109" s="45"/>
      <c r="AY109" s="45"/>
      <c r="BH109" s="45"/>
      <c r="BK109" s="45"/>
      <c r="BT109" s="45"/>
      <c r="BU109" s="45"/>
      <c r="CK109" s="10"/>
      <c r="EF109" s="20"/>
      <c r="FD109" s="21"/>
      <c r="FE109" s="21"/>
      <c r="FN109" s="22"/>
      <c r="FO109" s="22"/>
      <c r="FZ109" s="23"/>
      <c r="GA109" s="23"/>
      <c r="JD109" s="26"/>
      <c r="JE109" s="26"/>
      <c r="JF109" s="27"/>
      <c r="JG109" s="27"/>
      <c r="KL109" s="28"/>
      <c r="KP109" s="28"/>
      <c r="KT109" s="28"/>
      <c r="KX109" s="28"/>
      <c r="LB109" s="28"/>
      <c r="LF109" s="28"/>
      <c r="LJ109" s="28"/>
    </row>
    <row r="110" spans="1:322" ht="13.2">
      <c r="A110" s="42"/>
      <c r="B110" s="42"/>
      <c r="C110" s="42"/>
      <c r="D110" s="52"/>
      <c r="E110" s="52"/>
      <c r="O110" s="43"/>
      <c r="AL110" s="44"/>
      <c r="AM110" s="44"/>
      <c r="AN110" s="44"/>
      <c r="AO110" s="44"/>
      <c r="AP110" s="44"/>
      <c r="AQ110" s="44"/>
      <c r="AR110" s="44"/>
      <c r="AS110" s="44"/>
      <c r="AT110" s="45"/>
      <c r="AY110" s="45"/>
      <c r="BH110" s="45"/>
      <c r="BK110" s="45"/>
      <c r="BT110" s="45"/>
      <c r="BU110" s="45"/>
      <c r="CK110" s="10"/>
      <c r="EF110" s="20"/>
      <c r="FD110" s="21"/>
      <c r="FE110" s="21"/>
      <c r="FN110" s="22"/>
      <c r="FO110" s="22"/>
      <c r="FZ110" s="23"/>
      <c r="GA110" s="23"/>
      <c r="JD110" s="26"/>
      <c r="JE110" s="26"/>
      <c r="JF110" s="27"/>
      <c r="JG110" s="27"/>
      <c r="KL110" s="28"/>
      <c r="KP110" s="28"/>
      <c r="KT110" s="28"/>
      <c r="KX110" s="28"/>
      <c r="LB110" s="28"/>
      <c r="LF110" s="28"/>
      <c r="LJ110" s="28"/>
    </row>
    <row r="111" spans="1:322" ht="13.2">
      <c r="A111" s="42"/>
      <c r="B111" s="42"/>
      <c r="C111" s="42"/>
      <c r="D111" s="52"/>
      <c r="E111" s="52"/>
      <c r="O111" s="43"/>
      <c r="AL111" s="44"/>
      <c r="AM111" s="44"/>
      <c r="AN111" s="44"/>
      <c r="AO111" s="44"/>
      <c r="AP111" s="44"/>
      <c r="AQ111" s="44"/>
      <c r="AR111" s="44"/>
      <c r="AS111" s="44"/>
      <c r="AT111" s="45"/>
      <c r="AY111" s="45"/>
      <c r="BH111" s="45"/>
      <c r="BK111" s="45"/>
      <c r="BT111" s="45"/>
      <c r="BU111" s="45"/>
      <c r="CK111" s="10"/>
      <c r="EF111" s="20"/>
      <c r="FD111" s="21"/>
      <c r="FE111" s="21"/>
      <c r="FN111" s="22"/>
      <c r="FO111" s="22"/>
      <c r="FZ111" s="23"/>
      <c r="GA111" s="23"/>
      <c r="JD111" s="26"/>
      <c r="JE111" s="26"/>
      <c r="JF111" s="27"/>
      <c r="JG111" s="27"/>
      <c r="KL111" s="28"/>
      <c r="KP111" s="28"/>
      <c r="KT111" s="28"/>
      <c r="KX111" s="28"/>
      <c r="LB111" s="28"/>
      <c r="LF111" s="28"/>
      <c r="LJ111" s="28"/>
    </row>
    <row r="112" spans="1:322" ht="13.2">
      <c r="A112" s="42"/>
      <c r="B112" s="42"/>
      <c r="C112" s="42"/>
      <c r="D112" s="52"/>
      <c r="E112" s="52"/>
      <c r="O112" s="43"/>
      <c r="AL112" s="44"/>
      <c r="AM112" s="44"/>
      <c r="AN112" s="44"/>
      <c r="AO112" s="44"/>
      <c r="AP112" s="44"/>
      <c r="AQ112" s="44"/>
      <c r="AR112" s="44"/>
      <c r="AS112" s="44"/>
      <c r="AT112" s="45"/>
      <c r="AY112" s="45"/>
      <c r="BH112" s="45"/>
      <c r="BK112" s="45"/>
      <c r="BT112" s="45"/>
      <c r="BU112" s="45"/>
      <c r="CK112" s="10"/>
      <c r="EF112" s="20"/>
      <c r="FD112" s="21"/>
      <c r="FE112" s="21"/>
      <c r="FN112" s="22"/>
      <c r="FO112" s="22"/>
      <c r="FZ112" s="23"/>
      <c r="GA112" s="23"/>
      <c r="JD112" s="26"/>
      <c r="JE112" s="26"/>
      <c r="JF112" s="27"/>
      <c r="JG112" s="27"/>
      <c r="KL112" s="28"/>
      <c r="KP112" s="28"/>
      <c r="KT112" s="28"/>
      <c r="KX112" s="28"/>
      <c r="LB112" s="28"/>
      <c r="LF112" s="28"/>
      <c r="LJ112" s="28"/>
    </row>
    <row r="113" spans="1:322" ht="13.2">
      <c r="A113" s="42"/>
      <c r="B113" s="42"/>
      <c r="C113" s="42"/>
      <c r="D113" s="52"/>
      <c r="E113" s="52"/>
      <c r="O113" s="43"/>
      <c r="AL113" s="44"/>
      <c r="AM113" s="44"/>
      <c r="AN113" s="44"/>
      <c r="AO113" s="44"/>
      <c r="AP113" s="44"/>
      <c r="AQ113" s="44"/>
      <c r="AR113" s="44"/>
      <c r="AS113" s="44"/>
      <c r="AT113" s="45"/>
      <c r="AY113" s="45"/>
      <c r="BH113" s="45"/>
      <c r="BK113" s="45"/>
      <c r="BT113" s="45"/>
      <c r="BU113" s="45"/>
      <c r="CK113" s="10"/>
      <c r="EF113" s="20"/>
      <c r="FD113" s="21"/>
      <c r="FE113" s="21"/>
      <c r="FN113" s="22"/>
      <c r="FO113" s="22"/>
      <c r="FZ113" s="23"/>
      <c r="GA113" s="23"/>
      <c r="JD113" s="26"/>
      <c r="JE113" s="26"/>
      <c r="JF113" s="27"/>
      <c r="JG113" s="27"/>
      <c r="KL113" s="28"/>
      <c r="KP113" s="28"/>
      <c r="KT113" s="28"/>
      <c r="KX113" s="28"/>
      <c r="LB113" s="28"/>
      <c r="LF113" s="28"/>
      <c r="LJ113" s="28"/>
    </row>
    <row r="114" spans="1:322" ht="13.2">
      <c r="A114" s="42"/>
      <c r="B114" s="42"/>
      <c r="C114" s="42"/>
      <c r="D114" s="52"/>
      <c r="E114" s="52"/>
      <c r="O114" s="43"/>
      <c r="AL114" s="44"/>
      <c r="AM114" s="44"/>
      <c r="AN114" s="44"/>
      <c r="AO114" s="44"/>
      <c r="AP114" s="44"/>
      <c r="AQ114" s="44"/>
      <c r="AR114" s="44"/>
      <c r="AS114" s="44"/>
      <c r="AT114" s="45"/>
      <c r="AY114" s="45"/>
      <c r="BH114" s="45"/>
      <c r="BK114" s="45"/>
      <c r="BT114" s="45"/>
      <c r="BU114" s="45"/>
      <c r="CK114" s="10"/>
      <c r="EF114" s="20"/>
      <c r="FD114" s="21"/>
      <c r="FE114" s="21"/>
      <c r="FN114" s="22"/>
      <c r="FO114" s="22"/>
      <c r="FZ114" s="23"/>
      <c r="GA114" s="23"/>
      <c r="JD114" s="26"/>
      <c r="JE114" s="26"/>
      <c r="JF114" s="27"/>
      <c r="JG114" s="27"/>
      <c r="KL114" s="28"/>
      <c r="KP114" s="28"/>
      <c r="KT114" s="28"/>
      <c r="KX114" s="28"/>
      <c r="LB114" s="28"/>
      <c r="LF114" s="28"/>
      <c r="LJ114" s="28"/>
    </row>
    <row r="115" spans="1:322" ht="13.2">
      <c r="A115" s="42"/>
      <c r="B115" s="42"/>
      <c r="C115" s="42"/>
      <c r="D115" s="52"/>
      <c r="E115" s="52"/>
      <c r="O115" s="43"/>
      <c r="AL115" s="44"/>
      <c r="AM115" s="44"/>
      <c r="AN115" s="44"/>
      <c r="AO115" s="44"/>
      <c r="AP115" s="44"/>
      <c r="AQ115" s="44"/>
      <c r="AR115" s="44"/>
      <c r="AS115" s="44"/>
      <c r="AT115" s="45"/>
      <c r="AY115" s="45"/>
      <c r="BH115" s="45"/>
      <c r="BK115" s="45"/>
      <c r="BT115" s="45"/>
      <c r="BU115" s="45"/>
      <c r="CK115" s="10"/>
      <c r="EF115" s="20"/>
      <c r="FD115" s="21"/>
      <c r="FE115" s="21"/>
      <c r="FN115" s="22"/>
      <c r="FO115" s="22"/>
      <c r="FZ115" s="23"/>
      <c r="GA115" s="23"/>
      <c r="JD115" s="26"/>
      <c r="JE115" s="26"/>
      <c r="JF115" s="27"/>
      <c r="JG115" s="27"/>
      <c r="KL115" s="28"/>
      <c r="KP115" s="28"/>
      <c r="KT115" s="28"/>
      <c r="KX115" s="28"/>
      <c r="LB115" s="28"/>
      <c r="LF115" s="28"/>
      <c r="LJ115" s="28"/>
    </row>
    <row r="116" spans="1:322" ht="13.2">
      <c r="A116" s="42"/>
      <c r="B116" s="42"/>
      <c r="C116" s="42"/>
      <c r="D116" s="52"/>
      <c r="E116" s="52"/>
      <c r="O116" s="43"/>
      <c r="AL116" s="44"/>
      <c r="AM116" s="44"/>
      <c r="AN116" s="44"/>
      <c r="AO116" s="44"/>
      <c r="AP116" s="44"/>
      <c r="AQ116" s="44"/>
      <c r="AR116" s="44"/>
      <c r="AS116" s="44"/>
      <c r="AT116" s="45"/>
      <c r="AY116" s="45"/>
      <c r="BH116" s="45"/>
      <c r="BK116" s="45"/>
      <c r="BT116" s="45"/>
      <c r="BU116" s="45"/>
      <c r="CK116" s="10"/>
      <c r="EF116" s="20"/>
      <c r="FD116" s="21"/>
      <c r="FE116" s="21"/>
      <c r="FN116" s="22"/>
      <c r="FO116" s="22"/>
      <c r="FZ116" s="23"/>
      <c r="GA116" s="23"/>
      <c r="JD116" s="26"/>
      <c r="JE116" s="26"/>
      <c r="JF116" s="27"/>
      <c r="JG116" s="27"/>
      <c r="KL116" s="28"/>
      <c r="KP116" s="28"/>
      <c r="KT116" s="28"/>
      <c r="KX116" s="28"/>
      <c r="LB116" s="28"/>
      <c r="LF116" s="28"/>
      <c r="LJ116" s="28"/>
    </row>
    <row r="117" spans="1:322" ht="13.2">
      <c r="A117" s="42"/>
      <c r="B117" s="42"/>
      <c r="C117" s="42"/>
      <c r="D117" s="52"/>
      <c r="E117" s="52"/>
      <c r="O117" s="43"/>
      <c r="AL117" s="44"/>
      <c r="AM117" s="44"/>
      <c r="AN117" s="44"/>
      <c r="AO117" s="44"/>
      <c r="AP117" s="44"/>
      <c r="AQ117" s="44"/>
      <c r="AR117" s="44"/>
      <c r="AS117" s="44"/>
      <c r="AT117" s="45"/>
      <c r="AY117" s="45"/>
      <c r="BH117" s="45"/>
      <c r="BK117" s="45"/>
      <c r="BT117" s="45"/>
      <c r="BU117" s="45"/>
      <c r="CK117" s="10"/>
      <c r="EF117" s="20"/>
      <c r="FD117" s="21"/>
      <c r="FE117" s="21"/>
      <c r="FN117" s="22"/>
      <c r="FO117" s="22"/>
      <c r="FZ117" s="23"/>
      <c r="GA117" s="23"/>
      <c r="JD117" s="26"/>
      <c r="JE117" s="26"/>
      <c r="JF117" s="27"/>
      <c r="JG117" s="27"/>
      <c r="KL117" s="28"/>
      <c r="KP117" s="28"/>
      <c r="KT117" s="28"/>
      <c r="KX117" s="28"/>
      <c r="LB117" s="28"/>
      <c r="LF117" s="28"/>
      <c r="LJ117" s="28"/>
    </row>
    <row r="118" spans="1:322" ht="13.2">
      <c r="A118" s="42"/>
      <c r="B118" s="42"/>
      <c r="C118" s="42"/>
      <c r="D118" s="52"/>
      <c r="E118" s="52"/>
      <c r="O118" s="43"/>
      <c r="AL118" s="44"/>
      <c r="AM118" s="44"/>
      <c r="AN118" s="44"/>
      <c r="AO118" s="44"/>
      <c r="AP118" s="44"/>
      <c r="AQ118" s="44"/>
      <c r="AR118" s="44"/>
      <c r="AS118" s="44"/>
      <c r="AT118" s="45"/>
      <c r="AY118" s="45"/>
      <c r="BH118" s="45"/>
      <c r="BK118" s="45"/>
      <c r="BT118" s="45"/>
      <c r="BU118" s="45"/>
      <c r="CK118" s="10"/>
      <c r="EF118" s="20"/>
      <c r="FD118" s="21"/>
      <c r="FE118" s="21"/>
      <c r="FN118" s="22"/>
      <c r="FO118" s="22"/>
      <c r="FZ118" s="23"/>
      <c r="GA118" s="23"/>
      <c r="JD118" s="26"/>
      <c r="JE118" s="26"/>
      <c r="JF118" s="27"/>
      <c r="JG118" s="27"/>
      <c r="KL118" s="28"/>
      <c r="KP118" s="28"/>
      <c r="KT118" s="28"/>
      <c r="KX118" s="28"/>
      <c r="LB118" s="28"/>
      <c r="LF118" s="28"/>
      <c r="LJ118" s="28"/>
    </row>
    <row r="119" spans="1:322" ht="13.2">
      <c r="A119" s="42"/>
      <c r="B119" s="42"/>
      <c r="C119" s="42"/>
      <c r="D119" s="52"/>
      <c r="E119" s="52"/>
      <c r="O119" s="43"/>
      <c r="AL119" s="44"/>
      <c r="AM119" s="44"/>
      <c r="AN119" s="44"/>
      <c r="AO119" s="44"/>
      <c r="AP119" s="44"/>
      <c r="AQ119" s="44"/>
      <c r="AR119" s="44"/>
      <c r="AS119" s="44"/>
      <c r="AT119" s="45"/>
      <c r="AY119" s="45"/>
      <c r="BH119" s="45"/>
      <c r="BK119" s="45"/>
      <c r="BT119" s="45"/>
      <c r="BU119" s="45"/>
      <c r="CK119" s="10"/>
      <c r="EF119" s="20"/>
      <c r="FD119" s="21"/>
      <c r="FE119" s="21"/>
      <c r="FN119" s="22"/>
      <c r="FO119" s="22"/>
      <c r="FZ119" s="23"/>
      <c r="GA119" s="23"/>
      <c r="JD119" s="26"/>
      <c r="JE119" s="26"/>
      <c r="JF119" s="27"/>
      <c r="JG119" s="27"/>
      <c r="KL119" s="28"/>
      <c r="KP119" s="28"/>
      <c r="KT119" s="28"/>
      <c r="KX119" s="28"/>
      <c r="LB119" s="28"/>
      <c r="LF119" s="28"/>
      <c r="LJ119" s="28"/>
    </row>
    <row r="120" spans="1:322" ht="13.2">
      <c r="A120" s="42"/>
      <c r="B120" s="42"/>
      <c r="C120" s="42"/>
      <c r="D120" s="52"/>
      <c r="E120" s="52"/>
      <c r="O120" s="43"/>
      <c r="AL120" s="44"/>
      <c r="AM120" s="44"/>
      <c r="AN120" s="44"/>
      <c r="AO120" s="44"/>
      <c r="AP120" s="44"/>
      <c r="AQ120" s="44"/>
      <c r="AR120" s="44"/>
      <c r="AS120" s="44"/>
      <c r="AT120" s="45"/>
      <c r="AY120" s="45"/>
      <c r="BH120" s="45"/>
      <c r="BK120" s="45"/>
      <c r="BT120" s="45"/>
      <c r="BU120" s="45"/>
      <c r="CK120" s="10"/>
      <c r="EF120" s="20"/>
      <c r="FD120" s="21"/>
      <c r="FE120" s="21"/>
      <c r="FN120" s="22"/>
      <c r="FO120" s="22"/>
      <c r="FZ120" s="23"/>
      <c r="GA120" s="23"/>
      <c r="JD120" s="26"/>
      <c r="JE120" s="26"/>
      <c r="JF120" s="27"/>
      <c r="JG120" s="27"/>
      <c r="KL120" s="28"/>
      <c r="KP120" s="28"/>
      <c r="KT120" s="28"/>
      <c r="KX120" s="28"/>
      <c r="LB120" s="28"/>
      <c r="LF120" s="28"/>
      <c r="LJ120" s="28"/>
    </row>
    <row r="121" spans="1:322" ht="13.2">
      <c r="A121" s="42"/>
      <c r="B121" s="42"/>
      <c r="C121" s="42"/>
      <c r="D121" s="52"/>
      <c r="E121" s="52"/>
      <c r="O121" s="43"/>
      <c r="AL121" s="44"/>
      <c r="AM121" s="44"/>
      <c r="AN121" s="44"/>
      <c r="AO121" s="44"/>
      <c r="AP121" s="44"/>
      <c r="AQ121" s="44"/>
      <c r="AR121" s="44"/>
      <c r="AS121" s="44"/>
      <c r="AT121" s="45"/>
      <c r="AY121" s="45"/>
      <c r="BH121" s="45"/>
      <c r="BK121" s="45"/>
      <c r="BT121" s="45"/>
      <c r="BU121" s="45"/>
      <c r="CK121" s="10"/>
      <c r="EF121" s="20"/>
      <c r="FD121" s="21"/>
      <c r="FE121" s="21"/>
      <c r="FN121" s="22"/>
      <c r="FO121" s="22"/>
      <c r="FZ121" s="23"/>
      <c r="GA121" s="23"/>
      <c r="JD121" s="26"/>
      <c r="JE121" s="26"/>
      <c r="JF121" s="27"/>
      <c r="JG121" s="27"/>
      <c r="KL121" s="28"/>
      <c r="KP121" s="28"/>
      <c r="KT121" s="28"/>
      <c r="KX121" s="28"/>
      <c r="LB121" s="28"/>
      <c r="LF121" s="28"/>
      <c r="LJ121" s="28"/>
    </row>
    <row r="122" spans="1:322" ht="13.2">
      <c r="A122" s="42"/>
      <c r="B122" s="42"/>
      <c r="C122" s="42"/>
      <c r="D122" s="52"/>
      <c r="E122" s="52"/>
      <c r="O122" s="43"/>
      <c r="AL122" s="44"/>
      <c r="AM122" s="44"/>
      <c r="AN122" s="44"/>
      <c r="AO122" s="44"/>
      <c r="AP122" s="44"/>
      <c r="AQ122" s="44"/>
      <c r="AR122" s="44"/>
      <c r="AS122" s="44"/>
      <c r="AT122" s="45"/>
      <c r="AY122" s="45"/>
      <c r="BH122" s="45"/>
      <c r="BK122" s="45"/>
      <c r="BT122" s="45"/>
      <c r="BU122" s="45"/>
      <c r="CK122" s="10"/>
      <c r="EF122" s="20"/>
      <c r="FD122" s="21"/>
      <c r="FE122" s="21"/>
      <c r="FN122" s="22"/>
      <c r="FO122" s="22"/>
      <c r="FZ122" s="23"/>
      <c r="GA122" s="23"/>
      <c r="JD122" s="26"/>
      <c r="JE122" s="26"/>
      <c r="JF122" s="27"/>
      <c r="JG122" s="27"/>
      <c r="KL122" s="28"/>
      <c r="KP122" s="28"/>
      <c r="KT122" s="28"/>
      <c r="KX122" s="28"/>
      <c r="LB122" s="28"/>
      <c r="LF122" s="28"/>
      <c r="LJ122" s="28"/>
    </row>
    <row r="123" spans="1:322" ht="13.2">
      <c r="A123" s="42"/>
      <c r="B123" s="42"/>
      <c r="C123" s="42"/>
      <c r="D123" s="52"/>
      <c r="E123" s="52"/>
      <c r="O123" s="43"/>
      <c r="AL123" s="44"/>
      <c r="AM123" s="44"/>
      <c r="AN123" s="44"/>
      <c r="AO123" s="44"/>
      <c r="AP123" s="44"/>
      <c r="AQ123" s="44"/>
      <c r="AR123" s="44"/>
      <c r="AS123" s="44"/>
      <c r="AT123" s="45"/>
      <c r="AY123" s="45"/>
      <c r="BH123" s="45"/>
      <c r="BK123" s="45"/>
      <c r="BT123" s="45"/>
      <c r="BU123" s="45"/>
      <c r="CK123" s="10"/>
      <c r="EF123" s="20"/>
      <c r="FD123" s="21"/>
      <c r="FE123" s="21"/>
      <c r="FN123" s="22"/>
      <c r="FO123" s="22"/>
      <c r="FZ123" s="23"/>
      <c r="GA123" s="23"/>
      <c r="JD123" s="26"/>
      <c r="JE123" s="26"/>
      <c r="JF123" s="27"/>
      <c r="JG123" s="27"/>
      <c r="KL123" s="28"/>
      <c r="KP123" s="28"/>
      <c r="KT123" s="28"/>
      <c r="KX123" s="28"/>
      <c r="LB123" s="28"/>
      <c r="LF123" s="28"/>
      <c r="LJ123" s="28"/>
    </row>
    <row r="124" spans="1:322" ht="13.2">
      <c r="A124" s="42"/>
      <c r="B124" s="42"/>
      <c r="C124" s="42"/>
      <c r="D124" s="52"/>
      <c r="E124" s="52"/>
      <c r="O124" s="43"/>
      <c r="AL124" s="44"/>
      <c r="AM124" s="44"/>
      <c r="AN124" s="44"/>
      <c r="AO124" s="44"/>
      <c r="AP124" s="44"/>
      <c r="AQ124" s="44"/>
      <c r="AR124" s="44"/>
      <c r="AS124" s="44"/>
      <c r="AT124" s="45"/>
      <c r="AY124" s="45"/>
      <c r="BH124" s="45"/>
      <c r="BK124" s="45"/>
      <c r="BT124" s="45"/>
      <c r="BU124" s="45"/>
      <c r="CK124" s="10"/>
      <c r="EF124" s="20"/>
      <c r="FD124" s="21"/>
      <c r="FE124" s="21"/>
      <c r="FN124" s="22"/>
      <c r="FO124" s="22"/>
      <c r="FZ124" s="23"/>
      <c r="GA124" s="23"/>
      <c r="JD124" s="26"/>
      <c r="JE124" s="26"/>
      <c r="JF124" s="27"/>
      <c r="JG124" s="27"/>
      <c r="KL124" s="28"/>
      <c r="KP124" s="28"/>
      <c r="KT124" s="28"/>
      <c r="KX124" s="28"/>
      <c r="LB124" s="28"/>
      <c r="LF124" s="28"/>
      <c r="LJ124" s="28"/>
    </row>
    <row r="125" spans="1:322" ht="13.2">
      <c r="A125" s="42"/>
      <c r="B125" s="42"/>
      <c r="C125" s="42"/>
      <c r="D125" s="52"/>
      <c r="E125" s="52"/>
      <c r="O125" s="43"/>
      <c r="AL125" s="44"/>
      <c r="AM125" s="44"/>
      <c r="AN125" s="44"/>
      <c r="AO125" s="44"/>
      <c r="AP125" s="44"/>
      <c r="AQ125" s="44"/>
      <c r="AR125" s="44"/>
      <c r="AS125" s="44"/>
      <c r="AT125" s="45"/>
      <c r="AY125" s="45"/>
      <c r="BH125" s="45"/>
      <c r="BK125" s="45"/>
      <c r="BT125" s="45"/>
      <c r="BU125" s="45"/>
      <c r="CK125" s="10"/>
      <c r="EF125" s="20"/>
      <c r="FD125" s="21"/>
      <c r="FE125" s="21"/>
      <c r="FN125" s="22"/>
      <c r="FO125" s="22"/>
      <c r="FZ125" s="23"/>
      <c r="GA125" s="23"/>
      <c r="JD125" s="26"/>
      <c r="JE125" s="26"/>
      <c r="JF125" s="27"/>
      <c r="JG125" s="27"/>
      <c r="KL125" s="28"/>
      <c r="KP125" s="28"/>
      <c r="KT125" s="28"/>
      <c r="KX125" s="28"/>
      <c r="LB125" s="28"/>
      <c r="LF125" s="28"/>
      <c r="LJ125" s="28"/>
    </row>
    <row r="126" spans="1:322" ht="13.2">
      <c r="A126" s="42"/>
      <c r="B126" s="42"/>
      <c r="C126" s="42"/>
      <c r="D126" s="52"/>
      <c r="E126" s="52"/>
      <c r="O126" s="43"/>
      <c r="AL126" s="44"/>
      <c r="AM126" s="44"/>
      <c r="AN126" s="44"/>
      <c r="AO126" s="44"/>
      <c r="AP126" s="44"/>
      <c r="AQ126" s="44"/>
      <c r="AR126" s="44"/>
      <c r="AS126" s="44"/>
      <c r="AT126" s="45"/>
      <c r="AY126" s="45"/>
      <c r="BH126" s="45"/>
      <c r="BK126" s="45"/>
      <c r="BT126" s="45"/>
      <c r="BU126" s="45"/>
      <c r="CK126" s="10"/>
      <c r="EF126" s="20"/>
      <c r="FD126" s="21"/>
      <c r="FE126" s="21"/>
      <c r="FN126" s="22"/>
      <c r="FO126" s="22"/>
      <c r="FZ126" s="23"/>
      <c r="GA126" s="23"/>
      <c r="JD126" s="26"/>
      <c r="JE126" s="26"/>
      <c r="JF126" s="27"/>
      <c r="JG126" s="27"/>
      <c r="KL126" s="28"/>
      <c r="KP126" s="28"/>
      <c r="KT126" s="28"/>
      <c r="KX126" s="28"/>
      <c r="LB126" s="28"/>
      <c r="LF126" s="28"/>
      <c r="LJ126" s="28"/>
    </row>
    <row r="127" spans="1:322" ht="13.2">
      <c r="A127" s="42"/>
      <c r="B127" s="42"/>
      <c r="C127" s="42"/>
      <c r="D127" s="52"/>
      <c r="E127" s="52"/>
      <c r="O127" s="43"/>
      <c r="AL127" s="44"/>
      <c r="AM127" s="44"/>
      <c r="AN127" s="44"/>
      <c r="AO127" s="44"/>
      <c r="AP127" s="44"/>
      <c r="AQ127" s="44"/>
      <c r="AR127" s="44"/>
      <c r="AS127" s="44"/>
      <c r="AT127" s="45"/>
      <c r="AY127" s="45"/>
      <c r="BH127" s="45"/>
      <c r="BK127" s="45"/>
      <c r="BT127" s="45"/>
      <c r="BU127" s="45"/>
      <c r="CK127" s="10"/>
      <c r="EF127" s="20"/>
      <c r="FD127" s="21"/>
      <c r="FE127" s="21"/>
      <c r="FN127" s="22"/>
      <c r="FO127" s="22"/>
      <c r="FZ127" s="23"/>
      <c r="GA127" s="23"/>
      <c r="JD127" s="26"/>
      <c r="JE127" s="26"/>
      <c r="JF127" s="27"/>
      <c r="JG127" s="27"/>
      <c r="KL127" s="28"/>
      <c r="KP127" s="28"/>
      <c r="KT127" s="28"/>
      <c r="KX127" s="28"/>
      <c r="LB127" s="28"/>
      <c r="LF127" s="28"/>
      <c r="LJ127" s="28"/>
    </row>
    <row r="128" spans="1:322" ht="13.2">
      <c r="A128" s="42"/>
      <c r="B128" s="42"/>
      <c r="C128" s="42"/>
      <c r="D128" s="52"/>
      <c r="E128" s="52"/>
      <c r="O128" s="43"/>
      <c r="AL128" s="44"/>
      <c r="AM128" s="44"/>
      <c r="AN128" s="44"/>
      <c r="AO128" s="44"/>
      <c r="AP128" s="44"/>
      <c r="AQ128" s="44"/>
      <c r="AR128" s="44"/>
      <c r="AS128" s="44"/>
      <c r="AT128" s="45"/>
      <c r="AY128" s="45"/>
      <c r="BH128" s="45"/>
      <c r="BK128" s="45"/>
      <c r="BT128" s="45"/>
      <c r="BU128" s="45"/>
      <c r="CK128" s="10"/>
      <c r="EF128" s="20"/>
      <c r="FD128" s="21"/>
      <c r="FE128" s="21"/>
      <c r="FN128" s="22"/>
      <c r="FO128" s="22"/>
      <c r="FZ128" s="23"/>
      <c r="GA128" s="23"/>
      <c r="JD128" s="26"/>
      <c r="JE128" s="26"/>
      <c r="JF128" s="27"/>
      <c r="JG128" s="27"/>
      <c r="KL128" s="28"/>
      <c r="KP128" s="28"/>
      <c r="KT128" s="28"/>
      <c r="KX128" s="28"/>
      <c r="LB128" s="28"/>
      <c r="LF128" s="28"/>
      <c r="LJ128" s="28"/>
    </row>
    <row r="129" spans="1:322" ht="13.2">
      <c r="A129" s="42"/>
      <c r="B129" s="42"/>
      <c r="C129" s="42"/>
      <c r="D129" s="52"/>
      <c r="E129" s="52"/>
      <c r="O129" s="43"/>
      <c r="AL129" s="44"/>
      <c r="AM129" s="44"/>
      <c r="AN129" s="44"/>
      <c r="AO129" s="44"/>
      <c r="AP129" s="44"/>
      <c r="AQ129" s="44"/>
      <c r="AR129" s="44"/>
      <c r="AS129" s="44"/>
      <c r="AT129" s="45"/>
      <c r="AY129" s="45"/>
      <c r="BH129" s="45"/>
      <c r="BK129" s="45"/>
      <c r="BT129" s="45"/>
      <c r="BU129" s="45"/>
      <c r="CK129" s="10"/>
      <c r="EF129" s="20"/>
      <c r="FD129" s="21"/>
      <c r="FE129" s="21"/>
      <c r="FN129" s="22"/>
      <c r="FO129" s="22"/>
      <c r="FZ129" s="23"/>
      <c r="GA129" s="23"/>
      <c r="JD129" s="26"/>
      <c r="JE129" s="26"/>
      <c r="JF129" s="27"/>
      <c r="JG129" s="27"/>
      <c r="KL129" s="28"/>
      <c r="KP129" s="28"/>
      <c r="KT129" s="28"/>
      <c r="KX129" s="28"/>
      <c r="LB129" s="28"/>
      <c r="LF129" s="28"/>
      <c r="LJ129" s="28"/>
    </row>
    <row r="130" spans="1:322" ht="13.2">
      <c r="A130" s="42"/>
      <c r="B130" s="42"/>
      <c r="C130" s="42"/>
      <c r="D130" s="52"/>
      <c r="E130" s="52"/>
      <c r="O130" s="43"/>
      <c r="AL130" s="44"/>
      <c r="AM130" s="44"/>
      <c r="AN130" s="44"/>
      <c r="AO130" s="44"/>
      <c r="AP130" s="44"/>
      <c r="AQ130" s="44"/>
      <c r="AR130" s="44"/>
      <c r="AS130" s="44"/>
      <c r="AT130" s="45"/>
      <c r="AY130" s="45"/>
      <c r="BH130" s="45"/>
      <c r="BK130" s="45"/>
      <c r="BT130" s="45"/>
      <c r="BU130" s="45"/>
      <c r="CK130" s="10"/>
      <c r="EF130" s="20"/>
      <c r="FD130" s="21"/>
      <c r="FE130" s="21"/>
      <c r="FN130" s="22"/>
      <c r="FO130" s="22"/>
      <c r="FZ130" s="23"/>
      <c r="GA130" s="23"/>
      <c r="JD130" s="26"/>
      <c r="JE130" s="26"/>
      <c r="JF130" s="27"/>
      <c r="JG130" s="27"/>
      <c r="KL130" s="28"/>
      <c r="KP130" s="28"/>
      <c r="KT130" s="28"/>
      <c r="KX130" s="28"/>
      <c r="LB130" s="28"/>
      <c r="LF130" s="28"/>
      <c r="LJ130" s="28"/>
    </row>
    <row r="131" spans="1:322" ht="13.2">
      <c r="A131" s="42"/>
      <c r="B131" s="42"/>
      <c r="C131" s="42"/>
      <c r="D131" s="52"/>
      <c r="E131" s="52"/>
      <c r="O131" s="43"/>
      <c r="AL131" s="44"/>
      <c r="AM131" s="44"/>
      <c r="AN131" s="44"/>
      <c r="AO131" s="44"/>
      <c r="AP131" s="44"/>
      <c r="AQ131" s="44"/>
      <c r="AR131" s="44"/>
      <c r="AS131" s="44"/>
      <c r="AT131" s="45"/>
      <c r="AY131" s="45"/>
      <c r="BH131" s="45"/>
      <c r="BK131" s="45"/>
      <c r="BT131" s="45"/>
      <c r="BU131" s="45"/>
      <c r="CK131" s="10"/>
      <c r="EF131" s="20"/>
      <c r="FD131" s="21"/>
      <c r="FE131" s="21"/>
      <c r="FN131" s="22"/>
      <c r="FO131" s="22"/>
      <c r="FZ131" s="23"/>
      <c r="GA131" s="23"/>
      <c r="JD131" s="26"/>
      <c r="JE131" s="26"/>
      <c r="JF131" s="27"/>
      <c r="JG131" s="27"/>
      <c r="KL131" s="28"/>
      <c r="KP131" s="28"/>
      <c r="KT131" s="28"/>
      <c r="KX131" s="28"/>
      <c r="LB131" s="28"/>
      <c r="LF131" s="28"/>
      <c r="LJ131" s="28"/>
    </row>
    <row r="132" spans="1:322" ht="13.2">
      <c r="A132" s="42"/>
      <c r="B132" s="42"/>
      <c r="C132" s="42"/>
      <c r="D132" s="52"/>
      <c r="E132" s="52"/>
      <c r="O132" s="43"/>
      <c r="AL132" s="44"/>
      <c r="AM132" s="44"/>
      <c r="AN132" s="44"/>
      <c r="AO132" s="44"/>
      <c r="AP132" s="44"/>
      <c r="AQ132" s="44"/>
      <c r="AR132" s="44"/>
      <c r="AS132" s="44"/>
      <c r="AT132" s="45"/>
      <c r="AY132" s="45"/>
      <c r="BH132" s="45"/>
      <c r="BK132" s="45"/>
      <c r="BT132" s="45"/>
      <c r="BU132" s="45"/>
      <c r="CK132" s="10"/>
      <c r="EF132" s="20"/>
      <c r="FD132" s="21"/>
      <c r="FE132" s="21"/>
      <c r="FN132" s="22"/>
      <c r="FO132" s="22"/>
      <c r="FZ132" s="23"/>
      <c r="GA132" s="23"/>
      <c r="JD132" s="26"/>
      <c r="JE132" s="26"/>
      <c r="JF132" s="27"/>
      <c r="JG132" s="27"/>
      <c r="KL132" s="28"/>
      <c r="KP132" s="28"/>
      <c r="KT132" s="28"/>
      <c r="KX132" s="28"/>
      <c r="LB132" s="28"/>
      <c r="LF132" s="28"/>
      <c r="LJ132" s="28"/>
    </row>
    <row r="133" spans="1:322" ht="13.2">
      <c r="A133" s="42"/>
      <c r="B133" s="42"/>
      <c r="C133" s="42"/>
      <c r="D133" s="52"/>
      <c r="E133" s="52"/>
      <c r="O133" s="43"/>
      <c r="AL133" s="44"/>
      <c r="AM133" s="44"/>
      <c r="AN133" s="44"/>
      <c r="AO133" s="44"/>
      <c r="AP133" s="44"/>
      <c r="AQ133" s="44"/>
      <c r="AR133" s="44"/>
      <c r="AS133" s="44"/>
      <c r="AT133" s="45"/>
      <c r="AY133" s="45"/>
      <c r="BH133" s="45"/>
      <c r="BK133" s="45"/>
      <c r="BT133" s="45"/>
      <c r="BU133" s="45"/>
      <c r="CK133" s="10"/>
      <c r="EF133" s="20"/>
      <c r="FD133" s="21"/>
      <c r="FE133" s="21"/>
      <c r="FN133" s="22"/>
      <c r="FO133" s="22"/>
      <c r="FZ133" s="23"/>
      <c r="GA133" s="23"/>
      <c r="JD133" s="26"/>
      <c r="JE133" s="26"/>
      <c r="JF133" s="27"/>
      <c r="JG133" s="27"/>
      <c r="KL133" s="28"/>
      <c r="KP133" s="28"/>
      <c r="KT133" s="28"/>
      <c r="KX133" s="28"/>
      <c r="LB133" s="28"/>
      <c r="LF133" s="28"/>
      <c r="LJ133" s="28"/>
    </row>
    <row r="134" spans="1:322" ht="13.2">
      <c r="A134" s="42"/>
      <c r="B134" s="42"/>
      <c r="C134" s="42"/>
      <c r="D134" s="52"/>
      <c r="E134" s="52"/>
      <c r="O134" s="43"/>
      <c r="AL134" s="44"/>
      <c r="AM134" s="44"/>
      <c r="AN134" s="44"/>
      <c r="AO134" s="44"/>
      <c r="AP134" s="44"/>
      <c r="AQ134" s="44"/>
      <c r="AR134" s="44"/>
      <c r="AS134" s="44"/>
      <c r="AT134" s="45"/>
      <c r="AY134" s="45"/>
      <c r="BH134" s="45"/>
      <c r="BK134" s="45"/>
      <c r="BT134" s="45"/>
      <c r="BU134" s="45"/>
      <c r="CK134" s="10"/>
      <c r="EF134" s="20"/>
      <c r="FD134" s="21"/>
      <c r="FE134" s="21"/>
      <c r="FN134" s="22"/>
      <c r="FO134" s="22"/>
      <c r="FZ134" s="23"/>
      <c r="GA134" s="23"/>
      <c r="JD134" s="26"/>
      <c r="JE134" s="26"/>
      <c r="JF134" s="27"/>
      <c r="JG134" s="27"/>
      <c r="KL134" s="28"/>
      <c r="KP134" s="28"/>
      <c r="KT134" s="28"/>
      <c r="KX134" s="28"/>
      <c r="LB134" s="28"/>
      <c r="LF134" s="28"/>
      <c r="LJ134" s="28"/>
    </row>
    <row r="135" spans="1:322" ht="13.2">
      <c r="A135" s="42"/>
      <c r="B135" s="42"/>
      <c r="C135" s="42"/>
      <c r="D135" s="52"/>
      <c r="E135" s="52"/>
      <c r="O135" s="43"/>
      <c r="AL135" s="44"/>
      <c r="AM135" s="44"/>
      <c r="AN135" s="44"/>
      <c r="AO135" s="44"/>
      <c r="AP135" s="44"/>
      <c r="AQ135" s="44"/>
      <c r="AR135" s="44"/>
      <c r="AS135" s="44"/>
      <c r="AT135" s="45"/>
      <c r="AY135" s="45"/>
      <c r="BH135" s="45"/>
      <c r="BK135" s="45"/>
      <c r="BT135" s="45"/>
      <c r="BU135" s="45"/>
      <c r="CK135" s="10"/>
      <c r="EF135" s="20"/>
      <c r="FD135" s="21"/>
      <c r="FE135" s="21"/>
      <c r="FN135" s="22"/>
      <c r="FO135" s="22"/>
      <c r="FZ135" s="23"/>
      <c r="GA135" s="23"/>
      <c r="JD135" s="26"/>
      <c r="JE135" s="26"/>
      <c r="JF135" s="27"/>
      <c r="JG135" s="27"/>
      <c r="KL135" s="28"/>
      <c r="KP135" s="28"/>
      <c r="KT135" s="28"/>
      <c r="KX135" s="28"/>
      <c r="LB135" s="28"/>
      <c r="LF135" s="28"/>
      <c r="LJ135" s="28"/>
    </row>
    <row r="136" spans="1:322" ht="13.2">
      <c r="A136" s="42"/>
      <c r="B136" s="42"/>
      <c r="C136" s="42"/>
      <c r="D136" s="52"/>
      <c r="E136" s="52"/>
      <c r="O136" s="43"/>
      <c r="AL136" s="44"/>
      <c r="AM136" s="44"/>
      <c r="AN136" s="44"/>
      <c r="AO136" s="44"/>
      <c r="AP136" s="44"/>
      <c r="AQ136" s="44"/>
      <c r="AR136" s="44"/>
      <c r="AS136" s="44"/>
      <c r="AT136" s="45"/>
      <c r="AY136" s="45"/>
      <c r="BH136" s="45"/>
      <c r="BK136" s="45"/>
      <c r="BT136" s="45"/>
      <c r="BU136" s="45"/>
      <c r="CK136" s="10"/>
      <c r="EF136" s="20"/>
      <c r="FD136" s="21"/>
      <c r="FE136" s="21"/>
      <c r="FN136" s="22"/>
      <c r="FO136" s="22"/>
      <c r="FZ136" s="23"/>
      <c r="GA136" s="23"/>
      <c r="JD136" s="26"/>
      <c r="JE136" s="26"/>
      <c r="JF136" s="27"/>
      <c r="JG136" s="27"/>
      <c r="KL136" s="28"/>
      <c r="KP136" s="28"/>
      <c r="KT136" s="28"/>
      <c r="KX136" s="28"/>
      <c r="LB136" s="28"/>
      <c r="LF136" s="28"/>
      <c r="LJ136" s="28"/>
    </row>
    <row r="137" spans="1:322" ht="13.2">
      <c r="A137" s="42"/>
      <c r="B137" s="42"/>
      <c r="C137" s="42"/>
      <c r="D137" s="52"/>
      <c r="E137" s="52"/>
      <c r="O137" s="43"/>
      <c r="AL137" s="44"/>
      <c r="AM137" s="44"/>
      <c r="AN137" s="44"/>
      <c r="AO137" s="44"/>
      <c r="AP137" s="44"/>
      <c r="AQ137" s="44"/>
      <c r="AR137" s="44"/>
      <c r="AS137" s="44"/>
      <c r="AT137" s="45"/>
      <c r="AY137" s="45"/>
      <c r="BH137" s="45"/>
      <c r="BK137" s="45"/>
      <c r="BT137" s="45"/>
      <c r="BU137" s="45"/>
      <c r="CK137" s="10"/>
      <c r="EF137" s="20"/>
      <c r="FD137" s="21"/>
      <c r="FE137" s="21"/>
      <c r="FN137" s="22"/>
      <c r="FO137" s="22"/>
      <c r="FZ137" s="23"/>
      <c r="GA137" s="23"/>
      <c r="JD137" s="26"/>
      <c r="JE137" s="26"/>
      <c r="JF137" s="27"/>
      <c r="JG137" s="27"/>
      <c r="KL137" s="28"/>
      <c r="KP137" s="28"/>
      <c r="KT137" s="28"/>
      <c r="KX137" s="28"/>
      <c r="LB137" s="28"/>
      <c r="LF137" s="28"/>
      <c r="LJ137" s="28"/>
    </row>
    <row r="138" spans="1:322" ht="13.2">
      <c r="A138" s="42"/>
      <c r="B138" s="42"/>
      <c r="C138" s="42"/>
      <c r="D138" s="52"/>
      <c r="E138" s="52"/>
      <c r="O138" s="43"/>
      <c r="AL138" s="44"/>
      <c r="AM138" s="44"/>
      <c r="AN138" s="44"/>
      <c r="AO138" s="44"/>
      <c r="AP138" s="44"/>
      <c r="AQ138" s="44"/>
      <c r="AR138" s="44"/>
      <c r="AS138" s="44"/>
      <c r="AT138" s="45"/>
      <c r="AY138" s="45"/>
      <c r="BH138" s="45"/>
      <c r="BK138" s="45"/>
      <c r="BT138" s="45"/>
      <c r="BU138" s="45"/>
      <c r="CK138" s="10"/>
      <c r="EF138" s="20"/>
      <c r="FD138" s="21"/>
      <c r="FE138" s="21"/>
      <c r="FN138" s="22"/>
      <c r="FO138" s="22"/>
      <c r="FZ138" s="23"/>
      <c r="GA138" s="23"/>
      <c r="JD138" s="26"/>
      <c r="JE138" s="26"/>
      <c r="JF138" s="27"/>
      <c r="JG138" s="27"/>
      <c r="KL138" s="28"/>
      <c r="KP138" s="28"/>
      <c r="KT138" s="28"/>
      <c r="KX138" s="28"/>
      <c r="LB138" s="28"/>
      <c r="LF138" s="28"/>
      <c r="LJ138" s="28"/>
    </row>
    <row r="139" spans="1:322" ht="13.2">
      <c r="A139" s="42"/>
      <c r="B139" s="42"/>
      <c r="C139" s="42"/>
      <c r="D139" s="52"/>
      <c r="E139" s="52"/>
      <c r="O139" s="43"/>
      <c r="AL139" s="44"/>
      <c r="AM139" s="44"/>
      <c r="AN139" s="44"/>
      <c r="AO139" s="44"/>
      <c r="AP139" s="44"/>
      <c r="AQ139" s="44"/>
      <c r="AR139" s="44"/>
      <c r="AS139" s="44"/>
      <c r="AT139" s="45"/>
      <c r="AY139" s="45"/>
      <c r="BH139" s="45"/>
      <c r="BK139" s="45"/>
      <c r="BT139" s="45"/>
      <c r="BU139" s="45"/>
      <c r="CK139" s="10"/>
      <c r="EF139" s="20"/>
      <c r="FD139" s="21"/>
      <c r="FE139" s="21"/>
      <c r="FN139" s="22"/>
      <c r="FO139" s="22"/>
      <c r="FZ139" s="23"/>
      <c r="GA139" s="23"/>
      <c r="JD139" s="26"/>
      <c r="JE139" s="26"/>
      <c r="JF139" s="27"/>
      <c r="JG139" s="27"/>
      <c r="KL139" s="28"/>
      <c r="KP139" s="28"/>
      <c r="KT139" s="28"/>
      <c r="KX139" s="28"/>
      <c r="LB139" s="28"/>
      <c r="LF139" s="28"/>
      <c r="LJ139" s="28"/>
    </row>
    <row r="140" spans="1:322" ht="13.2">
      <c r="A140" s="42"/>
      <c r="B140" s="42"/>
      <c r="C140" s="42"/>
      <c r="D140" s="52"/>
      <c r="E140" s="52"/>
      <c r="O140" s="43"/>
      <c r="AL140" s="44"/>
      <c r="AM140" s="44"/>
      <c r="AN140" s="44"/>
      <c r="AO140" s="44"/>
      <c r="AP140" s="44"/>
      <c r="AQ140" s="44"/>
      <c r="AR140" s="44"/>
      <c r="AS140" s="44"/>
      <c r="AT140" s="45"/>
      <c r="AY140" s="45"/>
      <c r="BH140" s="45"/>
      <c r="BK140" s="45"/>
      <c r="BT140" s="45"/>
      <c r="BU140" s="45"/>
      <c r="CK140" s="10"/>
      <c r="EF140" s="20"/>
      <c r="FD140" s="21"/>
      <c r="FE140" s="21"/>
      <c r="FN140" s="22"/>
      <c r="FO140" s="22"/>
      <c r="FZ140" s="23"/>
      <c r="GA140" s="23"/>
      <c r="JD140" s="26"/>
      <c r="JE140" s="26"/>
      <c r="JF140" s="27"/>
      <c r="JG140" s="27"/>
      <c r="KL140" s="28"/>
      <c r="KP140" s="28"/>
      <c r="KT140" s="28"/>
      <c r="KX140" s="28"/>
      <c r="LB140" s="28"/>
      <c r="LF140" s="28"/>
      <c r="LJ140" s="28"/>
    </row>
    <row r="141" spans="1:322" ht="13.2">
      <c r="A141" s="42"/>
      <c r="B141" s="42"/>
      <c r="C141" s="42"/>
      <c r="D141" s="52"/>
      <c r="E141" s="52"/>
      <c r="O141" s="43"/>
      <c r="AL141" s="44"/>
      <c r="AM141" s="44"/>
      <c r="AN141" s="44"/>
      <c r="AO141" s="44"/>
      <c r="AP141" s="44"/>
      <c r="AQ141" s="44"/>
      <c r="AR141" s="44"/>
      <c r="AS141" s="44"/>
      <c r="AT141" s="45"/>
      <c r="AY141" s="45"/>
      <c r="BH141" s="45"/>
      <c r="BK141" s="45"/>
      <c r="BT141" s="45"/>
      <c r="BU141" s="45"/>
      <c r="CK141" s="10"/>
      <c r="EF141" s="20"/>
      <c r="FD141" s="21"/>
      <c r="FE141" s="21"/>
      <c r="FN141" s="22"/>
      <c r="FO141" s="22"/>
      <c r="FZ141" s="23"/>
      <c r="GA141" s="23"/>
      <c r="JD141" s="26"/>
      <c r="JE141" s="26"/>
      <c r="JF141" s="27"/>
      <c r="JG141" s="27"/>
      <c r="KL141" s="28"/>
      <c r="KP141" s="28"/>
      <c r="KT141" s="28"/>
      <c r="KX141" s="28"/>
      <c r="LB141" s="28"/>
      <c r="LF141" s="28"/>
      <c r="LJ141" s="28"/>
    </row>
    <row r="142" spans="1:322" ht="13.2">
      <c r="A142" s="42"/>
      <c r="B142" s="42"/>
      <c r="C142" s="42"/>
      <c r="D142" s="52"/>
      <c r="E142" s="52"/>
      <c r="O142" s="43"/>
      <c r="AL142" s="44"/>
      <c r="AM142" s="44"/>
      <c r="AN142" s="44"/>
      <c r="AO142" s="44"/>
      <c r="AP142" s="44"/>
      <c r="AQ142" s="44"/>
      <c r="AR142" s="44"/>
      <c r="AS142" s="44"/>
      <c r="AT142" s="45"/>
      <c r="AY142" s="45"/>
      <c r="BH142" s="45"/>
      <c r="BK142" s="45"/>
      <c r="BT142" s="45"/>
      <c r="BU142" s="45"/>
      <c r="CK142" s="10"/>
      <c r="EF142" s="20"/>
      <c r="FD142" s="21"/>
      <c r="FE142" s="21"/>
      <c r="FN142" s="22"/>
      <c r="FO142" s="22"/>
      <c r="FZ142" s="23"/>
      <c r="GA142" s="23"/>
      <c r="JD142" s="26"/>
      <c r="JE142" s="26"/>
      <c r="JF142" s="27"/>
      <c r="JG142" s="27"/>
      <c r="KL142" s="28"/>
      <c r="KP142" s="28"/>
      <c r="KT142" s="28"/>
      <c r="KX142" s="28"/>
      <c r="LB142" s="28"/>
      <c r="LF142" s="28"/>
      <c r="LJ142" s="28"/>
    </row>
    <row r="143" spans="1:322" ht="13.2">
      <c r="A143" s="42"/>
      <c r="B143" s="42"/>
      <c r="C143" s="42"/>
      <c r="D143" s="52"/>
      <c r="E143" s="52"/>
      <c r="O143" s="43"/>
      <c r="AL143" s="44"/>
      <c r="AM143" s="44"/>
      <c r="AN143" s="44"/>
      <c r="AO143" s="44"/>
      <c r="AP143" s="44"/>
      <c r="AQ143" s="44"/>
      <c r="AR143" s="44"/>
      <c r="AS143" s="44"/>
      <c r="AT143" s="45"/>
      <c r="AY143" s="45"/>
      <c r="BH143" s="45"/>
      <c r="BK143" s="45"/>
      <c r="BT143" s="45"/>
      <c r="BU143" s="45"/>
      <c r="CK143" s="10"/>
      <c r="EF143" s="20"/>
      <c r="FD143" s="21"/>
      <c r="FE143" s="21"/>
      <c r="FN143" s="22"/>
      <c r="FO143" s="22"/>
      <c r="FZ143" s="23"/>
      <c r="GA143" s="23"/>
      <c r="JD143" s="26"/>
      <c r="JE143" s="26"/>
      <c r="JF143" s="27"/>
      <c r="JG143" s="27"/>
      <c r="KL143" s="28"/>
      <c r="KP143" s="28"/>
      <c r="KT143" s="28"/>
      <c r="KX143" s="28"/>
      <c r="LB143" s="28"/>
      <c r="LF143" s="28"/>
      <c r="LJ143" s="28"/>
    </row>
    <row r="144" spans="1:322" ht="13.2">
      <c r="A144" s="42"/>
      <c r="B144" s="42"/>
      <c r="C144" s="42"/>
      <c r="D144" s="52"/>
      <c r="E144" s="52"/>
      <c r="O144" s="43"/>
      <c r="AL144" s="44"/>
      <c r="AM144" s="44"/>
      <c r="AN144" s="44"/>
      <c r="AO144" s="44"/>
      <c r="AP144" s="44"/>
      <c r="AQ144" s="44"/>
      <c r="AR144" s="44"/>
      <c r="AS144" s="44"/>
      <c r="AT144" s="45"/>
      <c r="AY144" s="45"/>
      <c r="BH144" s="45"/>
      <c r="BK144" s="45"/>
      <c r="BT144" s="45"/>
      <c r="BU144" s="45"/>
      <c r="CK144" s="10"/>
      <c r="EF144" s="20"/>
      <c r="FD144" s="21"/>
      <c r="FE144" s="21"/>
      <c r="FN144" s="22"/>
      <c r="FO144" s="22"/>
      <c r="FZ144" s="23"/>
      <c r="GA144" s="23"/>
      <c r="JD144" s="26"/>
      <c r="JE144" s="26"/>
      <c r="JF144" s="27"/>
      <c r="JG144" s="27"/>
      <c r="KL144" s="28"/>
      <c r="KP144" s="28"/>
      <c r="KT144" s="28"/>
      <c r="KX144" s="28"/>
      <c r="LB144" s="28"/>
      <c r="LF144" s="28"/>
      <c r="LJ144" s="28"/>
    </row>
    <row r="145" spans="1:322" ht="13.2">
      <c r="A145" s="42"/>
      <c r="B145" s="42"/>
      <c r="C145" s="42"/>
      <c r="D145" s="52"/>
      <c r="E145" s="52"/>
      <c r="O145" s="43"/>
      <c r="AL145" s="44"/>
      <c r="AM145" s="44"/>
      <c r="AN145" s="44"/>
      <c r="AO145" s="44"/>
      <c r="AP145" s="44"/>
      <c r="AQ145" s="44"/>
      <c r="AR145" s="44"/>
      <c r="AS145" s="44"/>
      <c r="AT145" s="45"/>
      <c r="AY145" s="45"/>
      <c r="BH145" s="45"/>
      <c r="BK145" s="45"/>
      <c r="BT145" s="45"/>
      <c r="BU145" s="45"/>
      <c r="CK145" s="10"/>
      <c r="EF145" s="20"/>
      <c r="FD145" s="21"/>
      <c r="FE145" s="21"/>
      <c r="FN145" s="22"/>
      <c r="FO145" s="22"/>
      <c r="FZ145" s="23"/>
      <c r="GA145" s="23"/>
      <c r="JD145" s="26"/>
      <c r="JE145" s="26"/>
      <c r="JF145" s="27"/>
      <c r="JG145" s="27"/>
      <c r="KL145" s="28"/>
      <c r="KP145" s="28"/>
      <c r="KT145" s="28"/>
      <c r="KX145" s="28"/>
      <c r="LB145" s="28"/>
      <c r="LF145" s="28"/>
      <c r="LJ145" s="28"/>
    </row>
    <row r="146" spans="1:322" ht="13.2">
      <c r="A146" s="42"/>
      <c r="B146" s="42"/>
      <c r="C146" s="42"/>
      <c r="D146" s="52"/>
      <c r="E146" s="52"/>
      <c r="O146" s="43"/>
      <c r="AL146" s="44"/>
      <c r="AM146" s="44"/>
      <c r="AN146" s="44"/>
      <c r="AO146" s="44"/>
      <c r="AP146" s="44"/>
      <c r="AQ146" s="44"/>
      <c r="AR146" s="44"/>
      <c r="AS146" s="44"/>
      <c r="AT146" s="45"/>
      <c r="AY146" s="45"/>
      <c r="BH146" s="45"/>
      <c r="BK146" s="45"/>
      <c r="BT146" s="45"/>
      <c r="BU146" s="45"/>
      <c r="CK146" s="10"/>
      <c r="EF146" s="20"/>
      <c r="FD146" s="21"/>
      <c r="FE146" s="21"/>
      <c r="FN146" s="22"/>
      <c r="FO146" s="22"/>
      <c r="FZ146" s="23"/>
      <c r="GA146" s="23"/>
      <c r="JD146" s="26"/>
      <c r="JE146" s="26"/>
      <c r="JF146" s="27"/>
      <c r="JG146" s="27"/>
      <c r="KL146" s="28"/>
      <c r="KP146" s="28"/>
      <c r="KT146" s="28"/>
      <c r="KX146" s="28"/>
      <c r="LB146" s="28"/>
      <c r="LF146" s="28"/>
      <c r="LJ146" s="28"/>
    </row>
    <row r="147" spans="1:322" ht="13.2">
      <c r="A147" s="42"/>
      <c r="B147" s="42"/>
      <c r="C147" s="42"/>
      <c r="D147" s="52"/>
      <c r="E147" s="52"/>
      <c r="O147" s="43"/>
      <c r="AL147" s="44"/>
      <c r="AM147" s="44"/>
      <c r="AN147" s="44"/>
      <c r="AO147" s="44"/>
      <c r="AP147" s="44"/>
      <c r="AQ147" s="44"/>
      <c r="AR147" s="44"/>
      <c r="AS147" s="44"/>
      <c r="AT147" s="45"/>
      <c r="AY147" s="45"/>
      <c r="BH147" s="45"/>
      <c r="BK147" s="45"/>
      <c r="BT147" s="45"/>
      <c r="BU147" s="45"/>
      <c r="CK147" s="10"/>
      <c r="EF147" s="20"/>
      <c r="FD147" s="21"/>
      <c r="FE147" s="21"/>
      <c r="FN147" s="22"/>
      <c r="FO147" s="22"/>
      <c r="FZ147" s="23"/>
      <c r="GA147" s="23"/>
      <c r="JD147" s="26"/>
      <c r="JE147" s="26"/>
      <c r="JF147" s="27"/>
      <c r="JG147" s="27"/>
      <c r="KL147" s="28"/>
      <c r="KP147" s="28"/>
      <c r="KT147" s="28"/>
      <c r="KX147" s="28"/>
      <c r="LB147" s="28"/>
      <c r="LF147" s="28"/>
      <c r="LJ147" s="28"/>
    </row>
    <row r="148" spans="1:322" ht="13.2">
      <c r="A148" s="42"/>
      <c r="B148" s="42"/>
      <c r="C148" s="42"/>
      <c r="D148" s="52"/>
      <c r="E148" s="52"/>
      <c r="O148" s="43"/>
      <c r="AL148" s="44"/>
      <c r="AM148" s="44"/>
      <c r="AN148" s="44"/>
      <c r="AO148" s="44"/>
      <c r="AP148" s="44"/>
      <c r="AQ148" s="44"/>
      <c r="AR148" s="44"/>
      <c r="AS148" s="44"/>
      <c r="AT148" s="45"/>
      <c r="AY148" s="45"/>
      <c r="BH148" s="45"/>
      <c r="BK148" s="45"/>
      <c r="BT148" s="45"/>
      <c r="BU148" s="45"/>
      <c r="CK148" s="10"/>
      <c r="EF148" s="20"/>
      <c r="FD148" s="21"/>
      <c r="FE148" s="21"/>
      <c r="FN148" s="22"/>
      <c r="FO148" s="22"/>
      <c r="FZ148" s="23"/>
      <c r="GA148" s="23"/>
      <c r="JD148" s="26"/>
      <c r="JE148" s="26"/>
      <c r="JF148" s="27"/>
      <c r="JG148" s="27"/>
      <c r="KL148" s="28"/>
      <c r="KP148" s="28"/>
      <c r="KT148" s="28"/>
      <c r="KX148" s="28"/>
      <c r="LB148" s="28"/>
      <c r="LF148" s="28"/>
      <c r="LJ148" s="28"/>
    </row>
    <row r="149" spans="1:322" ht="13.2">
      <c r="A149" s="42"/>
      <c r="B149" s="42"/>
      <c r="C149" s="42"/>
      <c r="D149" s="52"/>
      <c r="E149" s="52"/>
      <c r="O149" s="43"/>
      <c r="AL149" s="44"/>
      <c r="AM149" s="44"/>
      <c r="AN149" s="44"/>
      <c r="AO149" s="44"/>
      <c r="AP149" s="44"/>
      <c r="AQ149" s="44"/>
      <c r="AR149" s="44"/>
      <c r="AS149" s="44"/>
      <c r="AT149" s="45"/>
      <c r="AY149" s="45"/>
      <c r="BH149" s="45"/>
      <c r="BK149" s="45"/>
      <c r="BT149" s="45"/>
      <c r="BU149" s="45"/>
      <c r="CK149" s="10"/>
      <c r="EF149" s="20"/>
      <c r="FD149" s="21"/>
      <c r="FE149" s="21"/>
      <c r="FN149" s="22"/>
      <c r="FO149" s="22"/>
      <c r="FZ149" s="23"/>
      <c r="GA149" s="23"/>
      <c r="JD149" s="26"/>
      <c r="JE149" s="26"/>
      <c r="JF149" s="27"/>
      <c r="JG149" s="27"/>
      <c r="KL149" s="28"/>
      <c r="KP149" s="28"/>
      <c r="KT149" s="28"/>
      <c r="KX149" s="28"/>
      <c r="LB149" s="28"/>
      <c r="LF149" s="28"/>
      <c r="LJ149" s="28"/>
    </row>
    <row r="150" spans="1:322" ht="13.2">
      <c r="A150" s="42"/>
      <c r="B150" s="42"/>
      <c r="C150" s="42"/>
      <c r="D150" s="52"/>
      <c r="E150" s="52"/>
      <c r="O150" s="43"/>
      <c r="AL150" s="44"/>
      <c r="AM150" s="44"/>
      <c r="AN150" s="44"/>
      <c r="AO150" s="44"/>
      <c r="AP150" s="44"/>
      <c r="AQ150" s="44"/>
      <c r="AR150" s="44"/>
      <c r="AS150" s="44"/>
      <c r="AT150" s="45"/>
      <c r="AY150" s="45"/>
      <c r="BH150" s="45"/>
      <c r="BK150" s="45"/>
      <c r="BT150" s="45"/>
      <c r="BU150" s="45"/>
      <c r="CK150" s="10"/>
      <c r="EF150" s="20"/>
      <c r="FD150" s="21"/>
      <c r="FE150" s="21"/>
      <c r="FN150" s="22"/>
      <c r="FO150" s="22"/>
      <c r="FZ150" s="23"/>
      <c r="GA150" s="23"/>
      <c r="JD150" s="26"/>
      <c r="JE150" s="26"/>
      <c r="JF150" s="27"/>
      <c r="JG150" s="27"/>
      <c r="KL150" s="28"/>
      <c r="KP150" s="28"/>
      <c r="KT150" s="28"/>
      <c r="KX150" s="28"/>
      <c r="LB150" s="28"/>
      <c r="LF150" s="28"/>
      <c r="LJ150" s="28"/>
    </row>
    <row r="151" spans="1:322" ht="13.2">
      <c r="A151" s="42"/>
      <c r="B151" s="42"/>
      <c r="C151" s="42"/>
      <c r="D151" s="52"/>
      <c r="E151" s="52"/>
      <c r="O151" s="43"/>
      <c r="AL151" s="44"/>
      <c r="AM151" s="44"/>
      <c r="AN151" s="44"/>
      <c r="AO151" s="44"/>
      <c r="AP151" s="44"/>
      <c r="AQ151" s="44"/>
      <c r="AR151" s="44"/>
      <c r="AS151" s="44"/>
      <c r="AT151" s="45"/>
      <c r="AY151" s="45"/>
      <c r="BH151" s="45"/>
      <c r="BK151" s="45"/>
      <c r="BT151" s="45"/>
      <c r="BU151" s="45"/>
      <c r="CK151" s="10"/>
      <c r="EF151" s="20"/>
      <c r="FD151" s="21"/>
      <c r="FE151" s="21"/>
      <c r="FN151" s="22"/>
      <c r="FO151" s="22"/>
      <c r="FZ151" s="23"/>
      <c r="GA151" s="23"/>
      <c r="JD151" s="26"/>
      <c r="JE151" s="26"/>
      <c r="JF151" s="27"/>
      <c r="JG151" s="27"/>
      <c r="KL151" s="28"/>
      <c r="KP151" s="28"/>
      <c r="KT151" s="28"/>
      <c r="KX151" s="28"/>
      <c r="LB151" s="28"/>
      <c r="LF151" s="28"/>
      <c r="LJ151" s="28"/>
    </row>
    <row r="152" spans="1:322" ht="13.2">
      <c r="A152" s="42"/>
      <c r="B152" s="42"/>
      <c r="C152" s="42"/>
      <c r="D152" s="52"/>
      <c r="E152" s="52"/>
      <c r="O152" s="43"/>
      <c r="AL152" s="44"/>
      <c r="AM152" s="44"/>
      <c r="AN152" s="44"/>
      <c r="AO152" s="44"/>
      <c r="AP152" s="44"/>
      <c r="AQ152" s="44"/>
      <c r="AR152" s="44"/>
      <c r="AS152" s="44"/>
      <c r="AT152" s="45"/>
      <c r="AY152" s="45"/>
      <c r="BH152" s="45"/>
      <c r="BK152" s="45"/>
      <c r="BT152" s="45"/>
      <c r="BU152" s="45"/>
      <c r="CK152" s="10"/>
      <c r="EF152" s="20"/>
      <c r="FD152" s="21"/>
      <c r="FE152" s="21"/>
      <c r="FN152" s="22"/>
      <c r="FO152" s="22"/>
      <c r="FZ152" s="23"/>
      <c r="GA152" s="23"/>
      <c r="JD152" s="26"/>
      <c r="JE152" s="26"/>
      <c r="JF152" s="27"/>
      <c r="JG152" s="27"/>
      <c r="KL152" s="28"/>
      <c r="KP152" s="28"/>
      <c r="KT152" s="28"/>
      <c r="KX152" s="28"/>
      <c r="LB152" s="28"/>
      <c r="LF152" s="28"/>
      <c r="LJ152" s="28"/>
    </row>
    <row r="153" spans="1:322" ht="13.2">
      <c r="A153" s="42"/>
      <c r="B153" s="42"/>
      <c r="C153" s="42"/>
      <c r="D153" s="52"/>
      <c r="E153" s="52"/>
      <c r="O153" s="43"/>
      <c r="AL153" s="44"/>
      <c r="AM153" s="44"/>
      <c r="AN153" s="44"/>
      <c r="AO153" s="44"/>
      <c r="AP153" s="44"/>
      <c r="AQ153" s="44"/>
      <c r="AR153" s="44"/>
      <c r="AS153" s="44"/>
      <c r="AT153" s="45"/>
      <c r="AY153" s="45"/>
      <c r="BH153" s="45"/>
      <c r="BK153" s="45"/>
      <c r="BT153" s="45"/>
      <c r="BU153" s="45"/>
      <c r="CK153" s="10"/>
      <c r="EF153" s="20"/>
      <c r="FD153" s="21"/>
      <c r="FE153" s="21"/>
      <c r="FN153" s="22"/>
      <c r="FO153" s="22"/>
      <c r="FZ153" s="23"/>
      <c r="GA153" s="23"/>
      <c r="JD153" s="26"/>
      <c r="JE153" s="26"/>
      <c r="JF153" s="27"/>
      <c r="JG153" s="27"/>
      <c r="KL153" s="28"/>
      <c r="KP153" s="28"/>
      <c r="KT153" s="28"/>
      <c r="KX153" s="28"/>
      <c r="LB153" s="28"/>
      <c r="LF153" s="28"/>
      <c r="LJ153" s="28"/>
    </row>
    <row r="154" spans="1:322" ht="13.2">
      <c r="A154" s="42"/>
      <c r="B154" s="42"/>
      <c r="C154" s="42"/>
      <c r="D154" s="52"/>
      <c r="E154" s="52"/>
      <c r="O154" s="43"/>
      <c r="AL154" s="44"/>
      <c r="AM154" s="44"/>
      <c r="AN154" s="44"/>
      <c r="AO154" s="44"/>
      <c r="AP154" s="44"/>
      <c r="AQ154" s="44"/>
      <c r="AR154" s="44"/>
      <c r="AS154" s="44"/>
      <c r="AT154" s="45"/>
      <c r="AY154" s="45"/>
      <c r="BH154" s="45"/>
      <c r="BK154" s="45"/>
      <c r="BT154" s="45"/>
      <c r="BU154" s="45"/>
      <c r="CK154" s="10"/>
      <c r="EF154" s="20"/>
      <c r="FD154" s="21"/>
      <c r="FE154" s="21"/>
      <c r="FN154" s="22"/>
      <c r="FO154" s="22"/>
      <c r="FZ154" s="23"/>
      <c r="GA154" s="23"/>
      <c r="JD154" s="26"/>
      <c r="JE154" s="26"/>
      <c r="JF154" s="27"/>
      <c r="JG154" s="27"/>
      <c r="KL154" s="28"/>
      <c r="KP154" s="28"/>
      <c r="KT154" s="28"/>
      <c r="KX154" s="28"/>
      <c r="LB154" s="28"/>
      <c r="LF154" s="28"/>
      <c r="LJ154" s="28"/>
    </row>
    <row r="155" spans="1:322" ht="13.2">
      <c r="A155" s="42"/>
      <c r="B155" s="42"/>
      <c r="C155" s="42"/>
      <c r="D155" s="52"/>
      <c r="E155" s="52"/>
      <c r="O155" s="43"/>
      <c r="AL155" s="44"/>
      <c r="AM155" s="44"/>
      <c r="AN155" s="44"/>
      <c r="AO155" s="44"/>
      <c r="AP155" s="44"/>
      <c r="AQ155" s="44"/>
      <c r="AR155" s="44"/>
      <c r="AS155" s="44"/>
      <c r="AT155" s="45"/>
      <c r="AY155" s="45"/>
      <c r="BH155" s="45"/>
      <c r="BK155" s="45"/>
      <c r="BT155" s="45"/>
      <c r="BU155" s="45"/>
      <c r="CK155" s="10"/>
      <c r="EF155" s="20"/>
      <c r="FD155" s="21"/>
      <c r="FE155" s="21"/>
      <c r="FN155" s="22"/>
      <c r="FO155" s="22"/>
      <c r="FZ155" s="23"/>
      <c r="GA155" s="23"/>
      <c r="JD155" s="26"/>
      <c r="JE155" s="26"/>
      <c r="JF155" s="27"/>
      <c r="JG155" s="27"/>
      <c r="KL155" s="28"/>
      <c r="KP155" s="28"/>
      <c r="KT155" s="28"/>
      <c r="KX155" s="28"/>
      <c r="LB155" s="28"/>
      <c r="LF155" s="28"/>
      <c r="LJ155" s="28"/>
    </row>
    <row r="156" spans="1:322" ht="13.2">
      <c r="A156" s="42"/>
      <c r="B156" s="42"/>
      <c r="C156" s="42"/>
      <c r="D156" s="52"/>
      <c r="E156" s="52"/>
      <c r="O156" s="43"/>
      <c r="AL156" s="44"/>
      <c r="AM156" s="44"/>
      <c r="AN156" s="44"/>
      <c r="AO156" s="44"/>
      <c r="AP156" s="44"/>
      <c r="AQ156" s="44"/>
      <c r="AR156" s="44"/>
      <c r="AS156" s="44"/>
      <c r="AT156" s="45"/>
      <c r="AY156" s="45"/>
      <c r="BH156" s="45"/>
      <c r="BK156" s="45"/>
      <c r="BT156" s="45"/>
      <c r="BU156" s="45"/>
      <c r="CK156" s="10"/>
      <c r="EF156" s="20"/>
      <c r="FD156" s="21"/>
      <c r="FE156" s="21"/>
      <c r="FN156" s="22"/>
      <c r="FO156" s="22"/>
      <c r="FZ156" s="23"/>
      <c r="GA156" s="23"/>
      <c r="JD156" s="26"/>
      <c r="JE156" s="26"/>
      <c r="JF156" s="27"/>
      <c r="JG156" s="27"/>
      <c r="KL156" s="28"/>
      <c r="KP156" s="28"/>
      <c r="KT156" s="28"/>
      <c r="KX156" s="28"/>
      <c r="LB156" s="28"/>
      <c r="LF156" s="28"/>
      <c r="LJ156" s="28"/>
    </row>
    <row r="157" spans="1:322" ht="13.2">
      <c r="A157" s="42"/>
      <c r="B157" s="42"/>
      <c r="C157" s="42"/>
      <c r="D157" s="52"/>
      <c r="E157" s="52"/>
      <c r="O157" s="43"/>
      <c r="AL157" s="44"/>
      <c r="AM157" s="44"/>
      <c r="AN157" s="44"/>
      <c r="AO157" s="44"/>
      <c r="AP157" s="44"/>
      <c r="AQ157" s="44"/>
      <c r="AR157" s="44"/>
      <c r="AS157" s="44"/>
      <c r="AT157" s="45"/>
      <c r="AY157" s="45"/>
      <c r="BH157" s="45"/>
      <c r="BK157" s="45"/>
      <c r="BT157" s="45"/>
      <c r="BU157" s="45"/>
      <c r="CK157" s="10"/>
      <c r="EF157" s="20"/>
      <c r="FD157" s="21"/>
      <c r="FE157" s="21"/>
      <c r="FN157" s="22"/>
      <c r="FO157" s="22"/>
      <c r="FZ157" s="23"/>
      <c r="GA157" s="23"/>
      <c r="JD157" s="26"/>
      <c r="JE157" s="26"/>
      <c r="JF157" s="27"/>
      <c r="JG157" s="27"/>
      <c r="KL157" s="28"/>
      <c r="KP157" s="28"/>
      <c r="KT157" s="28"/>
      <c r="KX157" s="28"/>
      <c r="LB157" s="28"/>
      <c r="LF157" s="28"/>
      <c r="LJ157" s="28"/>
    </row>
    <row r="158" spans="1:322" ht="13.2">
      <c r="A158" s="42"/>
      <c r="B158" s="42"/>
      <c r="C158" s="42"/>
      <c r="D158" s="52"/>
      <c r="E158" s="52"/>
      <c r="O158" s="43"/>
      <c r="AL158" s="44"/>
      <c r="AM158" s="44"/>
      <c r="AN158" s="44"/>
      <c r="AO158" s="44"/>
      <c r="AP158" s="44"/>
      <c r="AQ158" s="44"/>
      <c r="AR158" s="44"/>
      <c r="AS158" s="44"/>
      <c r="AT158" s="45"/>
      <c r="AY158" s="45"/>
      <c r="BH158" s="45"/>
      <c r="BK158" s="45"/>
      <c r="BT158" s="45"/>
      <c r="BU158" s="45"/>
      <c r="CK158" s="10"/>
      <c r="EF158" s="20"/>
      <c r="FD158" s="21"/>
      <c r="FE158" s="21"/>
      <c r="FN158" s="22"/>
      <c r="FO158" s="22"/>
      <c r="FZ158" s="23"/>
      <c r="GA158" s="23"/>
      <c r="JD158" s="26"/>
      <c r="JE158" s="26"/>
      <c r="JF158" s="27"/>
      <c r="JG158" s="27"/>
      <c r="KL158" s="28"/>
      <c r="KP158" s="28"/>
      <c r="KT158" s="28"/>
      <c r="KX158" s="28"/>
      <c r="LB158" s="28"/>
      <c r="LF158" s="28"/>
      <c r="LJ158" s="28"/>
    </row>
    <row r="159" spans="1:322" ht="13.2">
      <c r="A159" s="42"/>
      <c r="B159" s="42"/>
      <c r="C159" s="42"/>
      <c r="D159" s="52"/>
      <c r="E159" s="52"/>
      <c r="O159" s="43"/>
      <c r="AL159" s="44"/>
      <c r="AM159" s="44"/>
      <c r="AN159" s="44"/>
      <c r="AO159" s="44"/>
      <c r="AP159" s="44"/>
      <c r="AQ159" s="44"/>
      <c r="AR159" s="44"/>
      <c r="AS159" s="44"/>
      <c r="AT159" s="45"/>
      <c r="AY159" s="45"/>
      <c r="BH159" s="45"/>
      <c r="BK159" s="45"/>
      <c r="BT159" s="45"/>
      <c r="BU159" s="45"/>
      <c r="CK159" s="10"/>
      <c r="EF159" s="20"/>
      <c r="FD159" s="21"/>
      <c r="FE159" s="21"/>
      <c r="FN159" s="22"/>
      <c r="FO159" s="22"/>
      <c r="FZ159" s="23"/>
      <c r="GA159" s="23"/>
      <c r="JD159" s="26"/>
      <c r="JE159" s="26"/>
      <c r="JF159" s="27"/>
      <c r="JG159" s="27"/>
      <c r="KL159" s="28"/>
      <c r="KP159" s="28"/>
      <c r="KT159" s="28"/>
      <c r="KX159" s="28"/>
      <c r="LB159" s="28"/>
      <c r="LF159" s="28"/>
      <c r="LJ159" s="28"/>
    </row>
    <row r="160" spans="1:322" ht="13.2">
      <c r="A160" s="42"/>
      <c r="B160" s="42"/>
      <c r="C160" s="42"/>
      <c r="D160" s="52"/>
      <c r="E160" s="52"/>
      <c r="O160" s="43"/>
      <c r="AL160" s="44"/>
      <c r="AM160" s="44"/>
      <c r="AN160" s="44"/>
      <c r="AO160" s="44"/>
      <c r="AP160" s="44"/>
      <c r="AQ160" s="44"/>
      <c r="AR160" s="44"/>
      <c r="AS160" s="44"/>
      <c r="AT160" s="45"/>
      <c r="AY160" s="45"/>
      <c r="BH160" s="45"/>
      <c r="BK160" s="45"/>
      <c r="BT160" s="45"/>
      <c r="BU160" s="45"/>
      <c r="CK160" s="10"/>
      <c r="EF160" s="20"/>
      <c r="FD160" s="21"/>
      <c r="FE160" s="21"/>
      <c r="FN160" s="22"/>
      <c r="FO160" s="22"/>
      <c r="FZ160" s="23"/>
      <c r="GA160" s="23"/>
      <c r="JD160" s="26"/>
      <c r="JE160" s="26"/>
      <c r="JF160" s="27"/>
      <c r="JG160" s="27"/>
      <c r="KL160" s="28"/>
      <c r="KP160" s="28"/>
      <c r="KT160" s="28"/>
      <c r="KX160" s="28"/>
      <c r="LB160" s="28"/>
      <c r="LF160" s="28"/>
      <c r="LJ160" s="28"/>
    </row>
    <row r="161" spans="1:322" ht="13.2">
      <c r="A161" s="42"/>
      <c r="B161" s="42"/>
      <c r="C161" s="42"/>
      <c r="D161" s="52"/>
      <c r="E161" s="52"/>
      <c r="O161" s="43"/>
      <c r="AL161" s="44"/>
      <c r="AM161" s="44"/>
      <c r="AN161" s="44"/>
      <c r="AO161" s="44"/>
      <c r="AP161" s="44"/>
      <c r="AQ161" s="44"/>
      <c r="AR161" s="44"/>
      <c r="AS161" s="44"/>
      <c r="AT161" s="45"/>
      <c r="AY161" s="45"/>
      <c r="BH161" s="45"/>
      <c r="BK161" s="45"/>
      <c r="BT161" s="45"/>
      <c r="BU161" s="45"/>
      <c r="CK161" s="10"/>
      <c r="EF161" s="20"/>
      <c r="FD161" s="21"/>
      <c r="FE161" s="21"/>
      <c r="FN161" s="22"/>
      <c r="FO161" s="22"/>
      <c r="FZ161" s="23"/>
      <c r="GA161" s="23"/>
      <c r="JD161" s="26"/>
      <c r="JE161" s="26"/>
      <c r="JF161" s="27"/>
      <c r="JG161" s="27"/>
      <c r="KL161" s="28"/>
      <c r="KP161" s="28"/>
      <c r="KT161" s="28"/>
      <c r="KX161" s="28"/>
      <c r="LB161" s="28"/>
      <c r="LF161" s="28"/>
      <c r="LJ161" s="28"/>
    </row>
    <row r="162" spans="1:322" ht="13.2">
      <c r="A162" s="42"/>
      <c r="B162" s="42"/>
      <c r="C162" s="42"/>
      <c r="D162" s="52"/>
      <c r="E162" s="52"/>
      <c r="O162" s="43"/>
      <c r="AL162" s="44"/>
      <c r="AM162" s="44"/>
      <c r="AN162" s="44"/>
      <c r="AO162" s="44"/>
      <c r="AP162" s="44"/>
      <c r="AQ162" s="44"/>
      <c r="AR162" s="44"/>
      <c r="AS162" s="44"/>
      <c r="AT162" s="45"/>
      <c r="AY162" s="45"/>
      <c r="BH162" s="45"/>
      <c r="BK162" s="45"/>
      <c r="BT162" s="45"/>
      <c r="BU162" s="45"/>
      <c r="CK162" s="10"/>
      <c r="EF162" s="20"/>
      <c r="FD162" s="21"/>
      <c r="FE162" s="21"/>
      <c r="FN162" s="22"/>
      <c r="FO162" s="22"/>
      <c r="FZ162" s="23"/>
      <c r="GA162" s="23"/>
      <c r="JD162" s="26"/>
      <c r="JE162" s="26"/>
      <c r="JF162" s="27"/>
      <c r="JG162" s="27"/>
      <c r="KL162" s="28"/>
      <c r="KP162" s="28"/>
      <c r="KT162" s="28"/>
      <c r="KX162" s="28"/>
      <c r="LB162" s="28"/>
      <c r="LF162" s="28"/>
      <c r="LJ162" s="28"/>
    </row>
    <row r="163" spans="1:322" ht="13.2">
      <c r="A163" s="42"/>
      <c r="B163" s="42"/>
      <c r="C163" s="42"/>
      <c r="D163" s="52"/>
      <c r="E163" s="52"/>
      <c r="O163" s="43"/>
      <c r="AL163" s="44"/>
      <c r="AM163" s="44"/>
      <c r="AN163" s="44"/>
      <c r="AO163" s="44"/>
      <c r="AP163" s="44"/>
      <c r="AQ163" s="44"/>
      <c r="AR163" s="44"/>
      <c r="AS163" s="44"/>
      <c r="AT163" s="45"/>
      <c r="AY163" s="45"/>
      <c r="BH163" s="45"/>
      <c r="BK163" s="45"/>
      <c r="BT163" s="45"/>
      <c r="BU163" s="45"/>
      <c r="CK163" s="10"/>
      <c r="EF163" s="20"/>
      <c r="FD163" s="21"/>
      <c r="FE163" s="21"/>
      <c r="FN163" s="22"/>
      <c r="FO163" s="22"/>
      <c r="FZ163" s="23"/>
      <c r="GA163" s="23"/>
      <c r="JD163" s="26"/>
      <c r="JE163" s="26"/>
      <c r="JF163" s="27"/>
      <c r="JG163" s="27"/>
      <c r="KL163" s="28"/>
      <c r="KP163" s="28"/>
      <c r="KT163" s="28"/>
      <c r="KX163" s="28"/>
      <c r="LB163" s="28"/>
      <c r="LF163" s="28"/>
      <c r="LJ163" s="28"/>
    </row>
    <row r="164" spans="1:322" ht="13.2">
      <c r="A164" s="42"/>
      <c r="B164" s="42"/>
      <c r="C164" s="42"/>
      <c r="D164" s="52"/>
      <c r="E164" s="52"/>
      <c r="O164" s="43"/>
      <c r="AL164" s="44"/>
      <c r="AM164" s="44"/>
      <c r="AN164" s="44"/>
      <c r="AO164" s="44"/>
      <c r="AP164" s="44"/>
      <c r="AQ164" s="44"/>
      <c r="AR164" s="44"/>
      <c r="AS164" s="44"/>
      <c r="AT164" s="45"/>
      <c r="AY164" s="45"/>
      <c r="BH164" s="45"/>
      <c r="BK164" s="45"/>
      <c r="BT164" s="45"/>
      <c r="BU164" s="45"/>
      <c r="CK164" s="10"/>
      <c r="EF164" s="20"/>
      <c r="FD164" s="21"/>
      <c r="FE164" s="21"/>
      <c r="FN164" s="22"/>
      <c r="FO164" s="22"/>
      <c r="FZ164" s="23"/>
      <c r="GA164" s="23"/>
      <c r="JD164" s="26"/>
      <c r="JE164" s="26"/>
      <c r="JF164" s="27"/>
      <c r="JG164" s="27"/>
      <c r="KL164" s="28"/>
      <c r="KP164" s="28"/>
      <c r="KT164" s="28"/>
      <c r="KX164" s="28"/>
      <c r="LB164" s="28"/>
      <c r="LF164" s="28"/>
      <c r="LJ164" s="28"/>
    </row>
    <row r="165" spans="1:322" ht="13.2">
      <c r="A165" s="42"/>
      <c r="B165" s="42"/>
      <c r="C165" s="42"/>
      <c r="D165" s="52"/>
      <c r="E165" s="52"/>
      <c r="O165" s="43"/>
      <c r="AL165" s="44"/>
      <c r="AM165" s="44"/>
      <c r="AN165" s="44"/>
      <c r="AO165" s="44"/>
      <c r="AP165" s="44"/>
      <c r="AQ165" s="44"/>
      <c r="AR165" s="44"/>
      <c r="AS165" s="44"/>
      <c r="AT165" s="45"/>
      <c r="AY165" s="45"/>
      <c r="BH165" s="45"/>
      <c r="BK165" s="45"/>
      <c r="BT165" s="45"/>
      <c r="BU165" s="45"/>
      <c r="CK165" s="10"/>
      <c r="EF165" s="20"/>
      <c r="FD165" s="21"/>
      <c r="FE165" s="21"/>
      <c r="FN165" s="22"/>
      <c r="FO165" s="22"/>
      <c r="FZ165" s="23"/>
      <c r="GA165" s="23"/>
      <c r="JD165" s="26"/>
      <c r="JE165" s="26"/>
      <c r="JF165" s="27"/>
      <c r="JG165" s="27"/>
      <c r="KL165" s="28"/>
      <c r="KP165" s="28"/>
      <c r="KT165" s="28"/>
      <c r="KX165" s="28"/>
      <c r="LB165" s="28"/>
      <c r="LF165" s="28"/>
      <c r="LJ165" s="28"/>
    </row>
    <row r="166" spans="1:322" ht="13.2">
      <c r="A166" s="42"/>
      <c r="B166" s="42"/>
      <c r="C166" s="42"/>
      <c r="D166" s="52"/>
      <c r="E166" s="52"/>
      <c r="O166" s="43"/>
      <c r="AL166" s="44"/>
      <c r="AM166" s="44"/>
      <c r="AN166" s="44"/>
      <c r="AO166" s="44"/>
      <c r="AP166" s="44"/>
      <c r="AQ166" s="44"/>
      <c r="AR166" s="44"/>
      <c r="AS166" s="44"/>
      <c r="AT166" s="45"/>
      <c r="AY166" s="45"/>
      <c r="BH166" s="45"/>
      <c r="BK166" s="45"/>
      <c r="BT166" s="45"/>
      <c r="BU166" s="45"/>
      <c r="CK166" s="10"/>
      <c r="EF166" s="20"/>
      <c r="FD166" s="21"/>
      <c r="FE166" s="21"/>
      <c r="FN166" s="22"/>
      <c r="FO166" s="22"/>
      <c r="FZ166" s="23"/>
      <c r="GA166" s="23"/>
      <c r="JD166" s="26"/>
      <c r="JE166" s="26"/>
      <c r="JF166" s="27"/>
      <c r="JG166" s="27"/>
      <c r="KL166" s="28"/>
      <c r="KP166" s="28"/>
      <c r="KT166" s="28"/>
      <c r="KX166" s="28"/>
      <c r="LB166" s="28"/>
      <c r="LF166" s="28"/>
      <c r="LJ166" s="28"/>
    </row>
    <row r="167" spans="1:322" ht="13.2">
      <c r="A167" s="42"/>
      <c r="B167" s="42"/>
      <c r="C167" s="42"/>
      <c r="D167" s="52"/>
      <c r="E167" s="52"/>
      <c r="O167" s="43"/>
      <c r="AL167" s="44"/>
      <c r="AM167" s="44"/>
      <c r="AN167" s="44"/>
      <c r="AO167" s="44"/>
      <c r="AP167" s="44"/>
      <c r="AQ167" s="44"/>
      <c r="AR167" s="44"/>
      <c r="AS167" s="44"/>
      <c r="AT167" s="45"/>
      <c r="AY167" s="45"/>
      <c r="BH167" s="45"/>
      <c r="BK167" s="45"/>
      <c r="BT167" s="45"/>
      <c r="BU167" s="45"/>
      <c r="CK167" s="10"/>
      <c r="EF167" s="20"/>
      <c r="FD167" s="21"/>
      <c r="FE167" s="21"/>
      <c r="FN167" s="22"/>
      <c r="FO167" s="22"/>
      <c r="FZ167" s="23"/>
      <c r="GA167" s="23"/>
      <c r="JD167" s="26"/>
      <c r="JE167" s="26"/>
      <c r="JF167" s="27"/>
      <c r="JG167" s="27"/>
      <c r="KL167" s="28"/>
      <c r="KP167" s="28"/>
      <c r="KT167" s="28"/>
      <c r="KX167" s="28"/>
      <c r="LB167" s="28"/>
      <c r="LF167" s="28"/>
      <c r="LJ167" s="28"/>
    </row>
    <row r="168" spans="1:322" ht="13.2">
      <c r="A168" s="42"/>
      <c r="B168" s="42"/>
      <c r="C168" s="42"/>
      <c r="D168" s="52"/>
      <c r="E168" s="52"/>
      <c r="O168" s="43"/>
      <c r="AL168" s="44"/>
      <c r="AM168" s="44"/>
      <c r="AN168" s="44"/>
      <c r="AO168" s="44"/>
      <c r="AP168" s="44"/>
      <c r="AQ168" s="44"/>
      <c r="AR168" s="44"/>
      <c r="AS168" s="44"/>
      <c r="AT168" s="45"/>
      <c r="AY168" s="45"/>
      <c r="BH168" s="45"/>
      <c r="BK168" s="45"/>
      <c r="BT168" s="45"/>
      <c r="BU168" s="45"/>
      <c r="CK168" s="10"/>
      <c r="EF168" s="20"/>
      <c r="FD168" s="21"/>
      <c r="FE168" s="21"/>
      <c r="FN168" s="22"/>
      <c r="FO168" s="22"/>
      <c r="FZ168" s="23"/>
      <c r="GA168" s="23"/>
      <c r="JD168" s="26"/>
      <c r="JE168" s="26"/>
      <c r="JF168" s="27"/>
      <c r="JG168" s="27"/>
      <c r="KL168" s="28"/>
      <c r="KP168" s="28"/>
      <c r="KT168" s="28"/>
      <c r="KX168" s="28"/>
      <c r="LB168" s="28"/>
      <c r="LF168" s="28"/>
      <c r="LJ168" s="28"/>
    </row>
    <row r="169" spans="1:322" ht="13.2">
      <c r="A169" s="42"/>
      <c r="B169" s="42"/>
      <c r="C169" s="42"/>
      <c r="D169" s="52"/>
      <c r="E169" s="52"/>
      <c r="O169" s="43"/>
      <c r="AL169" s="44"/>
      <c r="AM169" s="44"/>
      <c r="AN169" s="44"/>
      <c r="AO169" s="44"/>
      <c r="AP169" s="44"/>
      <c r="AQ169" s="44"/>
      <c r="AR169" s="44"/>
      <c r="AS169" s="44"/>
      <c r="AT169" s="45"/>
      <c r="AY169" s="45"/>
      <c r="BH169" s="45"/>
      <c r="BK169" s="45"/>
      <c r="BT169" s="45"/>
      <c r="BU169" s="45"/>
      <c r="CK169" s="10"/>
      <c r="EF169" s="20"/>
      <c r="FD169" s="21"/>
      <c r="FE169" s="21"/>
      <c r="FN169" s="22"/>
      <c r="FO169" s="22"/>
      <c r="FZ169" s="23"/>
      <c r="GA169" s="23"/>
      <c r="JD169" s="26"/>
      <c r="JE169" s="26"/>
      <c r="JF169" s="27"/>
      <c r="JG169" s="27"/>
      <c r="KL169" s="28"/>
      <c r="KP169" s="28"/>
      <c r="KT169" s="28"/>
      <c r="KX169" s="28"/>
      <c r="LB169" s="28"/>
      <c r="LF169" s="28"/>
      <c r="LJ169" s="28"/>
    </row>
    <row r="170" spans="1:322" ht="13.2">
      <c r="A170" s="42"/>
      <c r="B170" s="42"/>
      <c r="C170" s="42"/>
      <c r="D170" s="52"/>
      <c r="E170" s="52"/>
      <c r="O170" s="43"/>
      <c r="AL170" s="44"/>
      <c r="AM170" s="44"/>
      <c r="AN170" s="44"/>
      <c r="AO170" s="44"/>
      <c r="AP170" s="44"/>
      <c r="AQ170" s="44"/>
      <c r="AR170" s="44"/>
      <c r="AS170" s="44"/>
      <c r="AT170" s="45"/>
      <c r="AY170" s="45"/>
      <c r="BH170" s="45"/>
      <c r="BK170" s="45"/>
      <c r="BT170" s="45"/>
      <c r="BU170" s="45"/>
      <c r="CK170" s="10"/>
      <c r="EF170" s="20"/>
      <c r="FD170" s="21"/>
      <c r="FE170" s="21"/>
      <c r="FN170" s="22"/>
      <c r="FO170" s="22"/>
      <c r="FZ170" s="23"/>
      <c r="GA170" s="23"/>
      <c r="JD170" s="26"/>
      <c r="JE170" s="26"/>
      <c r="JF170" s="27"/>
      <c r="JG170" s="27"/>
      <c r="KL170" s="28"/>
      <c r="KP170" s="28"/>
      <c r="KT170" s="28"/>
      <c r="KX170" s="28"/>
      <c r="LB170" s="28"/>
      <c r="LF170" s="28"/>
      <c r="LJ170" s="28"/>
    </row>
    <row r="171" spans="1:322" ht="13.2">
      <c r="A171" s="42"/>
      <c r="B171" s="42"/>
      <c r="C171" s="42"/>
      <c r="D171" s="52"/>
      <c r="E171" s="52"/>
      <c r="O171" s="43"/>
      <c r="AL171" s="44"/>
      <c r="AM171" s="44"/>
      <c r="AN171" s="44"/>
      <c r="AO171" s="44"/>
      <c r="AP171" s="44"/>
      <c r="AQ171" s="44"/>
      <c r="AR171" s="44"/>
      <c r="AS171" s="44"/>
      <c r="AT171" s="45"/>
      <c r="AY171" s="45"/>
      <c r="BH171" s="45"/>
      <c r="BK171" s="45"/>
      <c r="BT171" s="45"/>
      <c r="BU171" s="45"/>
      <c r="CK171" s="10"/>
      <c r="EF171" s="20"/>
      <c r="FD171" s="21"/>
      <c r="FE171" s="21"/>
      <c r="FN171" s="22"/>
      <c r="FO171" s="22"/>
      <c r="FZ171" s="23"/>
      <c r="GA171" s="23"/>
      <c r="JD171" s="26"/>
      <c r="JE171" s="26"/>
      <c r="JF171" s="27"/>
      <c r="JG171" s="27"/>
      <c r="KL171" s="28"/>
      <c r="KP171" s="28"/>
      <c r="KT171" s="28"/>
      <c r="KX171" s="28"/>
      <c r="LB171" s="28"/>
      <c r="LF171" s="28"/>
      <c r="LJ171" s="28"/>
    </row>
    <row r="172" spans="1:322" ht="13.2">
      <c r="A172" s="42"/>
      <c r="B172" s="42"/>
      <c r="C172" s="42"/>
      <c r="D172" s="52"/>
      <c r="E172" s="52"/>
      <c r="O172" s="43"/>
      <c r="AL172" s="44"/>
      <c r="AM172" s="44"/>
      <c r="AN172" s="44"/>
      <c r="AO172" s="44"/>
      <c r="AP172" s="44"/>
      <c r="AQ172" s="44"/>
      <c r="AR172" s="44"/>
      <c r="AS172" s="44"/>
      <c r="AT172" s="45"/>
      <c r="AY172" s="45"/>
      <c r="BH172" s="45"/>
      <c r="BK172" s="45"/>
      <c r="BT172" s="45"/>
      <c r="BU172" s="45"/>
      <c r="CK172" s="10"/>
      <c r="EF172" s="20"/>
      <c r="FD172" s="21"/>
      <c r="FE172" s="21"/>
      <c r="FN172" s="22"/>
      <c r="FO172" s="22"/>
      <c r="FZ172" s="23"/>
      <c r="GA172" s="23"/>
      <c r="JD172" s="26"/>
      <c r="JE172" s="26"/>
      <c r="JF172" s="27"/>
      <c r="JG172" s="27"/>
      <c r="KL172" s="28"/>
      <c r="KP172" s="28"/>
      <c r="KT172" s="28"/>
      <c r="KX172" s="28"/>
      <c r="LB172" s="28"/>
      <c r="LF172" s="28"/>
      <c r="LJ172" s="28"/>
    </row>
    <row r="173" spans="1:322" ht="13.2">
      <c r="A173" s="42"/>
      <c r="B173" s="42"/>
      <c r="C173" s="42"/>
      <c r="D173" s="52"/>
      <c r="E173" s="52"/>
      <c r="O173" s="43"/>
      <c r="AL173" s="44"/>
      <c r="AM173" s="44"/>
      <c r="AN173" s="44"/>
      <c r="AO173" s="44"/>
      <c r="AP173" s="44"/>
      <c r="AQ173" s="44"/>
      <c r="AR173" s="44"/>
      <c r="AS173" s="44"/>
      <c r="AT173" s="45"/>
      <c r="AY173" s="45"/>
      <c r="BH173" s="45"/>
      <c r="BK173" s="45"/>
      <c r="BT173" s="45"/>
      <c r="BU173" s="45"/>
      <c r="CK173" s="10"/>
      <c r="EF173" s="20"/>
      <c r="FD173" s="21"/>
      <c r="FE173" s="21"/>
      <c r="FN173" s="22"/>
      <c r="FO173" s="22"/>
      <c r="FZ173" s="23"/>
      <c r="GA173" s="23"/>
      <c r="JD173" s="26"/>
      <c r="JE173" s="26"/>
      <c r="JF173" s="27"/>
      <c r="JG173" s="27"/>
      <c r="KL173" s="28"/>
      <c r="KP173" s="28"/>
      <c r="KT173" s="28"/>
      <c r="KX173" s="28"/>
      <c r="LB173" s="28"/>
      <c r="LF173" s="28"/>
      <c r="LJ173" s="28"/>
    </row>
    <row r="174" spans="1:322" ht="13.2">
      <c r="A174" s="42"/>
      <c r="B174" s="42"/>
      <c r="C174" s="42"/>
      <c r="D174" s="52"/>
      <c r="E174" s="52"/>
      <c r="O174" s="43"/>
      <c r="AL174" s="44"/>
      <c r="AM174" s="44"/>
      <c r="AN174" s="44"/>
      <c r="AO174" s="44"/>
      <c r="AP174" s="44"/>
      <c r="AQ174" s="44"/>
      <c r="AR174" s="44"/>
      <c r="AS174" s="44"/>
      <c r="AT174" s="45"/>
      <c r="AY174" s="45"/>
      <c r="BH174" s="45"/>
      <c r="BK174" s="45"/>
      <c r="BT174" s="45"/>
      <c r="BU174" s="45"/>
      <c r="CK174" s="10"/>
      <c r="EF174" s="20"/>
      <c r="FD174" s="21"/>
      <c r="FE174" s="21"/>
      <c r="FN174" s="22"/>
      <c r="FO174" s="22"/>
      <c r="FZ174" s="23"/>
      <c r="GA174" s="23"/>
      <c r="JD174" s="26"/>
      <c r="JE174" s="26"/>
      <c r="JF174" s="27"/>
      <c r="JG174" s="27"/>
      <c r="KL174" s="28"/>
      <c r="KP174" s="28"/>
      <c r="KT174" s="28"/>
      <c r="KX174" s="28"/>
      <c r="LB174" s="28"/>
      <c r="LF174" s="28"/>
      <c r="LJ174" s="28"/>
    </row>
    <row r="175" spans="1:322" ht="13.2">
      <c r="A175" s="42"/>
      <c r="B175" s="42"/>
      <c r="C175" s="42"/>
      <c r="D175" s="52"/>
      <c r="E175" s="52"/>
      <c r="O175" s="43"/>
      <c r="AL175" s="44"/>
      <c r="AM175" s="44"/>
      <c r="AN175" s="44"/>
      <c r="AO175" s="44"/>
      <c r="AP175" s="44"/>
      <c r="AQ175" s="44"/>
      <c r="AR175" s="44"/>
      <c r="AS175" s="44"/>
      <c r="AT175" s="45"/>
      <c r="AY175" s="45"/>
      <c r="BH175" s="45"/>
      <c r="BK175" s="45"/>
      <c r="BT175" s="45"/>
      <c r="BU175" s="45"/>
      <c r="CK175" s="10"/>
      <c r="EF175" s="20"/>
      <c r="FD175" s="21"/>
      <c r="FE175" s="21"/>
      <c r="FN175" s="22"/>
      <c r="FO175" s="22"/>
      <c r="FZ175" s="23"/>
      <c r="GA175" s="23"/>
      <c r="JD175" s="26"/>
      <c r="JE175" s="26"/>
      <c r="JF175" s="27"/>
      <c r="JG175" s="27"/>
      <c r="KL175" s="28"/>
      <c r="KP175" s="28"/>
      <c r="KT175" s="28"/>
      <c r="KX175" s="28"/>
      <c r="LB175" s="28"/>
      <c r="LF175" s="28"/>
      <c r="LJ175" s="28"/>
    </row>
    <row r="176" spans="1:322" ht="13.2">
      <c r="A176" s="42"/>
      <c r="B176" s="42"/>
      <c r="C176" s="42"/>
      <c r="D176" s="52"/>
      <c r="E176" s="52"/>
      <c r="O176" s="43"/>
      <c r="AL176" s="44"/>
      <c r="AM176" s="44"/>
      <c r="AN176" s="44"/>
      <c r="AO176" s="44"/>
      <c r="AP176" s="44"/>
      <c r="AQ176" s="44"/>
      <c r="AR176" s="44"/>
      <c r="AS176" s="44"/>
      <c r="AT176" s="45"/>
      <c r="AY176" s="45"/>
      <c r="BH176" s="45"/>
      <c r="BK176" s="45"/>
      <c r="BT176" s="45"/>
      <c r="BU176" s="45"/>
      <c r="CK176" s="10"/>
      <c r="EF176" s="20"/>
      <c r="FD176" s="21"/>
      <c r="FE176" s="21"/>
      <c r="FN176" s="22"/>
      <c r="FO176" s="22"/>
      <c r="FZ176" s="23"/>
      <c r="GA176" s="23"/>
      <c r="JD176" s="26"/>
      <c r="JE176" s="26"/>
      <c r="JF176" s="27"/>
      <c r="JG176" s="27"/>
      <c r="KL176" s="28"/>
      <c r="KP176" s="28"/>
      <c r="KT176" s="28"/>
      <c r="KX176" s="28"/>
      <c r="LB176" s="28"/>
      <c r="LF176" s="28"/>
      <c r="LJ176" s="28"/>
    </row>
    <row r="177" spans="1:322" ht="13.2">
      <c r="A177" s="42"/>
      <c r="B177" s="42"/>
      <c r="C177" s="42"/>
      <c r="D177" s="52"/>
      <c r="E177" s="52"/>
      <c r="O177" s="43"/>
      <c r="AL177" s="44"/>
      <c r="AM177" s="44"/>
      <c r="AN177" s="44"/>
      <c r="AO177" s="44"/>
      <c r="AP177" s="44"/>
      <c r="AQ177" s="44"/>
      <c r="AR177" s="44"/>
      <c r="AS177" s="44"/>
      <c r="AT177" s="45"/>
      <c r="AY177" s="45"/>
      <c r="BH177" s="45"/>
      <c r="BK177" s="45"/>
      <c r="BT177" s="45"/>
      <c r="BU177" s="45"/>
      <c r="CK177" s="10"/>
      <c r="EF177" s="20"/>
      <c r="FD177" s="21"/>
      <c r="FE177" s="21"/>
      <c r="FN177" s="22"/>
      <c r="FO177" s="22"/>
      <c r="FZ177" s="23"/>
      <c r="GA177" s="23"/>
      <c r="JD177" s="26"/>
      <c r="JE177" s="26"/>
      <c r="JF177" s="27"/>
      <c r="JG177" s="27"/>
      <c r="KL177" s="28"/>
      <c r="KP177" s="28"/>
      <c r="KT177" s="28"/>
      <c r="KX177" s="28"/>
      <c r="LB177" s="28"/>
      <c r="LF177" s="28"/>
      <c r="LJ177" s="28"/>
    </row>
    <row r="178" spans="1:322" ht="13.2">
      <c r="A178" s="42"/>
      <c r="B178" s="42"/>
      <c r="C178" s="42"/>
      <c r="D178" s="52"/>
      <c r="E178" s="52"/>
      <c r="O178" s="43"/>
      <c r="AL178" s="44"/>
      <c r="AM178" s="44"/>
      <c r="AN178" s="44"/>
      <c r="AO178" s="44"/>
      <c r="AP178" s="44"/>
      <c r="AQ178" s="44"/>
      <c r="AR178" s="44"/>
      <c r="AS178" s="44"/>
      <c r="AT178" s="45"/>
      <c r="AY178" s="45"/>
      <c r="BH178" s="45"/>
      <c r="BK178" s="45"/>
      <c r="BT178" s="45"/>
      <c r="BU178" s="45"/>
      <c r="CK178" s="10"/>
      <c r="EF178" s="20"/>
      <c r="FD178" s="21"/>
      <c r="FE178" s="21"/>
      <c r="FN178" s="22"/>
      <c r="FO178" s="22"/>
      <c r="FZ178" s="23"/>
      <c r="GA178" s="23"/>
      <c r="JD178" s="26"/>
      <c r="JE178" s="26"/>
      <c r="JF178" s="27"/>
      <c r="JG178" s="27"/>
      <c r="KL178" s="28"/>
      <c r="KP178" s="28"/>
      <c r="KT178" s="28"/>
      <c r="KX178" s="28"/>
      <c r="LB178" s="28"/>
      <c r="LF178" s="28"/>
      <c r="LJ178" s="28"/>
    </row>
    <row r="179" spans="1:322" ht="13.2">
      <c r="A179" s="42"/>
      <c r="B179" s="42"/>
      <c r="C179" s="42"/>
      <c r="D179" s="52"/>
      <c r="E179" s="52"/>
      <c r="O179" s="43"/>
      <c r="AL179" s="44"/>
      <c r="AM179" s="44"/>
      <c r="AN179" s="44"/>
      <c r="AO179" s="44"/>
      <c r="AP179" s="44"/>
      <c r="AQ179" s="44"/>
      <c r="AR179" s="44"/>
      <c r="AS179" s="44"/>
      <c r="AT179" s="45"/>
      <c r="AY179" s="45"/>
      <c r="BH179" s="45"/>
      <c r="BK179" s="45"/>
      <c r="BT179" s="45"/>
      <c r="BU179" s="45"/>
      <c r="CK179" s="10"/>
      <c r="EF179" s="20"/>
      <c r="FD179" s="21"/>
      <c r="FE179" s="21"/>
      <c r="FN179" s="22"/>
      <c r="FO179" s="22"/>
      <c r="FZ179" s="23"/>
      <c r="GA179" s="23"/>
      <c r="JD179" s="26"/>
      <c r="JE179" s="26"/>
      <c r="JF179" s="27"/>
      <c r="JG179" s="27"/>
      <c r="KL179" s="28"/>
      <c r="KP179" s="28"/>
      <c r="KT179" s="28"/>
      <c r="KX179" s="28"/>
      <c r="LB179" s="28"/>
      <c r="LF179" s="28"/>
      <c r="LJ179" s="28"/>
    </row>
    <row r="180" spans="1:322" ht="13.2">
      <c r="A180" s="42"/>
      <c r="B180" s="42"/>
      <c r="C180" s="42"/>
      <c r="D180" s="52"/>
      <c r="E180" s="52"/>
      <c r="O180" s="43"/>
      <c r="AL180" s="44"/>
      <c r="AM180" s="44"/>
      <c r="AN180" s="44"/>
      <c r="AO180" s="44"/>
      <c r="AP180" s="44"/>
      <c r="AQ180" s="44"/>
      <c r="AR180" s="44"/>
      <c r="AS180" s="44"/>
      <c r="AT180" s="45"/>
      <c r="AY180" s="45"/>
      <c r="BH180" s="45"/>
      <c r="BK180" s="45"/>
      <c r="BT180" s="45"/>
      <c r="BU180" s="45"/>
      <c r="CK180" s="10"/>
      <c r="EF180" s="20"/>
      <c r="FD180" s="21"/>
      <c r="FE180" s="21"/>
      <c r="FN180" s="22"/>
      <c r="FO180" s="22"/>
      <c r="FZ180" s="23"/>
      <c r="GA180" s="23"/>
      <c r="JD180" s="26"/>
      <c r="JE180" s="26"/>
      <c r="JF180" s="27"/>
      <c r="JG180" s="27"/>
      <c r="KL180" s="28"/>
      <c r="KP180" s="28"/>
      <c r="KT180" s="28"/>
      <c r="KX180" s="28"/>
      <c r="LB180" s="28"/>
      <c r="LF180" s="28"/>
      <c r="LJ180" s="28"/>
    </row>
    <row r="181" spans="1:322" ht="13.2">
      <c r="A181" s="42"/>
      <c r="B181" s="42"/>
      <c r="C181" s="42"/>
      <c r="D181" s="52"/>
      <c r="E181" s="52"/>
      <c r="O181" s="43"/>
      <c r="AL181" s="44"/>
      <c r="AM181" s="44"/>
      <c r="AN181" s="44"/>
      <c r="AO181" s="44"/>
      <c r="AP181" s="44"/>
      <c r="AQ181" s="44"/>
      <c r="AR181" s="44"/>
      <c r="AS181" s="44"/>
      <c r="AT181" s="45"/>
      <c r="AY181" s="45"/>
      <c r="BH181" s="45"/>
      <c r="BK181" s="45"/>
      <c r="BT181" s="45"/>
      <c r="BU181" s="45"/>
      <c r="CK181" s="10"/>
      <c r="EF181" s="20"/>
      <c r="FD181" s="21"/>
      <c r="FE181" s="21"/>
      <c r="FN181" s="22"/>
      <c r="FO181" s="22"/>
      <c r="FZ181" s="23"/>
      <c r="GA181" s="23"/>
      <c r="JD181" s="26"/>
      <c r="JE181" s="26"/>
      <c r="JF181" s="27"/>
      <c r="JG181" s="27"/>
      <c r="KL181" s="28"/>
      <c r="KP181" s="28"/>
      <c r="KT181" s="28"/>
      <c r="KX181" s="28"/>
      <c r="LB181" s="28"/>
      <c r="LF181" s="28"/>
      <c r="LJ181" s="28"/>
    </row>
    <row r="182" spans="1:322" ht="13.2">
      <c r="A182" s="42"/>
      <c r="B182" s="42"/>
      <c r="C182" s="42"/>
      <c r="D182" s="52"/>
      <c r="E182" s="52"/>
      <c r="O182" s="43"/>
      <c r="AL182" s="44"/>
      <c r="AM182" s="44"/>
      <c r="AN182" s="44"/>
      <c r="AO182" s="44"/>
      <c r="AP182" s="44"/>
      <c r="AQ182" s="44"/>
      <c r="AR182" s="44"/>
      <c r="AS182" s="44"/>
      <c r="AT182" s="45"/>
      <c r="AY182" s="45"/>
      <c r="BH182" s="45"/>
      <c r="BK182" s="45"/>
      <c r="BT182" s="45"/>
      <c r="BU182" s="45"/>
      <c r="CK182" s="10"/>
      <c r="EF182" s="20"/>
      <c r="FD182" s="21"/>
      <c r="FE182" s="21"/>
      <c r="FN182" s="22"/>
      <c r="FO182" s="22"/>
      <c r="FZ182" s="23"/>
      <c r="GA182" s="23"/>
      <c r="JD182" s="26"/>
      <c r="JE182" s="26"/>
      <c r="JF182" s="27"/>
      <c r="JG182" s="27"/>
      <c r="KL182" s="28"/>
      <c r="KP182" s="28"/>
      <c r="KT182" s="28"/>
      <c r="KX182" s="28"/>
      <c r="LB182" s="28"/>
      <c r="LF182" s="28"/>
      <c r="LJ182" s="28"/>
    </row>
    <row r="183" spans="1:322" ht="13.2">
      <c r="A183" s="42"/>
      <c r="B183" s="42"/>
      <c r="C183" s="42"/>
      <c r="D183" s="52"/>
      <c r="E183" s="52"/>
      <c r="O183" s="43"/>
      <c r="AL183" s="44"/>
      <c r="AM183" s="44"/>
      <c r="AN183" s="44"/>
      <c r="AO183" s="44"/>
      <c r="AP183" s="44"/>
      <c r="AQ183" s="44"/>
      <c r="AR183" s="44"/>
      <c r="AS183" s="44"/>
      <c r="AT183" s="45"/>
      <c r="AY183" s="45"/>
      <c r="BH183" s="45"/>
      <c r="BK183" s="45"/>
      <c r="BT183" s="45"/>
      <c r="BU183" s="45"/>
      <c r="CK183" s="10"/>
      <c r="EF183" s="20"/>
      <c r="FD183" s="21"/>
      <c r="FE183" s="21"/>
      <c r="FN183" s="22"/>
      <c r="FO183" s="22"/>
      <c r="FZ183" s="23"/>
      <c r="GA183" s="23"/>
      <c r="JD183" s="26"/>
      <c r="JE183" s="26"/>
      <c r="JF183" s="27"/>
      <c r="JG183" s="27"/>
      <c r="KL183" s="28"/>
      <c r="KP183" s="28"/>
      <c r="KT183" s="28"/>
      <c r="KX183" s="28"/>
      <c r="LB183" s="28"/>
      <c r="LF183" s="28"/>
      <c r="LJ183" s="28"/>
    </row>
    <row r="184" spans="1:322" ht="13.2">
      <c r="A184" s="42"/>
      <c r="B184" s="42"/>
      <c r="C184" s="42"/>
      <c r="D184" s="52"/>
      <c r="E184" s="52"/>
      <c r="O184" s="43"/>
      <c r="AL184" s="44"/>
      <c r="AM184" s="44"/>
      <c r="AN184" s="44"/>
      <c r="AO184" s="44"/>
      <c r="AP184" s="44"/>
      <c r="AQ184" s="44"/>
      <c r="AR184" s="44"/>
      <c r="AS184" s="44"/>
      <c r="AT184" s="45"/>
      <c r="AY184" s="45"/>
      <c r="BH184" s="45"/>
      <c r="BK184" s="45"/>
      <c r="BT184" s="45"/>
      <c r="BU184" s="45"/>
      <c r="CK184" s="10"/>
      <c r="EF184" s="20"/>
      <c r="FD184" s="21"/>
      <c r="FE184" s="21"/>
      <c r="FN184" s="22"/>
      <c r="FO184" s="22"/>
      <c r="FZ184" s="23"/>
      <c r="GA184" s="23"/>
      <c r="JD184" s="26"/>
      <c r="JE184" s="26"/>
      <c r="JF184" s="27"/>
      <c r="JG184" s="27"/>
      <c r="KL184" s="28"/>
      <c r="KP184" s="28"/>
      <c r="KT184" s="28"/>
      <c r="KX184" s="28"/>
      <c r="LB184" s="28"/>
      <c r="LF184" s="28"/>
      <c r="LJ184" s="28"/>
    </row>
    <row r="185" spans="1:322" ht="13.2">
      <c r="A185" s="42"/>
      <c r="B185" s="42"/>
      <c r="C185" s="42"/>
      <c r="D185" s="52"/>
      <c r="E185" s="52"/>
      <c r="O185" s="43"/>
      <c r="AL185" s="44"/>
      <c r="AM185" s="44"/>
      <c r="AN185" s="44"/>
      <c r="AO185" s="44"/>
      <c r="AP185" s="44"/>
      <c r="AQ185" s="44"/>
      <c r="AR185" s="44"/>
      <c r="AS185" s="44"/>
      <c r="AT185" s="45"/>
      <c r="AY185" s="45"/>
      <c r="BH185" s="45"/>
      <c r="BK185" s="45"/>
      <c r="BT185" s="45"/>
      <c r="BU185" s="45"/>
      <c r="CK185" s="10"/>
      <c r="EF185" s="20"/>
      <c r="FD185" s="21"/>
      <c r="FE185" s="21"/>
      <c r="FN185" s="22"/>
      <c r="FO185" s="22"/>
      <c r="FZ185" s="23"/>
      <c r="GA185" s="23"/>
      <c r="JD185" s="26"/>
      <c r="JE185" s="26"/>
      <c r="JF185" s="27"/>
      <c r="JG185" s="27"/>
      <c r="KL185" s="28"/>
      <c r="KP185" s="28"/>
      <c r="KT185" s="28"/>
      <c r="KX185" s="28"/>
      <c r="LB185" s="28"/>
      <c r="LF185" s="28"/>
      <c r="LJ185" s="28"/>
    </row>
    <row r="186" spans="1:322" ht="13.2">
      <c r="A186" s="42"/>
      <c r="B186" s="42"/>
      <c r="C186" s="42"/>
      <c r="D186" s="52"/>
      <c r="E186" s="52"/>
      <c r="O186" s="43"/>
      <c r="AL186" s="44"/>
      <c r="AM186" s="44"/>
      <c r="AN186" s="44"/>
      <c r="AO186" s="44"/>
      <c r="AP186" s="44"/>
      <c r="AQ186" s="44"/>
      <c r="AR186" s="44"/>
      <c r="AS186" s="44"/>
      <c r="AT186" s="45"/>
      <c r="AY186" s="45"/>
      <c r="BH186" s="45"/>
      <c r="BK186" s="45"/>
      <c r="BT186" s="45"/>
      <c r="BU186" s="45"/>
      <c r="CK186" s="10"/>
      <c r="EF186" s="20"/>
      <c r="FD186" s="21"/>
      <c r="FE186" s="21"/>
      <c r="FN186" s="22"/>
      <c r="FO186" s="22"/>
      <c r="FZ186" s="23"/>
      <c r="GA186" s="23"/>
      <c r="JD186" s="26"/>
      <c r="JE186" s="26"/>
      <c r="JF186" s="27"/>
      <c r="JG186" s="27"/>
      <c r="KL186" s="28"/>
      <c r="KP186" s="28"/>
      <c r="KT186" s="28"/>
      <c r="KX186" s="28"/>
      <c r="LB186" s="28"/>
      <c r="LF186" s="28"/>
      <c r="LJ186" s="28"/>
    </row>
    <row r="187" spans="1:322" ht="13.2">
      <c r="A187" s="42"/>
      <c r="B187" s="42"/>
      <c r="C187" s="42"/>
      <c r="D187" s="52"/>
      <c r="E187" s="52"/>
      <c r="O187" s="43"/>
      <c r="AL187" s="44"/>
      <c r="AM187" s="44"/>
      <c r="AN187" s="44"/>
      <c r="AO187" s="44"/>
      <c r="AP187" s="44"/>
      <c r="AQ187" s="44"/>
      <c r="AR187" s="44"/>
      <c r="AS187" s="44"/>
      <c r="AT187" s="45"/>
      <c r="AY187" s="45"/>
      <c r="BH187" s="45"/>
      <c r="BK187" s="45"/>
      <c r="BT187" s="45"/>
      <c r="BU187" s="45"/>
      <c r="CK187" s="10"/>
      <c r="EF187" s="20"/>
      <c r="FD187" s="21"/>
      <c r="FE187" s="21"/>
      <c r="FN187" s="22"/>
      <c r="FO187" s="22"/>
      <c r="FZ187" s="23"/>
      <c r="GA187" s="23"/>
      <c r="JD187" s="26"/>
      <c r="JE187" s="26"/>
      <c r="JF187" s="27"/>
      <c r="JG187" s="27"/>
      <c r="KL187" s="28"/>
      <c r="KP187" s="28"/>
      <c r="KT187" s="28"/>
      <c r="KX187" s="28"/>
      <c r="LB187" s="28"/>
      <c r="LF187" s="28"/>
      <c r="LJ187" s="28"/>
    </row>
    <row r="188" spans="1:322" ht="13.2">
      <c r="A188" s="42"/>
      <c r="B188" s="42"/>
      <c r="C188" s="42"/>
      <c r="D188" s="52"/>
      <c r="E188" s="52"/>
      <c r="O188" s="43"/>
      <c r="AL188" s="44"/>
      <c r="AM188" s="44"/>
      <c r="AN188" s="44"/>
      <c r="AO188" s="44"/>
      <c r="AP188" s="44"/>
      <c r="AQ188" s="44"/>
      <c r="AR188" s="44"/>
      <c r="AS188" s="44"/>
      <c r="AT188" s="45"/>
      <c r="AY188" s="45"/>
      <c r="BH188" s="45"/>
      <c r="BK188" s="45"/>
      <c r="BT188" s="45"/>
      <c r="BU188" s="45"/>
      <c r="CK188" s="10"/>
      <c r="EF188" s="20"/>
      <c r="FD188" s="21"/>
      <c r="FE188" s="21"/>
      <c r="FN188" s="22"/>
      <c r="FO188" s="22"/>
      <c r="FZ188" s="23"/>
      <c r="GA188" s="23"/>
      <c r="JD188" s="26"/>
      <c r="JE188" s="26"/>
      <c r="JF188" s="27"/>
      <c r="JG188" s="27"/>
      <c r="KL188" s="28"/>
      <c r="KP188" s="28"/>
      <c r="KT188" s="28"/>
      <c r="KX188" s="28"/>
      <c r="LB188" s="28"/>
      <c r="LF188" s="28"/>
      <c r="LJ188" s="28"/>
    </row>
    <row r="189" spans="1:322" ht="13.2">
      <c r="A189" s="42"/>
      <c r="B189" s="42"/>
      <c r="C189" s="42"/>
      <c r="D189" s="52"/>
      <c r="E189" s="52"/>
      <c r="O189" s="43"/>
      <c r="AL189" s="44"/>
      <c r="AM189" s="44"/>
      <c r="AN189" s="44"/>
      <c r="AO189" s="44"/>
      <c r="AP189" s="44"/>
      <c r="AQ189" s="44"/>
      <c r="AR189" s="44"/>
      <c r="AS189" s="44"/>
      <c r="AT189" s="45"/>
      <c r="AY189" s="45"/>
      <c r="BH189" s="45"/>
      <c r="BK189" s="45"/>
      <c r="BT189" s="45"/>
      <c r="BU189" s="45"/>
      <c r="CK189" s="10"/>
      <c r="EF189" s="20"/>
      <c r="FD189" s="21"/>
      <c r="FE189" s="21"/>
      <c r="FN189" s="22"/>
      <c r="FO189" s="22"/>
      <c r="FZ189" s="23"/>
      <c r="GA189" s="23"/>
      <c r="JD189" s="26"/>
      <c r="JE189" s="26"/>
      <c r="JF189" s="27"/>
      <c r="JG189" s="27"/>
      <c r="KL189" s="28"/>
      <c r="KP189" s="28"/>
      <c r="KT189" s="28"/>
      <c r="KX189" s="28"/>
      <c r="LB189" s="28"/>
      <c r="LF189" s="28"/>
      <c r="LJ189" s="28"/>
    </row>
    <row r="190" spans="1:322" ht="13.2">
      <c r="A190" s="42"/>
      <c r="B190" s="42"/>
      <c r="C190" s="42"/>
      <c r="D190" s="52"/>
      <c r="E190" s="52"/>
      <c r="O190" s="43"/>
      <c r="AL190" s="44"/>
      <c r="AM190" s="44"/>
      <c r="AN190" s="44"/>
      <c r="AO190" s="44"/>
      <c r="AP190" s="44"/>
      <c r="AQ190" s="44"/>
      <c r="AR190" s="44"/>
      <c r="AS190" s="44"/>
      <c r="AT190" s="45"/>
      <c r="AY190" s="45"/>
      <c r="BH190" s="45"/>
      <c r="BK190" s="45"/>
      <c r="BT190" s="45"/>
      <c r="BU190" s="45"/>
      <c r="CK190" s="10"/>
      <c r="EF190" s="20"/>
      <c r="FD190" s="21"/>
      <c r="FE190" s="21"/>
      <c r="FN190" s="22"/>
      <c r="FO190" s="22"/>
      <c r="FZ190" s="23"/>
      <c r="GA190" s="23"/>
      <c r="JD190" s="26"/>
      <c r="JE190" s="26"/>
      <c r="JF190" s="27"/>
      <c r="JG190" s="27"/>
      <c r="KL190" s="28"/>
      <c r="KP190" s="28"/>
      <c r="KT190" s="28"/>
      <c r="KX190" s="28"/>
      <c r="LB190" s="28"/>
      <c r="LF190" s="28"/>
      <c r="LJ190" s="28"/>
    </row>
    <row r="191" spans="1:322" ht="13.2">
      <c r="A191" s="42"/>
      <c r="B191" s="42"/>
      <c r="C191" s="42"/>
      <c r="D191" s="52"/>
      <c r="E191" s="52"/>
      <c r="O191" s="43"/>
      <c r="AL191" s="44"/>
      <c r="AM191" s="44"/>
      <c r="AN191" s="44"/>
      <c r="AO191" s="44"/>
      <c r="AP191" s="44"/>
      <c r="AQ191" s="44"/>
      <c r="AR191" s="44"/>
      <c r="AS191" s="44"/>
      <c r="AT191" s="45"/>
      <c r="AY191" s="45"/>
      <c r="BH191" s="45"/>
      <c r="BK191" s="45"/>
      <c r="BT191" s="45"/>
      <c r="BU191" s="45"/>
      <c r="CK191" s="10"/>
      <c r="EF191" s="20"/>
      <c r="FD191" s="21"/>
      <c r="FE191" s="21"/>
      <c r="FN191" s="22"/>
      <c r="FO191" s="22"/>
      <c r="FZ191" s="23"/>
      <c r="GA191" s="23"/>
      <c r="JD191" s="26"/>
      <c r="JE191" s="26"/>
      <c r="JF191" s="27"/>
      <c r="JG191" s="27"/>
      <c r="KL191" s="28"/>
      <c r="KP191" s="28"/>
      <c r="KT191" s="28"/>
      <c r="KX191" s="28"/>
      <c r="LB191" s="28"/>
      <c r="LF191" s="28"/>
      <c r="LJ191" s="28"/>
    </row>
    <row r="192" spans="1:322" ht="13.2">
      <c r="A192" s="42"/>
      <c r="B192" s="42"/>
      <c r="C192" s="42"/>
      <c r="D192" s="52"/>
      <c r="E192" s="52"/>
      <c r="O192" s="43"/>
      <c r="AL192" s="44"/>
      <c r="AM192" s="44"/>
      <c r="AN192" s="44"/>
      <c r="AO192" s="44"/>
      <c r="AP192" s="44"/>
      <c r="AQ192" s="44"/>
      <c r="AR192" s="44"/>
      <c r="AS192" s="44"/>
      <c r="AT192" s="45"/>
      <c r="AY192" s="45"/>
      <c r="BH192" s="45"/>
      <c r="BK192" s="45"/>
      <c r="BT192" s="45"/>
      <c r="BU192" s="45"/>
      <c r="CK192" s="10"/>
      <c r="EF192" s="20"/>
      <c r="FD192" s="21"/>
      <c r="FE192" s="21"/>
      <c r="FN192" s="22"/>
      <c r="FO192" s="22"/>
      <c r="FZ192" s="23"/>
      <c r="GA192" s="23"/>
      <c r="JD192" s="26"/>
      <c r="JE192" s="26"/>
      <c r="JF192" s="27"/>
      <c r="JG192" s="27"/>
      <c r="KL192" s="28"/>
      <c r="KP192" s="28"/>
      <c r="KT192" s="28"/>
      <c r="KX192" s="28"/>
      <c r="LB192" s="28"/>
      <c r="LF192" s="28"/>
      <c r="LJ192" s="28"/>
    </row>
    <row r="193" spans="1:322" ht="13.2">
      <c r="A193" s="42"/>
      <c r="B193" s="42"/>
      <c r="C193" s="42"/>
      <c r="D193" s="52"/>
      <c r="E193" s="52"/>
      <c r="O193" s="43"/>
      <c r="AL193" s="44"/>
      <c r="AM193" s="44"/>
      <c r="AN193" s="44"/>
      <c r="AO193" s="44"/>
      <c r="AP193" s="44"/>
      <c r="AQ193" s="44"/>
      <c r="AR193" s="44"/>
      <c r="AS193" s="44"/>
      <c r="AT193" s="45"/>
      <c r="AY193" s="45"/>
      <c r="BH193" s="45"/>
      <c r="BK193" s="45"/>
      <c r="BT193" s="45"/>
      <c r="BU193" s="45"/>
      <c r="CK193" s="10"/>
      <c r="EF193" s="20"/>
      <c r="FD193" s="21"/>
      <c r="FE193" s="21"/>
      <c r="FN193" s="22"/>
      <c r="FO193" s="22"/>
      <c r="FZ193" s="23"/>
      <c r="GA193" s="23"/>
      <c r="JD193" s="26"/>
      <c r="JE193" s="26"/>
      <c r="JF193" s="27"/>
      <c r="JG193" s="27"/>
      <c r="KL193" s="28"/>
      <c r="KP193" s="28"/>
      <c r="KT193" s="28"/>
      <c r="KX193" s="28"/>
      <c r="LB193" s="28"/>
      <c r="LF193" s="28"/>
      <c r="LJ193" s="28"/>
    </row>
    <row r="194" spans="1:322" ht="13.2">
      <c r="A194" s="42"/>
      <c r="B194" s="42"/>
      <c r="C194" s="42"/>
      <c r="D194" s="52"/>
      <c r="E194" s="52"/>
      <c r="O194" s="43"/>
      <c r="AL194" s="44"/>
      <c r="AM194" s="44"/>
      <c r="AN194" s="44"/>
      <c r="AO194" s="44"/>
      <c r="AP194" s="44"/>
      <c r="AQ194" s="44"/>
      <c r="AR194" s="44"/>
      <c r="AS194" s="44"/>
      <c r="AT194" s="45"/>
      <c r="AY194" s="45"/>
      <c r="BH194" s="45"/>
      <c r="BK194" s="45"/>
      <c r="BT194" s="45"/>
      <c r="BU194" s="45"/>
      <c r="CK194" s="10"/>
      <c r="EF194" s="20"/>
      <c r="FD194" s="21"/>
      <c r="FE194" s="21"/>
      <c r="FN194" s="22"/>
      <c r="FO194" s="22"/>
      <c r="FZ194" s="23"/>
      <c r="GA194" s="23"/>
      <c r="JD194" s="26"/>
      <c r="JE194" s="26"/>
      <c r="JF194" s="27"/>
      <c r="JG194" s="27"/>
      <c r="KL194" s="28"/>
      <c r="KP194" s="28"/>
      <c r="KT194" s="28"/>
      <c r="KX194" s="28"/>
      <c r="LB194" s="28"/>
      <c r="LF194" s="28"/>
      <c r="LJ194" s="28"/>
    </row>
    <row r="195" spans="1:322" ht="13.2">
      <c r="A195" s="42"/>
      <c r="B195" s="42"/>
      <c r="C195" s="42"/>
      <c r="D195" s="52"/>
      <c r="E195" s="52"/>
      <c r="O195" s="43"/>
      <c r="AL195" s="44"/>
      <c r="AM195" s="44"/>
      <c r="AN195" s="44"/>
      <c r="AO195" s="44"/>
      <c r="AP195" s="44"/>
      <c r="AQ195" s="44"/>
      <c r="AR195" s="44"/>
      <c r="AS195" s="44"/>
      <c r="AT195" s="45"/>
      <c r="AY195" s="45"/>
      <c r="BH195" s="45"/>
      <c r="BK195" s="45"/>
      <c r="BT195" s="45"/>
      <c r="BU195" s="45"/>
      <c r="CK195" s="10"/>
      <c r="EF195" s="20"/>
      <c r="FD195" s="21"/>
      <c r="FE195" s="21"/>
      <c r="FN195" s="22"/>
      <c r="FO195" s="22"/>
      <c r="FZ195" s="23"/>
      <c r="GA195" s="23"/>
      <c r="JD195" s="26"/>
      <c r="JE195" s="26"/>
      <c r="JF195" s="27"/>
      <c r="JG195" s="27"/>
      <c r="KL195" s="28"/>
      <c r="KP195" s="28"/>
      <c r="KT195" s="28"/>
      <c r="KX195" s="28"/>
      <c r="LB195" s="28"/>
      <c r="LF195" s="28"/>
      <c r="LJ195" s="28"/>
    </row>
    <row r="196" spans="1:322" ht="13.2">
      <c r="A196" s="42"/>
      <c r="B196" s="42"/>
      <c r="C196" s="42"/>
      <c r="D196" s="52"/>
      <c r="E196" s="52"/>
      <c r="O196" s="43"/>
      <c r="AL196" s="44"/>
      <c r="AM196" s="44"/>
      <c r="AN196" s="44"/>
      <c r="AO196" s="44"/>
      <c r="AP196" s="44"/>
      <c r="AQ196" s="44"/>
      <c r="AR196" s="44"/>
      <c r="AS196" s="44"/>
      <c r="AT196" s="45"/>
      <c r="AY196" s="45"/>
      <c r="BH196" s="45"/>
      <c r="BK196" s="45"/>
      <c r="BT196" s="45"/>
      <c r="BU196" s="45"/>
      <c r="CK196" s="10"/>
      <c r="EF196" s="20"/>
      <c r="FD196" s="21"/>
      <c r="FE196" s="21"/>
      <c r="FN196" s="22"/>
      <c r="FO196" s="22"/>
      <c r="FZ196" s="23"/>
      <c r="GA196" s="23"/>
      <c r="JD196" s="26"/>
      <c r="JE196" s="26"/>
      <c r="JF196" s="27"/>
      <c r="JG196" s="27"/>
      <c r="KL196" s="28"/>
      <c r="KP196" s="28"/>
      <c r="KT196" s="28"/>
      <c r="KX196" s="28"/>
      <c r="LB196" s="28"/>
      <c r="LF196" s="28"/>
      <c r="LJ196" s="28"/>
    </row>
    <row r="197" spans="1:322" ht="13.2">
      <c r="A197" s="42"/>
      <c r="B197" s="42"/>
      <c r="C197" s="42"/>
      <c r="D197" s="52"/>
      <c r="E197" s="52"/>
      <c r="O197" s="43"/>
      <c r="AL197" s="44"/>
      <c r="AM197" s="44"/>
      <c r="AN197" s="44"/>
      <c r="AO197" s="44"/>
      <c r="AP197" s="44"/>
      <c r="AQ197" s="44"/>
      <c r="AR197" s="44"/>
      <c r="AS197" s="44"/>
      <c r="AT197" s="45"/>
      <c r="AY197" s="45"/>
      <c r="BH197" s="45"/>
      <c r="BK197" s="45"/>
      <c r="BT197" s="45"/>
      <c r="BU197" s="45"/>
      <c r="CK197" s="10"/>
      <c r="EF197" s="20"/>
      <c r="FD197" s="21"/>
      <c r="FE197" s="21"/>
      <c r="FN197" s="22"/>
      <c r="FO197" s="22"/>
      <c r="FZ197" s="23"/>
      <c r="GA197" s="23"/>
      <c r="JD197" s="26"/>
      <c r="JE197" s="26"/>
      <c r="JF197" s="27"/>
      <c r="JG197" s="27"/>
      <c r="KL197" s="28"/>
      <c r="KP197" s="28"/>
      <c r="KT197" s="28"/>
      <c r="KX197" s="28"/>
      <c r="LB197" s="28"/>
      <c r="LF197" s="28"/>
      <c r="LJ197" s="28"/>
    </row>
    <row r="198" spans="1:322" ht="13.2">
      <c r="A198" s="42"/>
      <c r="B198" s="42"/>
      <c r="C198" s="42"/>
      <c r="D198" s="52"/>
      <c r="E198" s="52"/>
      <c r="O198" s="43"/>
      <c r="AL198" s="44"/>
      <c r="AM198" s="44"/>
      <c r="AN198" s="44"/>
      <c r="AO198" s="44"/>
      <c r="AP198" s="44"/>
      <c r="AQ198" s="44"/>
      <c r="AR198" s="44"/>
      <c r="AS198" s="44"/>
      <c r="AT198" s="45"/>
      <c r="AY198" s="45"/>
      <c r="BH198" s="45"/>
      <c r="BK198" s="45"/>
      <c r="BT198" s="45"/>
      <c r="BU198" s="45"/>
      <c r="CK198" s="10"/>
      <c r="EF198" s="20"/>
      <c r="FD198" s="21"/>
      <c r="FE198" s="21"/>
      <c r="FN198" s="22"/>
      <c r="FO198" s="22"/>
      <c r="FZ198" s="23"/>
      <c r="GA198" s="23"/>
      <c r="JD198" s="26"/>
      <c r="JE198" s="26"/>
      <c r="JF198" s="27"/>
      <c r="JG198" s="27"/>
      <c r="KL198" s="28"/>
      <c r="KP198" s="28"/>
      <c r="KT198" s="28"/>
      <c r="KX198" s="28"/>
      <c r="LB198" s="28"/>
      <c r="LF198" s="28"/>
      <c r="LJ198" s="28"/>
    </row>
    <row r="199" spans="1:322" ht="13.2">
      <c r="A199" s="42"/>
      <c r="B199" s="42"/>
      <c r="C199" s="42"/>
      <c r="D199" s="52"/>
      <c r="E199" s="52"/>
      <c r="O199" s="43"/>
      <c r="AL199" s="44"/>
      <c r="AM199" s="44"/>
      <c r="AN199" s="44"/>
      <c r="AO199" s="44"/>
      <c r="AP199" s="44"/>
      <c r="AQ199" s="44"/>
      <c r="AR199" s="44"/>
      <c r="AS199" s="44"/>
      <c r="AT199" s="45"/>
      <c r="AY199" s="45"/>
      <c r="BH199" s="45"/>
      <c r="BK199" s="45"/>
      <c r="BT199" s="45"/>
      <c r="BU199" s="45"/>
      <c r="CK199" s="10"/>
      <c r="EF199" s="20"/>
      <c r="FD199" s="21"/>
      <c r="FE199" s="21"/>
      <c r="FN199" s="22"/>
      <c r="FO199" s="22"/>
      <c r="FZ199" s="23"/>
      <c r="GA199" s="23"/>
      <c r="JD199" s="26"/>
      <c r="JE199" s="26"/>
      <c r="JF199" s="27"/>
      <c r="JG199" s="27"/>
      <c r="KL199" s="28"/>
      <c r="KP199" s="28"/>
      <c r="KT199" s="28"/>
      <c r="KX199" s="28"/>
      <c r="LB199" s="28"/>
      <c r="LF199" s="28"/>
      <c r="LJ199" s="28"/>
    </row>
    <row r="200" spans="1:322" ht="13.2">
      <c r="A200" s="42"/>
      <c r="B200" s="42"/>
      <c r="C200" s="42"/>
      <c r="D200" s="52"/>
      <c r="E200" s="52"/>
      <c r="O200" s="43"/>
      <c r="AL200" s="44"/>
      <c r="AM200" s="44"/>
      <c r="AN200" s="44"/>
      <c r="AO200" s="44"/>
      <c r="AP200" s="44"/>
      <c r="AQ200" s="44"/>
      <c r="AR200" s="44"/>
      <c r="AS200" s="44"/>
      <c r="AT200" s="45"/>
      <c r="AY200" s="45"/>
      <c r="BH200" s="45"/>
      <c r="BK200" s="45"/>
      <c r="BT200" s="45"/>
      <c r="BU200" s="45"/>
      <c r="CK200" s="10"/>
      <c r="EF200" s="20"/>
      <c r="FD200" s="21"/>
      <c r="FE200" s="21"/>
      <c r="FN200" s="22"/>
      <c r="FO200" s="22"/>
      <c r="FZ200" s="23"/>
      <c r="GA200" s="23"/>
      <c r="JD200" s="26"/>
      <c r="JE200" s="26"/>
      <c r="JF200" s="27"/>
      <c r="JG200" s="27"/>
      <c r="KL200" s="28"/>
      <c r="KP200" s="28"/>
      <c r="KT200" s="28"/>
      <c r="KX200" s="28"/>
      <c r="LB200" s="28"/>
      <c r="LF200" s="28"/>
      <c r="LJ200" s="28"/>
    </row>
    <row r="201" spans="1:322" ht="13.2">
      <c r="A201" s="42"/>
      <c r="B201" s="42"/>
      <c r="C201" s="42"/>
      <c r="D201" s="52"/>
      <c r="E201" s="52"/>
      <c r="O201" s="43"/>
      <c r="AL201" s="44"/>
      <c r="AM201" s="44"/>
      <c r="AN201" s="44"/>
      <c r="AO201" s="44"/>
      <c r="AP201" s="44"/>
      <c r="AQ201" s="44"/>
      <c r="AR201" s="44"/>
      <c r="AS201" s="44"/>
      <c r="AT201" s="45"/>
      <c r="AY201" s="45"/>
      <c r="BH201" s="45"/>
      <c r="BK201" s="45"/>
      <c r="BT201" s="45"/>
      <c r="BU201" s="45"/>
      <c r="CK201" s="10"/>
      <c r="EF201" s="20"/>
      <c r="FD201" s="21"/>
      <c r="FE201" s="21"/>
      <c r="FN201" s="22"/>
      <c r="FO201" s="22"/>
      <c r="FZ201" s="23"/>
      <c r="GA201" s="23"/>
      <c r="JD201" s="26"/>
      <c r="JE201" s="26"/>
      <c r="JF201" s="27"/>
      <c r="JG201" s="27"/>
      <c r="KL201" s="28"/>
      <c r="KP201" s="28"/>
      <c r="KT201" s="28"/>
      <c r="KX201" s="28"/>
      <c r="LB201" s="28"/>
      <c r="LF201" s="28"/>
      <c r="LJ201" s="28"/>
    </row>
    <row r="202" spans="1:322" ht="13.2">
      <c r="A202" s="42"/>
      <c r="B202" s="42"/>
      <c r="C202" s="42"/>
      <c r="D202" s="52"/>
      <c r="E202" s="52"/>
      <c r="O202" s="43"/>
      <c r="AL202" s="44"/>
      <c r="AM202" s="44"/>
      <c r="AN202" s="44"/>
      <c r="AO202" s="44"/>
      <c r="AP202" s="44"/>
      <c r="AQ202" s="44"/>
      <c r="AR202" s="44"/>
      <c r="AS202" s="44"/>
      <c r="AT202" s="45"/>
      <c r="AY202" s="45"/>
      <c r="BH202" s="45"/>
      <c r="BK202" s="45"/>
      <c r="BT202" s="45"/>
      <c r="BU202" s="45"/>
      <c r="CK202" s="10"/>
      <c r="EF202" s="20"/>
      <c r="FD202" s="21"/>
      <c r="FE202" s="21"/>
      <c r="FN202" s="22"/>
      <c r="FO202" s="22"/>
      <c r="FZ202" s="23"/>
      <c r="GA202" s="23"/>
      <c r="JD202" s="26"/>
      <c r="JE202" s="26"/>
      <c r="JF202" s="27"/>
      <c r="JG202" s="27"/>
      <c r="KL202" s="28"/>
      <c r="KP202" s="28"/>
      <c r="KT202" s="28"/>
      <c r="KX202" s="28"/>
      <c r="LB202" s="28"/>
      <c r="LF202" s="28"/>
      <c r="LJ202" s="28"/>
    </row>
    <row r="203" spans="1:322" ht="13.2">
      <c r="A203" s="42"/>
      <c r="B203" s="42"/>
      <c r="C203" s="42"/>
      <c r="D203" s="52"/>
      <c r="E203" s="52"/>
      <c r="O203" s="43"/>
      <c r="AL203" s="44"/>
      <c r="AM203" s="44"/>
      <c r="AN203" s="44"/>
      <c r="AO203" s="44"/>
      <c r="AP203" s="44"/>
      <c r="AQ203" s="44"/>
      <c r="AR203" s="44"/>
      <c r="AS203" s="44"/>
      <c r="AT203" s="45"/>
      <c r="AY203" s="45"/>
      <c r="BH203" s="45"/>
      <c r="BK203" s="45"/>
      <c r="BT203" s="45"/>
      <c r="BU203" s="45"/>
      <c r="CK203" s="10"/>
      <c r="EF203" s="20"/>
      <c r="FD203" s="21"/>
      <c r="FE203" s="21"/>
      <c r="FN203" s="22"/>
      <c r="FO203" s="22"/>
      <c r="FZ203" s="23"/>
      <c r="GA203" s="23"/>
      <c r="JD203" s="26"/>
      <c r="JE203" s="26"/>
      <c r="JF203" s="27"/>
      <c r="JG203" s="27"/>
      <c r="KL203" s="28"/>
      <c r="KP203" s="28"/>
      <c r="KT203" s="28"/>
      <c r="KX203" s="28"/>
      <c r="LB203" s="28"/>
      <c r="LF203" s="28"/>
      <c r="LJ203" s="28"/>
    </row>
    <row r="204" spans="1:322" ht="13.2">
      <c r="A204" s="42"/>
      <c r="B204" s="42"/>
      <c r="C204" s="42"/>
      <c r="D204" s="52"/>
      <c r="E204" s="52"/>
      <c r="O204" s="43"/>
      <c r="AL204" s="44"/>
      <c r="AM204" s="44"/>
      <c r="AN204" s="44"/>
      <c r="AO204" s="44"/>
      <c r="AP204" s="44"/>
      <c r="AQ204" s="44"/>
      <c r="AR204" s="44"/>
      <c r="AS204" s="44"/>
      <c r="AT204" s="45"/>
      <c r="AY204" s="45"/>
      <c r="BH204" s="45"/>
      <c r="BK204" s="45"/>
      <c r="BT204" s="45"/>
      <c r="BU204" s="45"/>
      <c r="CK204" s="10"/>
      <c r="EF204" s="20"/>
      <c r="FD204" s="21"/>
      <c r="FE204" s="21"/>
      <c r="FN204" s="22"/>
      <c r="FO204" s="22"/>
      <c r="FZ204" s="23"/>
      <c r="GA204" s="23"/>
      <c r="JD204" s="26"/>
      <c r="JE204" s="26"/>
      <c r="JF204" s="27"/>
      <c r="JG204" s="27"/>
      <c r="KL204" s="28"/>
      <c r="KP204" s="28"/>
      <c r="KT204" s="28"/>
      <c r="KX204" s="28"/>
      <c r="LB204" s="28"/>
      <c r="LF204" s="28"/>
      <c r="LJ204" s="28"/>
    </row>
    <row r="205" spans="1:322" ht="13.2">
      <c r="A205" s="42"/>
      <c r="B205" s="42"/>
      <c r="C205" s="42"/>
      <c r="D205" s="52"/>
      <c r="E205" s="52"/>
      <c r="O205" s="43"/>
      <c r="AL205" s="44"/>
      <c r="AM205" s="44"/>
      <c r="AN205" s="44"/>
      <c r="AO205" s="44"/>
      <c r="AP205" s="44"/>
      <c r="AQ205" s="44"/>
      <c r="AR205" s="44"/>
      <c r="AS205" s="44"/>
      <c r="AT205" s="45"/>
      <c r="AY205" s="45"/>
      <c r="BH205" s="45"/>
      <c r="BK205" s="45"/>
      <c r="BT205" s="45"/>
      <c r="BU205" s="45"/>
      <c r="CK205" s="10"/>
      <c r="EF205" s="20"/>
      <c r="FD205" s="21"/>
      <c r="FE205" s="21"/>
      <c r="FN205" s="22"/>
      <c r="FO205" s="22"/>
      <c r="FZ205" s="23"/>
      <c r="GA205" s="23"/>
      <c r="JD205" s="26"/>
      <c r="JE205" s="26"/>
      <c r="JF205" s="27"/>
      <c r="JG205" s="27"/>
      <c r="KL205" s="28"/>
      <c r="KP205" s="28"/>
      <c r="KT205" s="28"/>
      <c r="KX205" s="28"/>
      <c r="LB205" s="28"/>
      <c r="LF205" s="28"/>
      <c r="LJ205" s="28"/>
    </row>
    <row r="206" spans="1:322" ht="13.2">
      <c r="A206" s="42"/>
      <c r="B206" s="42"/>
      <c r="C206" s="42"/>
      <c r="D206" s="52"/>
      <c r="E206" s="52"/>
      <c r="O206" s="43"/>
      <c r="AL206" s="44"/>
      <c r="AM206" s="44"/>
      <c r="AN206" s="44"/>
      <c r="AO206" s="44"/>
      <c r="AP206" s="44"/>
      <c r="AQ206" s="44"/>
      <c r="AR206" s="44"/>
      <c r="AS206" s="44"/>
      <c r="AT206" s="45"/>
      <c r="AY206" s="45"/>
      <c r="BH206" s="45"/>
      <c r="BK206" s="45"/>
      <c r="BT206" s="45"/>
      <c r="BU206" s="45"/>
      <c r="CK206" s="10"/>
      <c r="EF206" s="20"/>
      <c r="FD206" s="21"/>
      <c r="FE206" s="21"/>
      <c r="FN206" s="22"/>
      <c r="FO206" s="22"/>
      <c r="FZ206" s="23"/>
      <c r="GA206" s="23"/>
      <c r="JD206" s="26"/>
      <c r="JE206" s="26"/>
      <c r="JF206" s="27"/>
      <c r="JG206" s="27"/>
      <c r="KL206" s="28"/>
      <c r="KP206" s="28"/>
      <c r="KT206" s="28"/>
      <c r="KX206" s="28"/>
      <c r="LB206" s="28"/>
      <c r="LF206" s="28"/>
      <c r="LJ206" s="28"/>
    </row>
    <row r="207" spans="1:322" ht="13.2">
      <c r="A207" s="42"/>
      <c r="B207" s="42"/>
      <c r="C207" s="42"/>
      <c r="D207" s="52"/>
      <c r="E207" s="52"/>
      <c r="O207" s="43"/>
      <c r="AL207" s="44"/>
      <c r="AM207" s="44"/>
      <c r="AN207" s="44"/>
      <c r="AO207" s="44"/>
      <c r="AP207" s="44"/>
      <c r="AQ207" s="44"/>
      <c r="AR207" s="44"/>
      <c r="AS207" s="44"/>
      <c r="AT207" s="45"/>
      <c r="AY207" s="45"/>
      <c r="BH207" s="45"/>
      <c r="BK207" s="45"/>
      <c r="BT207" s="45"/>
      <c r="BU207" s="45"/>
      <c r="CK207" s="10"/>
      <c r="EF207" s="20"/>
      <c r="FD207" s="21"/>
      <c r="FE207" s="21"/>
      <c r="FN207" s="22"/>
      <c r="FO207" s="22"/>
      <c r="FZ207" s="23"/>
      <c r="GA207" s="23"/>
      <c r="JD207" s="26"/>
      <c r="JE207" s="26"/>
      <c r="JF207" s="27"/>
      <c r="JG207" s="27"/>
      <c r="KL207" s="28"/>
      <c r="KP207" s="28"/>
      <c r="KT207" s="28"/>
      <c r="KX207" s="28"/>
      <c r="LB207" s="28"/>
      <c r="LF207" s="28"/>
      <c r="LJ207" s="28"/>
    </row>
    <row r="208" spans="1:322" ht="13.2">
      <c r="A208" s="42"/>
      <c r="B208" s="42"/>
      <c r="C208" s="42"/>
      <c r="D208" s="52"/>
      <c r="E208" s="52"/>
      <c r="O208" s="43"/>
      <c r="AL208" s="44"/>
      <c r="AM208" s="44"/>
      <c r="AN208" s="44"/>
      <c r="AO208" s="44"/>
      <c r="AP208" s="44"/>
      <c r="AQ208" s="44"/>
      <c r="AR208" s="44"/>
      <c r="AS208" s="44"/>
      <c r="AT208" s="45"/>
      <c r="AY208" s="45"/>
      <c r="BH208" s="45"/>
      <c r="BK208" s="45"/>
      <c r="BT208" s="45"/>
      <c r="BU208" s="45"/>
      <c r="CK208" s="10"/>
      <c r="EF208" s="20"/>
      <c r="FD208" s="21"/>
      <c r="FE208" s="21"/>
      <c r="FN208" s="22"/>
      <c r="FO208" s="22"/>
      <c r="FZ208" s="23"/>
      <c r="GA208" s="23"/>
      <c r="JD208" s="26"/>
      <c r="JE208" s="26"/>
      <c r="JF208" s="27"/>
      <c r="JG208" s="27"/>
      <c r="KL208" s="28"/>
      <c r="KP208" s="28"/>
      <c r="KT208" s="28"/>
      <c r="KX208" s="28"/>
      <c r="LB208" s="28"/>
      <c r="LF208" s="28"/>
      <c r="LJ208" s="28"/>
    </row>
    <row r="209" spans="1:322" ht="13.2">
      <c r="A209" s="42"/>
      <c r="B209" s="42"/>
      <c r="C209" s="42"/>
      <c r="D209" s="52"/>
      <c r="E209" s="52"/>
      <c r="O209" s="43"/>
      <c r="AL209" s="44"/>
      <c r="AM209" s="44"/>
      <c r="AN209" s="44"/>
      <c r="AO209" s="44"/>
      <c r="AP209" s="44"/>
      <c r="AQ209" s="44"/>
      <c r="AR209" s="44"/>
      <c r="AS209" s="44"/>
      <c r="AT209" s="45"/>
      <c r="AY209" s="45"/>
      <c r="BH209" s="45"/>
      <c r="BK209" s="45"/>
      <c r="BT209" s="45"/>
      <c r="BU209" s="45"/>
      <c r="CK209" s="10"/>
      <c r="EF209" s="20"/>
      <c r="FD209" s="21"/>
      <c r="FE209" s="21"/>
      <c r="FN209" s="22"/>
      <c r="FO209" s="22"/>
      <c r="FZ209" s="23"/>
      <c r="GA209" s="23"/>
      <c r="JD209" s="26"/>
      <c r="JE209" s="26"/>
      <c r="JF209" s="27"/>
      <c r="JG209" s="27"/>
      <c r="KL209" s="28"/>
      <c r="KP209" s="28"/>
      <c r="KT209" s="28"/>
      <c r="KX209" s="28"/>
      <c r="LB209" s="28"/>
      <c r="LF209" s="28"/>
      <c r="LJ209" s="28"/>
    </row>
    <row r="210" spans="1:322" ht="13.2">
      <c r="A210" s="42"/>
      <c r="B210" s="42"/>
      <c r="C210" s="42"/>
      <c r="D210" s="52"/>
      <c r="E210" s="52"/>
      <c r="O210" s="43"/>
      <c r="AL210" s="44"/>
      <c r="AM210" s="44"/>
      <c r="AN210" s="44"/>
      <c r="AO210" s="44"/>
      <c r="AP210" s="44"/>
      <c r="AQ210" s="44"/>
      <c r="AR210" s="44"/>
      <c r="AS210" s="44"/>
      <c r="AT210" s="45"/>
      <c r="AY210" s="45"/>
      <c r="BH210" s="45"/>
      <c r="BK210" s="45"/>
      <c r="BT210" s="45"/>
      <c r="BU210" s="45"/>
      <c r="CK210" s="10"/>
      <c r="EF210" s="20"/>
      <c r="FD210" s="21"/>
      <c r="FE210" s="21"/>
      <c r="FN210" s="22"/>
      <c r="FO210" s="22"/>
      <c r="FZ210" s="23"/>
      <c r="GA210" s="23"/>
      <c r="JD210" s="26"/>
      <c r="JE210" s="26"/>
      <c r="JF210" s="27"/>
      <c r="JG210" s="27"/>
      <c r="KL210" s="28"/>
      <c r="KP210" s="28"/>
      <c r="KT210" s="28"/>
      <c r="KX210" s="28"/>
      <c r="LB210" s="28"/>
      <c r="LF210" s="28"/>
      <c r="LJ210" s="28"/>
    </row>
    <row r="211" spans="1:322" ht="13.2">
      <c r="A211" s="42"/>
      <c r="B211" s="42"/>
      <c r="C211" s="42"/>
      <c r="D211" s="52"/>
      <c r="E211" s="52"/>
      <c r="O211" s="43"/>
      <c r="AL211" s="44"/>
      <c r="AM211" s="44"/>
      <c r="AN211" s="44"/>
      <c r="AO211" s="44"/>
      <c r="AP211" s="44"/>
      <c r="AQ211" s="44"/>
      <c r="AR211" s="44"/>
      <c r="AS211" s="44"/>
      <c r="AT211" s="45"/>
      <c r="AY211" s="45"/>
      <c r="BH211" s="45"/>
      <c r="BK211" s="45"/>
      <c r="BT211" s="45"/>
      <c r="BU211" s="45"/>
      <c r="CK211" s="10"/>
      <c r="EF211" s="20"/>
      <c r="FD211" s="21"/>
      <c r="FE211" s="21"/>
      <c r="FN211" s="22"/>
      <c r="FO211" s="22"/>
      <c r="FZ211" s="23"/>
      <c r="GA211" s="23"/>
      <c r="JD211" s="26"/>
      <c r="JE211" s="26"/>
      <c r="JF211" s="27"/>
      <c r="JG211" s="27"/>
      <c r="KL211" s="28"/>
      <c r="KP211" s="28"/>
      <c r="KT211" s="28"/>
      <c r="KX211" s="28"/>
      <c r="LB211" s="28"/>
      <c r="LF211" s="28"/>
      <c r="LJ211" s="28"/>
    </row>
    <row r="212" spans="1:322" ht="13.2">
      <c r="A212" s="42"/>
      <c r="B212" s="42"/>
      <c r="C212" s="42"/>
      <c r="D212" s="52"/>
      <c r="E212" s="52"/>
      <c r="O212" s="43"/>
      <c r="AL212" s="44"/>
      <c r="AM212" s="44"/>
      <c r="AN212" s="44"/>
      <c r="AO212" s="44"/>
      <c r="AP212" s="44"/>
      <c r="AQ212" s="44"/>
      <c r="AR212" s="44"/>
      <c r="AS212" s="44"/>
      <c r="AT212" s="45"/>
      <c r="AY212" s="45"/>
      <c r="BH212" s="45"/>
      <c r="BK212" s="45"/>
      <c r="BT212" s="45"/>
      <c r="BU212" s="45"/>
      <c r="CK212" s="10"/>
      <c r="EF212" s="20"/>
      <c r="FD212" s="21"/>
      <c r="FE212" s="21"/>
      <c r="FN212" s="22"/>
      <c r="FO212" s="22"/>
      <c r="FZ212" s="23"/>
      <c r="GA212" s="23"/>
      <c r="JD212" s="26"/>
      <c r="JE212" s="26"/>
      <c r="JF212" s="27"/>
      <c r="JG212" s="27"/>
      <c r="KL212" s="28"/>
      <c r="KP212" s="28"/>
      <c r="KT212" s="28"/>
      <c r="KX212" s="28"/>
      <c r="LB212" s="28"/>
      <c r="LF212" s="28"/>
      <c r="LJ212" s="28"/>
    </row>
    <row r="213" spans="1:322" ht="13.2">
      <c r="A213" s="42"/>
      <c r="B213" s="42"/>
      <c r="C213" s="42"/>
      <c r="D213" s="52"/>
      <c r="E213" s="52"/>
      <c r="O213" s="43"/>
      <c r="AL213" s="44"/>
      <c r="AM213" s="44"/>
      <c r="AN213" s="44"/>
      <c r="AO213" s="44"/>
      <c r="AP213" s="44"/>
      <c r="AQ213" s="44"/>
      <c r="AR213" s="44"/>
      <c r="AS213" s="44"/>
      <c r="AT213" s="45"/>
      <c r="AY213" s="45"/>
      <c r="BH213" s="45"/>
      <c r="BK213" s="45"/>
      <c r="BT213" s="45"/>
      <c r="BU213" s="45"/>
      <c r="CK213" s="10"/>
      <c r="EF213" s="20"/>
      <c r="FD213" s="21"/>
      <c r="FE213" s="21"/>
      <c r="FN213" s="22"/>
      <c r="FO213" s="22"/>
      <c r="FZ213" s="23"/>
      <c r="GA213" s="23"/>
      <c r="JD213" s="26"/>
      <c r="JE213" s="26"/>
      <c r="JF213" s="27"/>
      <c r="JG213" s="27"/>
      <c r="KL213" s="28"/>
      <c r="KP213" s="28"/>
      <c r="KT213" s="28"/>
      <c r="KX213" s="28"/>
      <c r="LB213" s="28"/>
      <c r="LF213" s="28"/>
      <c r="LJ213" s="28"/>
    </row>
    <row r="214" spans="1:322" ht="13.2">
      <c r="A214" s="42"/>
      <c r="B214" s="42"/>
      <c r="C214" s="42"/>
      <c r="D214" s="52"/>
      <c r="E214" s="52"/>
      <c r="O214" s="43"/>
      <c r="AL214" s="44"/>
      <c r="AM214" s="44"/>
      <c r="AN214" s="44"/>
      <c r="AO214" s="44"/>
      <c r="AP214" s="44"/>
      <c r="AQ214" s="44"/>
      <c r="AR214" s="44"/>
      <c r="AS214" s="44"/>
      <c r="AT214" s="45"/>
      <c r="AY214" s="45"/>
      <c r="BH214" s="45"/>
      <c r="BK214" s="45"/>
      <c r="BT214" s="45"/>
      <c r="BU214" s="45"/>
      <c r="CK214" s="10"/>
      <c r="EF214" s="20"/>
      <c r="FD214" s="21"/>
      <c r="FE214" s="21"/>
      <c r="FN214" s="22"/>
      <c r="FO214" s="22"/>
      <c r="FZ214" s="23"/>
      <c r="GA214" s="23"/>
      <c r="JD214" s="26"/>
      <c r="JE214" s="26"/>
      <c r="JF214" s="27"/>
      <c r="JG214" s="27"/>
      <c r="KL214" s="28"/>
      <c r="KP214" s="28"/>
      <c r="KT214" s="28"/>
      <c r="KX214" s="28"/>
      <c r="LB214" s="28"/>
      <c r="LF214" s="28"/>
      <c r="LJ214" s="28"/>
    </row>
    <row r="215" spans="1:322" ht="13.2">
      <c r="A215" s="42"/>
      <c r="B215" s="42"/>
      <c r="C215" s="42"/>
      <c r="D215" s="52"/>
      <c r="E215" s="52"/>
      <c r="O215" s="43"/>
      <c r="AL215" s="44"/>
      <c r="AM215" s="44"/>
      <c r="AN215" s="44"/>
      <c r="AO215" s="44"/>
      <c r="AP215" s="44"/>
      <c r="AQ215" s="44"/>
      <c r="AR215" s="44"/>
      <c r="AS215" s="44"/>
      <c r="AT215" s="45"/>
      <c r="AY215" s="45"/>
      <c r="BH215" s="45"/>
      <c r="BK215" s="45"/>
      <c r="BT215" s="45"/>
      <c r="BU215" s="45"/>
      <c r="CK215" s="10"/>
      <c r="EF215" s="20"/>
      <c r="FD215" s="21"/>
      <c r="FE215" s="21"/>
      <c r="FN215" s="22"/>
      <c r="FO215" s="22"/>
      <c r="FZ215" s="23"/>
      <c r="GA215" s="23"/>
      <c r="JD215" s="26"/>
      <c r="JE215" s="26"/>
      <c r="JF215" s="27"/>
      <c r="JG215" s="27"/>
      <c r="KL215" s="28"/>
      <c r="KP215" s="28"/>
      <c r="KT215" s="28"/>
      <c r="KX215" s="28"/>
      <c r="LB215" s="28"/>
      <c r="LF215" s="28"/>
      <c r="LJ215" s="28"/>
    </row>
    <row r="216" spans="1:322" ht="13.2">
      <c r="A216" s="42"/>
      <c r="B216" s="42"/>
      <c r="C216" s="42"/>
      <c r="D216" s="52"/>
      <c r="E216" s="52"/>
      <c r="O216" s="43"/>
      <c r="AL216" s="44"/>
      <c r="AM216" s="44"/>
      <c r="AN216" s="44"/>
      <c r="AO216" s="44"/>
      <c r="AP216" s="44"/>
      <c r="AQ216" s="44"/>
      <c r="AR216" s="44"/>
      <c r="AS216" s="44"/>
      <c r="AT216" s="45"/>
      <c r="AY216" s="45"/>
      <c r="BH216" s="45"/>
      <c r="BK216" s="45"/>
      <c r="BT216" s="45"/>
      <c r="BU216" s="45"/>
      <c r="CK216" s="10"/>
      <c r="EF216" s="20"/>
      <c r="FD216" s="21"/>
      <c r="FE216" s="21"/>
      <c r="FN216" s="22"/>
      <c r="FO216" s="22"/>
      <c r="FZ216" s="23"/>
      <c r="GA216" s="23"/>
      <c r="JD216" s="26"/>
      <c r="JE216" s="26"/>
      <c r="JF216" s="27"/>
      <c r="JG216" s="27"/>
      <c r="KL216" s="28"/>
      <c r="KP216" s="28"/>
      <c r="KT216" s="28"/>
      <c r="KX216" s="28"/>
      <c r="LB216" s="28"/>
      <c r="LF216" s="28"/>
      <c r="LJ216" s="28"/>
    </row>
    <row r="217" spans="1:322" ht="13.2">
      <c r="A217" s="42"/>
      <c r="B217" s="42"/>
      <c r="C217" s="42"/>
      <c r="D217" s="52"/>
      <c r="E217" s="52"/>
      <c r="O217" s="43"/>
      <c r="AL217" s="44"/>
      <c r="AM217" s="44"/>
      <c r="AN217" s="44"/>
      <c r="AO217" s="44"/>
      <c r="AP217" s="44"/>
      <c r="AQ217" s="44"/>
      <c r="AR217" s="44"/>
      <c r="AS217" s="44"/>
      <c r="AT217" s="45"/>
      <c r="AY217" s="45"/>
      <c r="BH217" s="45"/>
      <c r="BK217" s="45"/>
      <c r="BT217" s="45"/>
      <c r="BU217" s="45"/>
      <c r="CK217" s="10"/>
      <c r="EF217" s="20"/>
      <c r="FD217" s="21"/>
      <c r="FE217" s="21"/>
      <c r="FN217" s="22"/>
      <c r="FO217" s="22"/>
      <c r="FZ217" s="23"/>
      <c r="GA217" s="23"/>
      <c r="JD217" s="26"/>
      <c r="JE217" s="26"/>
      <c r="JF217" s="27"/>
      <c r="JG217" s="27"/>
      <c r="KL217" s="28"/>
      <c r="KP217" s="28"/>
      <c r="KT217" s="28"/>
      <c r="KX217" s="28"/>
      <c r="LB217" s="28"/>
      <c r="LF217" s="28"/>
      <c r="LJ217" s="28"/>
    </row>
    <row r="218" spans="1:322" ht="13.2">
      <c r="A218" s="42"/>
      <c r="B218" s="42"/>
      <c r="C218" s="42"/>
      <c r="D218" s="52"/>
      <c r="E218" s="52"/>
      <c r="O218" s="43"/>
      <c r="AL218" s="44"/>
      <c r="AM218" s="44"/>
      <c r="AN218" s="44"/>
      <c r="AO218" s="44"/>
      <c r="AP218" s="44"/>
      <c r="AQ218" s="44"/>
      <c r="AR218" s="44"/>
      <c r="AS218" s="44"/>
      <c r="AT218" s="45"/>
      <c r="AY218" s="45"/>
      <c r="BH218" s="45"/>
      <c r="BK218" s="45"/>
      <c r="BT218" s="45"/>
      <c r="BU218" s="45"/>
      <c r="CK218" s="10"/>
      <c r="EF218" s="20"/>
      <c r="FD218" s="21"/>
      <c r="FE218" s="21"/>
      <c r="FN218" s="22"/>
      <c r="FO218" s="22"/>
      <c r="FZ218" s="23"/>
      <c r="GA218" s="23"/>
      <c r="JD218" s="26"/>
      <c r="JE218" s="26"/>
      <c r="JF218" s="27"/>
      <c r="JG218" s="27"/>
      <c r="KL218" s="28"/>
      <c r="KP218" s="28"/>
      <c r="KT218" s="28"/>
      <c r="KX218" s="28"/>
      <c r="LB218" s="28"/>
      <c r="LF218" s="28"/>
      <c r="LJ218" s="28"/>
    </row>
    <row r="219" spans="1:322" ht="13.2">
      <c r="A219" s="42"/>
      <c r="B219" s="42"/>
      <c r="C219" s="42"/>
      <c r="D219" s="52"/>
      <c r="E219" s="52"/>
      <c r="O219" s="43"/>
      <c r="AL219" s="44"/>
      <c r="AM219" s="44"/>
      <c r="AN219" s="44"/>
      <c r="AO219" s="44"/>
      <c r="AP219" s="44"/>
      <c r="AQ219" s="44"/>
      <c r="AR219" s="44"/>
      <c r="AS219" s="44"/>
      <c r="AT219" s="45"/>
      <c r="AY219" s="45"/>
      <c r="BH219" s="45"/>
      <c r="BK219" s="45"/>
      <c r="BT219" s="45"/>
      <c r="BU219" s="45"/>
      <c r="CK219" s="10"/>
      <c r="EF219" s="20"/>
      <c r="FD219" s="21"/>
      <c r="FE219" s="21"/>
      <c r="FN219" s="22"/>
      <c r="FO219" s="22"/>
      <c r="FZ219" s="23"/>
      <c r="GA219" s="23"/>
      <c r="JD219" s="26"/>
      <c r="JE219" s="26"/>
      <c r="JF219" s="27"/>
      <c r="JG219" s="27"/>
      <c r="KL219" s="28"/>
      <c r="KP219" s="28"/>
      <c r="KT219" s="28"/>
      <c r="KX219" s="28"/>
      <c r="LB219" s="28"/>
      <c r="LF219" s="28"/>
      <c r="LJ219" s="28"/>
    </row>
    <row r="220" spans="1:322" ht="13.2">
      <c r="A220" s="42"/>
      <c r="B220" s="42"/>
      <c r="C220" s="42"/>
      <c r="D220" s="52"/>
      <c r="E220" s="52"/>
      <c r="O220" s="43"/>
      <c r="AL220" s="44"/>
      <c r="AM220" s="44"/>
      <c r="AN220" s="44"/>
      <c r="AO220" s="44"/>
      <c r="AP220" s="44"/>
      <c r="AQ220" s="44"/>
      <c r="AR220" s="44"/>
      <c r="AS220" s="44"/>
      <c r="AT220" s="45"/>
      <c r="AY220" s="45"/>
      <c r="BH220" s="45"/>
      <c r="BK220" s="45"/>
      <c r="BT220" s="45"/>
      <c r="BU220" s="45"/>
      <c r="CK220" s="10"/>
      <c r="EF220" s="20"/>
      <c r="FD220" s="21"/>
      <c r="FE220" s="21"/>
      <c r="FN220" s="22"/>
      <c r="FO220" s="22"/>
      <c r="FZ220" s="23"/>
      <c r="GA220" s="23"/>
      <c r="JD220" s="26"/>
      <c r="JE220" s="26"/>
      <c r="JF220" s="27"/>
      <c r="JG220" s="27"/>
      <c r="KL220" s="28"/>
      <c r="KP220" s="28"/>
      <c r="KT220" s="28"/>
      <c r="KX220" s="28"/>
      <c r="LB220" s="28"/>
      <c r="LF220" s="28"/>
      <c r="LJ220" s="28"/>
    </row>
    <row r="221" spans="1:322" ht="13.2">
      <c r="A221" s="42"/>
      <c r="B221" s="42"/>
      <c r="C221" s="42"/>
      <c r="D221" s="52"/>
      <c r="E221" s="52"/>
      <c r="O221" s="43"/>
      <c r="AL221" s="44"/>
      <c r="AM221" s="44"/>
      <c r="AN221" s="44"/>
      <c r="AO221" s="44"/>
      <c r="AP221" s="44"/>
      <c r="AQ221" s="44"/>
      <c r="AR221" s="44"/>
      <c r="AS221" s="44"/>
      <c r="AT221" s="45"/>
      <c r="AY221" s="45"/>
      <c r="BH221" s="45"/>
      <c r="BK221" s="45"/>
      <c r="BT221" s="45"/>
      <c r="BU221" s="45"/>
      <c r="CK221" s="10"/>
      <c r="EF221" s="20"/>
      <c r="FD221" s="21"/>
      <c r="FE221" s="21"/>
      <c r="FN221" s="22"/>
      <c r="FO221" s="22"/>
      <c r="FZ221" s="23"/>
      <c r="GA221" s="23"/>
      <c r="JD221" s="26"/>
      <c r="JE221" s="26"/>
      <c r="JF221" s="27"/>
      <c r="JG221" s="27"/>
      <c r="KL221" s="28"/>
      <c r="KP221" s="28"/>
      <c r="KT221" s="28"/>
      <c r="KX221" s="28"/>
      <c r="LB221" s="28"/>
      <c r="LF221" s="28"/>
      <c r="LJ221" s="28"/>
    </row>
    <row r="222" spans="1:322" ht="13.2">
      <c r="A222" s="42"/>
      <c r="B222" s="42"/>
      <c r="C222" s="42"/>
      <c r="D222" s="52"/>
      <c r="E222" s="52"/>
      <c r="O222" s="43"/>
      <c r="AL222" s="44"/>
      <c r="AM222" s="44"/>
      <c r="AN222" s="44"/>
      <c r="AO222" s="44"/>
      <c r="AP222" s="44"/>
      <c r="AQ222" s="44"/>
      <c r="AR222" s="44"/>
      <c r="AS222" s="44"/>
      <c r="AT222" s="45"/>
      <c r="AY222" s="45"/>
      <c r="BH222" s="45"/>
      <c r="BK222" s="45"/>
      <c r="BT222" s="45"/>
      <c r="BU222" s="45"/>
      <c r="CK222" s="10"/>
      <c r="EF222" s="20"/>
      <c r="FD222" s="21"/>
      <c r="FE222" s="21"/>
      <c r="FN222" s="22"/>
      <c r="FO222" s="22"/>
      <c r="FZ222" s="23"/>
      <c r="GA222" s="23"/>
      <c r="JD222" s="26"/>
      <c r="JE222" s="26"/>
      <c r="JF222" s="27"/>
      <c r="JG222" s="27"/>
      <c r="KL222" s="28"/>
      <c r="KP222" s="28"/>
      <c r="KT222" s="28"/>
      <c r="KX222" s="28"/>
      <c r="LB222" s="28"/>
      <c r="LF222" s="28"/>
      <c r="LJ222" s="28"/>
    </row>
    <row r="223" spans="1:322" ht="13.2">
      <c r="A223" s="42"/>
      <c r="B223" s="42"/>
      <c r="C223" s="42"/>
      <c r="D223" s="52"/>
      <c r="E223" s="52"/>
      <c r="O223" s="43"/>
      <c r="AL223" s="44"/>
      <c r="AM223" s="44"/>
      <c r="AN223" s="44"/>
      <c r="AO223" s="44"/>
      <c r="AP223" s="44"/>
      <c r="AQ223" s="44"/>
      <c r="AR223" s="44"/>
      <c r="AS223" s="44"/>
      <c r="AT223" s="45"/>
      <c r="AY223" s="45"/>
      <c r="BH223" s="45"/>
      <c r="BK223" s="45"/>
      <c r="BT223" s="45"/>
      <c r="BU223" s="45"/>
      <c r="CK223" s="10"/>
      <c r="EF223" s="20"/>
      <c r="FD223" s="21"/>
      <c r="FE223" s="21"/>
      <c r="FN223" s="22"/>
      <c r="FO223" s="22"/>
      <c r="FZ223" s="23"/>
      <c r="GA223" s="23"/>
      <c r="JD223" s="26"/>
      <c r="JE223" s="26"/>
      <c r="JF223" s="27"/>
      <c r="JG223" s="27"/>
      <c r="KL223" s="28"/>
      <c r="KP223" s="28"/>
      <c r="KT223" s="28"/>
      <c r="KX223" s="28"/>
      <c r="LB223" s="28"/>
      <c r="LF223" s="28"/>
      <c r="LJ223" s="28"/>
    </row>
    <row r="224" spans="1:322" ht="13.2">
      <c r="A224" s="42"/>
      <c r="B224" s="42"/>
      <c r="C224" s="42"/>
      <c r="D224" s="52"/>
      <c r="E224" s="52"/>
      <c r="O224" s="43"/>
      <c r="AL224" s="44"/>
      <c r="AM224" s="44"/>
      <c r="AN224" s="44"/>
      <c r="AO224" s="44"/>
      <c r="AP224" s="44"/>
      <c r="AQ224" s="44"/>
      <c r="AR224" s="44"/>
      <c r="AS224" s="44"/>
      <c r="AT224" s="45"/>
      <c r="AY224" s="45"/>
      <c r="BH224" s="45"/>
      <c r="BK224" s="45"/>
      <c r="BT224" s="45"/>
      <c r="BU224" s="45"/>
      <c r="CK224" s="10"/>
      <c r="EF224" s="20"/>
      <c r="FD224" s="21"/>
      <c r="FE224" s="21"/>
      <c r="FN224" s="22"/>
      <c r="FO224" s="22"/>
      <c r="FZ224" s="23"/>
      <c r="GA224" s="23"/>
      <c r="JD224" s="26"/>
      <c r="JE224" s="26"/>
      <c r="JF224" s="27"/>
      <c r="JG224" s="27"/>
      <c r="KL224" s="28"/>
      <c r="KP224" s="28"/>
      <c r="KT224" s="28"/>
      <c r="KX224" s="28"/>
      <c r="LB224" s="28"/>
      <c r="LF224" s="28"/>
      <c r="LJ224" s="28"/>
    </row>
    <row r="225" spans="1:322" ht="13.2">
      <c r="A225" s="42"/>
      <c r="B225" s="42"/>
      <c r="C225" s="42"/>
      <c r="D225" s="52"/>
      <c r="E225" s="52"/>
      <c r="O225" s="43"/>
      <c r="AL225" s="44"/>
      <c r="AM225" s="44"/>
      <c r="AN225" s="44"/>
      <c r="AO225" s="44"/>
      <c r="AP225" s="44"/>
      <c r="AQ225" s="44"/>
      <c r="AR225" s="44"/>
      <c r="AS225" s="44"/>
      <c r="AT225" s="45"/>
      <c r="AY225" s="45"/>
      <c r="BH225" s="45"/>
      <c r="BK225" s="45"/>
      <c r="BT225" s="45"/>
      <c r="BU225" s="45"/>
      <c r="CK225" s="10"/>
      <c r="EF225" s="20"/>
      <c r="FD225" s="21"/>
      <c r="FE225" s="21"/>
      <c r="FN225" s="22"/>
      <c r="FO225" s="22"/>
      <c r="FZ225" s="23"/>
      <c r="GA225" s="23"/>
      <c r="JD225" s="26"/>
      <c r="JE225" s="26"/>
      <c r="JF225" s="27"/>
      <c r="JG225" s="27"/>
      <c r="KL225" s="28"/>
      <c r="KP225" s="28"/>
      <c r="KT225" s="28"/>
      <c r="KX225" s="28"/>
      <c r="LB225" s="28"/>
      <c r="LF225" s="28"/>
      <c r="LJ225" s="28"/>
    </row>
    <row r="226" spans="1:322" ht="13.2">
      <c r="A226" s="42"/>
      <c r="B226" s="42"/>
      <c r="C226" s="42"/>
      <c r="D226" s="52"/>
      <c r="E226" s="52"/>
      <c r="O226" s="43"/>
      <c r="AL226" s="44"/>
      <c r="AM226" s="44"/>
      <c r="AN226" s="44"/>
      <c r="AO226" s="44"/>
      <c r="AP226" s="44"/>
      <c r="AQ226" s="44"/>
      <c r="AR226" s="44"/>
      <c r="AS226" s="44"/>
      <c r="AT226" s="45"/>
      <c r="AY226" s="45"/>
      <c r="BH226" s="45"/>
      <c r="BK226" s="45"/>
      <c r="BT226" s="45"/>
      <c r="BU226" s="45"/>
      <c r="CK226" s="10"/>
      <c r="EF226" s="20"/>
      <c r="FD226" s="21"/>
      <c r="FE226" s="21"/>
      <c r="FN226" s="22"/>
      <c r="FO226" s="22"/>
      <c r="FZ226" s="23"/>
      <c r="GA226" s="23"/>
      <c r="JD226" s="26"/>
      <c r="JE226" s="26"/>
      <c r="JF226" s="27"/>
      <c r="JG226" s="27"/>
      <c r="KL226" s="28"/>
      <c r="KP226" s="28"/>
      <c r="KT226" s="28"/>
      <c r="KX226" s="28"/>
      <c r="LB226" s="28"/>
      <c r="LF226" s="28"/>
      <c r="LJ226" s="28"/>
    </row>
    <row r="227" spans="1:322" ht="13.2">
      <c r="A227" s="42"/>
      <c r="B227" s="42"/>
      <c r="C227" s="42"/>
      <c r="D227" s="52"/>
      <c r="E227" s="52"/>
      <c r="O227" s="43"/>
      <c r="AL227" s="44"/>
      <c r="AM227" s="44"/>
      <c r="AN227" s="44"/>
      <c r="AO227" s="44"/>
      <c r="AP227" s="44"/>
      <c r="AQ227" s="44"/>
      <c r="AR227" s="44"/>
      <c r="AS227" s="44"/>
      <c r="AT227" s="45"/>
      <c r="AY227" s="45"/>
      <c r="BH227" s="45"/>
      <c r="BK227" s="45"/>
      <c r="BT227" s="45"/>
      <c r="BU227" s="45"/>
      <c r="CK227" s="10"/>
      <c r="EF227" s="20"/>
      <c r="FD227" s="21"/>
      <c r="FE227" s="21"/>
      <c r="FN227" s="22"/>
      <c r="FO227" s="22"/>
      <c r="FZ227" s="23"/>
      <c r="GA227" s="23"/>
      <c r="JD227" s="26"/>
      <c r="JE227" s="26"/>
      <c r="JF227" s="27"/>
      <c r="JG227" s="27"/>
      <c r="KL227" s="28"/>
      <c r="KP227" s="28"/>
      <c r="KT227" s="28"/>
      <c r="KX227" s="28"/>
      <c r="LB227" s="28"/>
      <c r="LF227" s="28"/>
      <c r="LJ227" s="28"/>
    </row>
    <row r="228" spans="1:322" ht="13.2">
      <c r="A228" s="42"/>
      <c r="B228" s="42"/>
      <c r="C228" s="42"/>
      <c r="D228" s="52"/>
      <c r="E228" s="52"/>
      <c r="O228" s="43"/>
      <c r="AL228" s="44"/>
      <c r="AM228" s="44"/>
      <c r="AN228" s="44"/>
      <c r="AO228" s="44"/>
      <c r="AP228" s="44"/>
      <c r="AQ228" s="44"/>
      <c r="AR228" s="44"/>
      <c r="AS228" s="44"/>
      <c r="AT228" s="45"/>
      <c r="AY228" s="45"/>
      <c r="BH228" s="45"/>
      <c r="BK228" s="45"/>
      <c r="BT228" s="45"/>
      <c r="BU228" s="45"/>
      <c r="CK228" s="10"/>
      <c r="EF228" s="20"/>
      <c r="FD228" s="21"/>
      <c r="FE228" s="21"/>
      <c r="FN228" s="22"/>
      <c r="FO228" s="22"/>
      <c r="FZ228" s="23"/>
      <c r="GA228" s="23"/>
      <c r="JD228" s="26"/>
      <c r="JE228" s="26"/>
      <c r="JF228" s="27"/>
      <c r="JG228" s="27"/>
      <c r="KL228" s="28"/>
      <c r="KP228" s="28"/>
      <c r="KT228" s="28"/>
      <c r="KX228" s="28"/>
      <c r="LB228" s="28"/>
      <c r="LF228" s="28"/>
      <c r="LJ228" s="28"/>
    </row>
    <row r="229" spans="1:322" ht="13.2">
      <c r="A229" s="42"/>
      <c r="B229" s="42"/>
      <c r="C229" s="42"/>
      <c r="D229" s="52"/>
      <c r="E229" s="52"/>
      <c r="O229" s="43"/>
      <c r="AL229" s="44"/>
      <c r="AM229" s="44"/>
      <c r="AN229" s="44"/>
      <c r="AO229" s="44"/>
      <c r="AP229" s="44"/>
      <c r="AQ229" s="44"/>
      <c r="AR229" s="44"/>
      <c r="AS229" s="44"/>
      <c r="AT229" s="45"/>
      <c r="AY229" s="45"/>
      <c r="BH229" s="45"/>
      <c r="BK229" s="45"/>
      <c r="BT229" s="45"/>
      <c r="BU229" s="45"/>
      <c r="CK229" s="10"/>
      <c r="EF229" s="20"/>
      <c r="FD229" s="21"/>
      <c r="FE229" s="21"/>
      <c r="FN229" s="22"/>
      <c r="FO229" s="22"/>
      <c r="FZ229" s="23"/>
      <c r="GA229" s="23"/>
      <c r="JD229" s="26"/>
      <c r="JE229" s="26"/>
      <c r="JF229" s="27"/>
      <c r="JG229" s="27"/>
      <c r="KL229" s="28"/>
      <c r="KP229" s="28"/>
      <c r="KT229" s="28"/>
      <c r="KX229" s="28"/>
      <c r="LB229" s="28"/>
      <c r="LF229" s="28"/>
      <c r="LJ229" s="28"/>
    </row>
    <row r="230" spans="1:322" ht="13.2">
      <c r="A230" s="42"/>
      <c r="B230" s="42"/>
      <c r="C230" s="42"/>
      <c r="D230" s="52"/>
      <c r="E230" s="52"/>
      <c r="O230" s="43"/>
      <c r="AL230" s="44"/>
      <c r="AM230" s="44"/>
      <c r="AN230" s="44"/>
      <c r="AO230" s="44"/>
      <c r="AP230" s="44"/>
      <c r="AQ230" s="44"/>
      <c r="AR230" s="44"/>
      <c r="AS230" s="44"/>
      <c r="AT230" s="45"/>
      <c r="AY230" s="45"/>
      <c r="BH230" s="45"/>
      <c r="BK230" s="45"/>
      <c r="BT230" s="45"/>
      <c r="BU230" s="45"/>
      <c r="CK230" s="10"/>
      <c r="EF230" s="20"/>
      <c r="FD230" s="21"/>
      <c r="FE230" s="21"/>
      <c r="FN230" s="22"/>
      <c r="FO230" s="22"/>
      <c r="FZ230" s="23"/>
      <c r="GA230" s="23"/>
      <c r="JD230" s="26"/>
      <c r="JE230" s="26"/>
      <c r="JF230" s="27"/>
      <c r="JG230" s="27"/>
      <c r="KL230" s="28"/>
      <c r="KP230" s="28"/>
      <c r="KT230" s="28"/>
      <c r="KX230" s="28"/>
      <c r="LB230" s="28"/>
      <c r="LF230" s="28"/>
      <c r="LJ230" s="28"/>
    </row>
    <row r="231" spans="1:322" ht="13.2">
      <c r="A231" s="42"/>
      <c r="B231" s="42"/>
      <c r="C231" s="42"/>
      <c r="D231" s="52"/>
      <c r="E231" s="52"/>
      <c r="O231" s="43"/>
      <c r="AL231" s="44"/>
      <c r="AM231" s="44"/>
      <c r="AN231" s="44"/>
      <c r="AO231" s="44"/>
      <c r="AP231" s="44"/>
      <c r="AQ231" s="44"/>
      <c r="AR231" s="44"/>
      <c r="AS231" s="44"/>
      <c r="AT231" s="45"/>
      <c r="AY231" s="45"/>
      <c r="BH231" s="45"/>
      <c r="BK231" s="45"/>
      <c r="BT231" s="45"/>
      <c r="BU231" s="45"/>
      <c r="CK231" s="10"/>
      <c r="EF231" s="20"/>
      <c r="FD231" s="21"/>
      <c r="FE231" s="21"/>
      <c r="FN231" s="22"/>
      <c r="FO231" s="22"/>
      <c r="FZ231" s="23"/>
      <c r="GA231" s="23"/>
      <c r="JD231" s="26"/>
      <c r="JE231" s="26"/>
      <c r="JF231" s="27"/>
      <c r="JG231" s="27"/>
      <c r="KL231" s="28"/>
      <c r="KP231" s="28"/>
      <c r="KT231" s="28"/>
      <c r="KX231" s="28"/>
      <c r="LB231" s="28"/>
      <c r="LF231" s="28"/>
      <c r="LJ231" s="28"/>
    </row>
    <row r="232" spans="1:322" ht="13.2">
      <c r="A232" s="42"/>
      <c r="B232" s="42"/>
      <c r="C232" s="42"/>
      <c r="D232" s="52"/>
      <c r="E232" s="52"/>
      <c r="O232" s="43"/>
      <c r="AL232" s="44"/>
      <c r="AM232" s="44"/>
      <c r="AN232" s="44"/>
      <c r="AO232" s="44"/>
      <c r="AP232" s="44"/>
      <c r="AQ232" s="44"/>
      <c r="AR232" s="44"/>
      <c r="AS232" s="44"/>
      <c r="AT232" s="45"/>
      <c r="AY232" s="45"/>
      <c r="BH232" s="45"/>
      <c r="BK232" s="45"/>
      <c r="BT232" s="45"/>
      <c r="BU232" s="45"/>
      <c r="CK232" s="10"/>
      <c r="EF232" s="20"/>
      <c r="FD232" s="21"/>
      <c r="FE232" s="21"/>
      <c r="FN232" s="22"/>
      <c r="FO232" s="22"/>
      <c r="FZ232" s="23"/>
      <c r="GA232" s="23"/>
      <c r="JD232" s="26"/>
      <c r="JE232" s="26"/>
      <c r="JF232" s="27"/>
      <c r="JG232" s="27"/>
      <c r="KL232" s="28"/>
      <c r="KP232" s="28"/>
      <c r="KT232" s="28"/>
      <c r="KX232" s="28"/>
      <c r="LB232" s="28"/>
      <c r="LF232" s="28"/>
      <c r="LJ232" s="28"/>
    </row>
    <row r="233" spans="1:322" ht="13.2">
      <c r="A233" s="42"/>
      <c r="B233" s="42"/>
      <c r="C233" s="42"/>
      <c r="D233" s="52"/>
      <c r="E233" s="52"/>
      <c r="O233" s="43"/>
      <c r="AL233" s="44"/>
      <c r="AM233" s="44"/>
      <c r="AN233" s="44"/>
      <c r="AO233" s="44"/>
      <c r="AP233" s="44"/>
      <c r="AQ233" s="44"/>
      <c r="AR233" s="44"/>
      <c r="AS233" s="44"/>
      <c r="AT233" s="45"/>
      <c r="AY233" s="45"/>
      <c r="BH233" s="45"/>
      <c r="BK233" s="45"/>
      <c r="BT233" s="45"/>
      <c r="BU233" s="45"/>
      <c r="CK233" s="10"/>
      <c r="EF233" s="20"/>
      <c r="FD233" s="21"/>
      <c r="FE233" s="21"/>
      <c r="FN233" s="22"/>
      <c r="FO233" s="22"/>
      <c r="FZ233" s="23"/>
      <c r="GA233" s="23"/>
      <c r="JD233" s="26"/>
      <c r="JE233" s="26"/>
      <c r="JF233" s="27"/>
      <c r="JG233" s="27"/>
      <c r="KL233" s="28"/>
      <c r="KP233" s="28"/>
      <c r="KT233" s="28"/>
      <c r="KX233" s="28"/>
      <c r="LB233" s="28"/>
      <c r="LF233" s="28"/>
      <c r="LJ233" s="28"/>
    </row>
    <row r="234" spans="1:322" ht="13.2">
      <c r="A234" s="42"/>
      <c r="B234" s="42"/>
      <c r="C234" s="42"/>
      <c r="D234" s="52"/>
      <c r="E234" s="52"/>
      <c r="O234" s="43"/>
      <c r="AL234" s="44"/>
      <c r="AM234" s="44"/>
      <c r="AN234" s="44"/>
      <c r="AO234" s="44"/>
      <c r="AP234" s="44"/>
      <c r="AQ234" s="44"/>
      <c r="AR234" s="44"/>
      <c r="AS234" s="44"/>
      <c r="AT234" s="45"/>
      <c r="AY234" s="45"/>
      <c r="BH234" s="45"/>
      <c r="BK234" s="45"/>
      <c r="BT234" s="45"/>
      <c r="BU234" s="45"/>
      <c r="CK234" s="10"/>
      <c r="EF234" s="20"/>
      <c r="FD234" s="21"/>
      <c r="FE234" s="21"/>
      <c r="FN234" s="22"/>
      <c r="FO234" s="22"/>
      <c r="FZ234" s="23"/>
      <c r="GA234" s="23"/>
      <c r="JD234" s="26"/>
      <c r="JE234" s="26"/>
      <c r="JF234" s="27"/>
      <c r="JG234" s="27"/>
      <c r="KL234" s="28"/>
      <c r="KP234" s="28"/>
      <c r="KT234" s="28"/>
      <c r="KX234" s="28"/>
      <c r="LB234" s="28"/>
      <c r="LF234" s="28"/>
      <c r="LJ234" s="28"/>
    </row>
    <row r="235" spans="1:322" ht="13.2">
      <c r="A235" s="42"/>
      <c r="B235" s="42"/>
      <c r="C235" s="42"/>
      <c r="D235" s="52"/>
      <c r="E235" s="52"/>
      <c r="O235" s="43"/>
      <c r="AL235" s="44"/>
      <c r="AM235" s="44"/>
      <c r="AN235" s="44"/>
      <c r="AO235" s="44"/>
      <c r="AP235" s="44"/>
      <c r="AQ235" s="44"/>
      <c r="AR235" s="44"/>
      <c r="AS235" s="44"/>
      <c r="AT235" s="45"/>
      <c r="AY235" s="45"/>
      <c r="BH235" s="45"/>
      <c r="BK235" s="45"/>
      <c r="BT235" s="45"/>
      <c r="BU235" s="45"/>
      <c r="CK235" s="10"/>
      <c r="EF235" s="20"/>
      <c r="FD235" s="21"/>
      <c r="FE235" s="21"/>
      <c r="FN235" s="22"/>
      <c r="FO235" s="22"/>
      <c r="FZ235" s="23"/>
      <c r="GA235" s="23"/>
      <c r="JD235" s="26"/>
      <c r="JE235" s="26"/>
      <c r="JF235" s="27"/>
      <c r="JG235" s="27"/>
      <c r="KL235" s="28"/>
      <c r="KP235" s="28"/>
      <c r="KT235" s="28"/>
      <c r="KX235" s="28"/>
      <c r="LB235" s="28"/>
      <c r="LF235" s="28"/>
      <c r="LJ235" s="28"/>
    </row>
    <row r="236" spans="1:322" ht="13.2">
      <c r="A236" s="42"/>
      <c r="B236" s="42"/>
      <c r="C236" s="42"/>
      <c r="D236" s="52"/>
      <c r="E236" s="52"/>
      <c r="O236" s="43"/>
      <c r="AL236" s="44"/>
      <c r="AM236" s="44"/>
      <c r="AN236" s="44"/>
      <c r="AO236" s="44"/>
      <c r="AP236" s="44"/>
      <c r="AQ236" s="44"/>
      <c r="AR236" s="44"/>
      <c r="AS236" s="44"/>
      <c r="AT236" s="45"/>
      <c r="AY236" s="45"/>
      <c r="BH236" s="45"/>
      <c r="BK236" s="45"/>
      <c r="BT236" s="45"/>
      <c r="BU236" s="45"/>
      <c r="CK236" s="10"/>
      <c r="EF236" s="20"/>
      <c r="FD236" s="21"/>
      <c r="FE236" s="21"/>
      <c r="FN236" s="22"/>
      <c r="FO236" s="22"/>
      <c r="FZ236" s="23"/>
      <c r="GA236" s="23"/>
      <c r="JD236" s="26"/>
      <c r="JE236" s="26"/>
      <c r="JF236" s="27"/>
      <c r="JG236" s="27"/>
      <c r="KL236" s="28"/>
      <c r="KP236" s="28"/>
      <c r="KT236" s="28"/>
      <c r="KX236" s="28"/>
      <c r="LB236" s="28"/>
      <c r="LF236" s="28"/>
      <c r="LJ236" s="28"/>
    </row>
    <row r="237" spans="1:322" ht="13.2">
      <c r="A237" s="42"/>
      <c r="B237" s="42"/>
      <c r="C237" s="42"/>
      <c r="D237" s="52"/>
      <c r="E237" s="52"/>
      <c r="O237" s="43"/>
      <c r="AL237" s="44"/>
      <c r="AM237" s="44"/>
      <c r="AN237" s="44"/>
      <c r="AO237" s="44"/>
      <c r="AP237" s="44"/>
      <c r="AQ237" s="44"/>
      <c r="AR237" s="44"/>
      <c r="AS237" s="44"/>
      <c r="AT237" s="45"/>
      <c r="AY237" s="45"/>
      <c r="BH237" s="45"/>
      <c r="BK237" s="45"/>
      <c r="BT237" s="45"/>
      <c r="BU237" s="45"/>
      <c r="CK237" s="10"/>
      <c r="EF237" s="20"/>
      <c r="FD237" s="21"/>
      <c r="FE237" s="21"/>
      <c r="FN237" s="22"/>
      <c r="FO237" s="22"/>
      <c r="FZ237" s="23"/>
      <c r="GA237" s="23"/>
      <c r="JD237" s="26"/>
      <c r="JE237" s="26"/>
      <c r="JF237" s="27"/>
      <c r="JG237" s="27"/>
      <c r="KL237" s="28"/>
      <c r="KP237" s="28"/>
      <c r="KT237" s="28"/>
      <c r="KX237" s="28"/>
      <c r="LB237" s="28"/>
      <c r="LF237" s="28"/>
      <c r="LJ237" s="28"/>
    </row>
    <row r="238" spans="1:322" ht="13.2">
      <c r="A238" s="42"/>
      <c r="B238" s="42"/>
      <c r="C238" s="42"/>
      <c r="D238" s="52"/>
      <c r="E238" s="52"/>
      <c r="O238" s="43"/>
      <c r="AL238" s="44"/>
      <c r="AM238" s="44"/>
      <c r="AN238" s="44"/>
      <c r="AO238" s="44"/>
      <c r="AP238" s="44"/>
      <c r="AQ238" s="44"/>
      <c r="AR238" s="44"/>
      <c r="AS238" s="44"/>
      <c r="AT238" s="45"/>
      <c r="AY238" s="45"/>
      <c r="BH238" s="45"/>
      <c r="BK238" s="45"/>
      <c r="BT238" s="45"/>
      <c r="BU238" s="45"/>
      <c r="CK238" s="10"/>
      <c r="EF238" s="20"/>
      <c r="FD238" s="21"/>
      <c r="FE238" s="21"/>
      <c r="FN238" s="22"/>
      <c r="FO238" s="22"/>
      <c r="FZ238" s="23"/>
      <c r="GA238" s="23"/>
      <c r="JD238" s="26"/>
      <c r="JE238" s="26"/>
      <c r="JF238" s="27"/>
      <c r="JG238" s="27"/>
      <c r="KL238" s="28"/>
      <c r="KP238" s="28"/>
      <c r="KT238" s="28"/>
      <c r="KX238" s="28"/>
      <c r="LB238" s="28"/>
      <c r="LF238" s="28"/>
      <c r="LJ238" s="28"/>
    </row>
    <row r="239" spans="1:322" ht="13.2">
      <c r="A239" s="42"/>
      <c r="B239" s="42"/>
      <c r="C239" s="42"/>
      <c r="D239" s="52"/>
      <c r="E239" s="52"/>
      <c r="O239" s="43"/>
      <c r="AL239" s="44"/>
      <c r="AM239" s="44"/>
      <c r="AN239" s="44"/>
      <c r="AO239" s="44"/>
      <c r="AP239" s="44"/>
      <c r="AQ239" s="44"/>
      <c r="AR239" s="44"/>
      <c r="AS239" s="44"/>
      <c r="AT239" s="45"/>
      <c r="AY239" s="45"/>
      <c r="BH239" s="45"/>
      <c r="BK239" s="45"/>
      <c r="BT239" s="45"/>
      <c r="BU239" s="45"/>
      <c r="CK239" s="10"/>
      <c r="EF239" s="20"/>
      <c r="FD239" s="21"/>
      <c r="FE239" s="21"/>
      <c r="FN239" s="22"/>
      <c r="FO239" s="22"/>
      <c r="FZ239" s="23"/>
      <c r="GA239" s="23"/>
      <c r="JD239" s="26"/>
      <c r="JE239" s="26"/>
      <c r="JF239" s="27"/>
      <c r="JG239" s="27"/>
      <c r="KL239" s="28"/>
      <c r="KP239" s="28"/>
      <c r="KT239" s="28"/>
      <c r="KX239" s="28"/>
      <c r="LB239" s="28"/>
      <c r="LF239" s="28"/>
      <c r="LJ239" s="28"/>
    </row>
    <row r="240" spans="1:322" ht="13.2">
      <c r="A240" s="42"/>
      <c r="B240" s="42"/>
      <c r="C240" s="42"/>
      <c r="D240" s="52"/>
      <c r="E240" s="52"/>
      <c r="O240" s="43"/>
      <c r="AL240" s="44"/>
      <c r="AM240" s="44"/>
      <c r="AN240" s="44"/>
      <c r="AO240" s="44"/>
      <c r="AP240" s="44"/>
      <c r="AQ240" s="44"/>
      <c r="AR240" s="44"/>
      <c r="AS240" s="44"/>
      <c r="AT240" s="45"/>
      <c r="AY240" s="45"/>
      <c r="BH240" s="45"/>
      <c r="BK240" s="45"/>
      <c r="BT240" s="45"/>
      <c r="BU240" s="45"/>
      <c r="CK240" s="10"/>
      <c r="EF240" s="20"/>
      <c r="FD240" s="21"/>
      <c r="FE240" s="21"/>
      <c r="FN240" s="22"/>
      <c r="FO240" s="22"/>
      <c r="FZ240" s="23"/>
      <c r="GA240" s="23"/>
      <c r="JD240" s="26"/>
      <c r="JE240" s="26"/>
      <c r="JF240" s="27"/>
      <c r="JG240" s="27"/>
      <c r="KL240" s="28"/>
      <c r="KP240" s="28"/>
      <c r="KT240" s="28"/>
      <c r="KX240" s="28"/>
      <c r="LB240" s="28"/>
      <c r="LF240" s="28"/>
      <c r="LJ240" s="28"/>
    </row>
    <row r="241" spans="1:322" ht="13.2">
      <c r="A241" s="42"/>
      <c r="B241" s="42"/>
      <c r="C241" s="42"/>
      <c r="D241" s="52"/>
      <c r="E241" s="52"/>
      <c r="O241" s="43"/>
      <c r="AL241" s="44"/>
      <c r="AM241" s="44"/>
      <c r="AN241" s="44"/>
      <c r="AO241" s="44"/>
      <c r="AP241" s="44"/>
      <c r="AQ241" s="44"/>
      <c r="AR241" s="44"/>
      <c r="AS241" s="44"/>
      <c r="AT241" s="45"/>
      <c r="AY241" s="45"/>
      <c r="BH241" s="45"/>
      <c r="BK241" s="45"/>
      <c r="BT241" s="45"/>
      <c r="BU241" s="45"/>
      <c r="CK241" s="10"/>
      <c r="EF241" s="20"/>
      <c r="FD241" s="21"/>
      <c r="FE241" s="21"/>
      <c r="FN241" s="22"/>
      <c r="FO241" s="22"/>
      <c r="FZ241" s="23"/>
      <c r="GA241" s="23"/>
      <c r="JD241" s="26"/>
      <c r="JE241" s="26"/>
      <c r="JF241" s="27"/>
      <c r="JG241" s="27"/>
      <c r="KL241" s="28"/>
      <c r="KP241" s="28"/>
      <c r="KT241" s="28"/>
      <c r="KX241" s="28"/>
      <c r="LB241" s="28"/>
      <c r="LF241" s="28"/>
      <c r="LJ241" s="28"/>
    </row>
    <row r="242" spans="1:322" ht="13.2">
      <c r="A242" s="42"/>
      <c r="B242" s="42"/>
      <c r="C242" s="42"/>
      <c r="D242" s="52"/>
      <c r="E242" s="52"/>
      <c r="O242" s="43"/>
      <c r="AL242" s="44"/>
      <c r="AM242" s="44"/>
      <c r="AN242" s="44"/>
      <c r="AO242" s="44"/>
      <c r="AP242" s="44"/>
      <c r="AQ242" s="44"/>
      <c r="AR242" s="44"/>
      <c r="AS242" s="44"/>
      <c r="AT242" s="45"/>
      <c r="AY242" s="45"/>
      <c r="BH242" s="45"/>
      <c r="BK242" s="45"/>
      <c r="BT242" s="45"/>
      <c r="BU242" s="45"/>
      <c r="CK242" s="10"/>
      <c r="EF242" s="20"/>
      <c r="FD242" s="21"/>
      <c r="FE242" s="21"/>
      <c r="FN242" s="22"/>
      <c r="FO242" s="22"/>
      <c r="FZ242" s="23"/>
      <c r="GA242" s="23"/>
      <c r="JD242" s="26"/>
      <c r="JE242" s="26"/>
      <c r="JF242" s="27"/>
      <c r="JG242" s="27"/>
      <c r="KL242" s="28"/>
      <c r="KP242" s="28"/>
      <c r="KT242" s="28"/>
      <c r="KX242" s="28"/>
      <c r="LB242" s="28"/>
      <c r="LF242" s="28"/>
      <c r="LJ242" s="28"/>
    </row>
    <row r="243" spans="1:322" ht="13.2">
      <c r="A243" s="42"/>
      <c r="B243" s="42"/>
      <c r="C243" s="42"/>
      <c r="D243" s="52"/>
      <c r="E243" s="52"/>
      <c r="O243" s="43"/>
      <c r="AL243" s="44"/>
      <c r="AM243" s="44"/>
      <c r="AN243" s="44"/>
      <c r="AO243" s="44"/>
      <c r="AP243" s="44"/>
      <c r="AQ243" s="44"/>
      <c r="AR243" s="44"/>
      <c r="AS243" s="44"/>
      <c r="AT243" s="45"/>
      <c r="AY243" s="45"/>
      <c r="BH243" s="45"/>
      <c r="BK243" s="45"/>
      <c r="BT243" s="45"/>
      <c r="BU243" s="45"/>
      <c r="CK243" s="10"/>
      <c r="EF243" s="20"/>
      <c r="FD243" s="21"/>
      <c r="FE243" s="21"/>
      <c r="FN243" s="22"/>
      <c r="FO243" s="22"/>
      <c r="FZ243" s="23"/>
      <c r="GA243" s="23"/>
      <c r="JD243" s="26"/>
      <c r="JE243" s="26"/>
      <c r="JF243" s="27"/>
      <c r="JG243" s="27"/>
      <c r="KL243" s="28"/>
      <c r="KP243" s="28"/>
      <c r="KT243" s="28"/>
      <c r="KX243" s="28"/>
      <c r="LB243" s="28"/>
      <c r="LF243" s="28"/>
      <c r="LJ243" s="28"/>
    </row>
    <row r="244" spans="1:322" ht="13.2">
      <c r="A244" s="42"/>
      <c r="B244" s="42"/>
      <c r="C244" s="42"/>
      <c r="D244" s="52"/>
      <c r="E244" s="52"/>
      <c r="O244" s="43"/>
      <c r="AL244" s="44"/>
      <c r="AM244" s="44"/>
      <c r="AN244" s="44"/>
      <c r="AO244" s="44"/>
      <c r="AP244" s="44"/>
      <c r="AQ244" s="44"/>
      <c r="AR244" s="44"/>
      <c r="AS244" s="44"/>
      <c r="AT244" s="45"/>
      <c r="AY244" s="45"/>
      <c r="BH244" s="45"/>
      <c r="BK244" s="45"/>
      <c r="BT244" s="45"/>
      <c r="BU244" s="45"/>
      <c r="CK244" s="10"/>
      <c r="EF244" s="20"/>
      <c r="FD244" s="21"/>
      <c r="FE244" s="21"/>
      <c r="FN244" s="22"/>
      <c r="FO244" s="22"/>
      <c r="FZ244" s="23"/>
      <c r="GA244" s="23"/>
      <c r="JD244" s="26"/>
      <c r="JE244" s="26"/>
      <c r="JF244" s="27"/>
      <c r="JG244" s="27"/>
      <c r="KL244" s="28"/>
      <c r="KP244" s="28"/>
      <c r="KT244" s="28"/>
      <c r="KX244" s="28"/>
      <c r="LB244" s="28"/>
      <c r="LF244" s="28"/>
      <c r="LJ244" s="28"/>
    </row>
    <row r="245" spans="1:322" ht="13.2">
      <c r="A245" s="42"/>
      <c r="B245" s="42"/>
      <c r="C245" s="42"/>
      <c r="D245" s="52"/>
      <c r="E245" s="52"/>
      <c r="O245" s="43"/>
      <c r="AL245" s="44"/>
      <c r="AM245" s="44"/>
      <c r="AN245" s="44"/>
      <c r="AO245" s="44"/>
      <c r="AP245" s="44"/>
      <c r="AQ245" s="44"/>
      <c r="AR245" s="44"/>
      <c r="AS245" s="44"/>
      <c r="AT245" s="45"/>
      <c r="AY245" s="45"/>
      <c r="BH245" s="45"/>
      <c r="BK245" s="45"/>
      <c r="BT245" s="45"/>
      <c r="BU245" s="45"/>
      <c r="CK245" s="10"/>
      <c r="EF245" s="20"/>
      <c r="FD245" s="21"/>
      <c r="FE245" s="21"/>
      <c r="FN245" s="22"/>
      <c r="FO245" s="22"/>
      <c r="FZ245" s="23"/>
      <c r="GA245" s="23"/>
      <c r="JD245" s="26"/>
      <c r="JE245" s="26"/>
      <c r="JF245" s="27"/>
      <c r="JG245" s="27"/>
      <c r="KL245" s="28"/>
      <c r="KP245" s="28"/>
      <c r="KT245" s="28"/>
      <c r="KX245" s="28"/>
      <c r="LB245" s="28"/>
      <c r="LF245" s="28"/>
      <c r="LJ245" s="28"/>
    </row>
    <row r="246" spans="1:322" ht="13.2">
      <c r="A246" s="42"/>
      <c r="B246" s="42"/>
      <c r="C246" s="42"/>
      <c r="D246" s="52"/>
      <c r="E246" s="52"/>
      <c r="O246" s="43"/>
      <c r="AL246" s="44"/>
      <c r="AM246" s="44"/>
      <c r="AN246" s="44"/>
      <c r="AO246" s="44"/>
      <c r="AP246" s="44"/>
      <c r="AQ246" s="44"/>
      <c r="AR246" s="44"/>
      <c r="AS246" s="44"/>
      <c r="AT246" s="45"/>
      <c r="AY246" s="45"/>
      <c r="BH246" s="45"/>
      <c r="BK246" s="45"/>
      <c r="BT246" s="45"/>
      <c r="BU246" s="45"/>
      <c r="CK246" s="10"/>
      <c r="EF246" s="20"/>
      <c r="FD246" s="21"/>
      <c r="FE246" s="21"/>
      <c r="FN246" s="22"/>
      <c r="FO246" s="22"/>
      <c r="FZ246" s="23"/>
      <c r="GA246" s="23"/>
      <c r="JD246" s="26"/>
      <c r="JE246" s="26"/>
      <c r="JF246" s="27"/>
      <c r="JG246" s="27"/>
      <c r="KL246" s="28"/>
      <c r="KP246" s="28"/>
      <c r="KT246" s="28"/>
      <c r="KX246" s="28"/>
      <c r="LB246" s="28"/>
      <c r="LF246" s="28"/>
      <c r="LJ246" s="28"/>
    </row>
    <row r="247" spans="1:322" ht="13.2">
      <c r="A247" s="42"/>
      <c r="B247" s="42"/>
      <c r="C247" s="42"/>
      <c r="D247" s="52"/>
      <c r="E247" s="52"/>
      <c r="O247" s="43"/>
      <c r="AL247" s="44"/>
      <c r="AM247" s="44"/>
      <c r="AN247" s="44"/>
      <c r="AO247" s="44"/>
      <c r="AP247" s="44"/>
      <c r="AQ247" s="44"/>
      <c r="AR247" s="44"/>
      <c r="AS247" s="44"/>
      <c r="AT247" s="45"/>
      <c r="AY247" s="45"/>
      <c r="BH247" s="45"/>
      <c r="BK247" s="45"/>
      <c r="BT247" s="45"/>
      <c r="BU247" s="45"/>
      <c r="CK247" s="10"/>
      <c r="EF247" s="20"/>
      <c r="FD247" s="21"/>
      <c r="FE247" s="21"/>
      <c r="FN247" s="22"/>
      <c r="FO247" s="22"/>
      <c r="FZ247" s="23"/>
      <c r="GA247" s="23"/>
      <c r="JD247" s="26"/>
      <c r="JE247" s="26"/>
      <c r="JF247" s="27"/>
      <c r="JG247" s="27"/>
      <c r="KL247" s="28"/>
      <c r="KP247" s="28"/>
      <c r="KT247" s="28"/>
      <c r="KX247" s="28"/>
      <c r="LB247" s="28"/>
      <c r="LF247" s="28"/>
      <c r="LJ247" s="28"/>
    </row>
    <row r="248" spans="1:322" ht="13.2">
      <c r="A248" s="42"/>
      <c r="B248" s="42"/>
      <c r="C248" s="42"/>
      <c r="D248" s="52"/>
      <c r="E248" s="52"/>
      <c r="O248" s="43"/>
      <c r="AL248" s="44"/>
      <c r="AM248" s="44"/>
      <c r="AN248" s="44"/>
      <c r="AO248" s="44"/>
      <c r="AP248" s="44"/>
      <c r="AQ248" s="44"/>
      <c r="AR248" s="44"/>
      <c r="AS248" s="44"/>
      <c r="AT248" s="45"/>
      <c r="AY248" s="45"/>
      <c r="BH248" s="45"/>
      <c r="BK248" s="45"/>
      <c r="BT248" s="45"/>
      <c r="BU248" s="45"/>
      <c r="CK248" s="10"/>
      <c r="EF248" s="20"/>
      <c r="FD248" s="21"/>
      <c r="FE248" s="21"/>
      <c r="FN248" s="22"/>
      <c r="FO248" s="22"/>
      <c r="FZ248" s="23"/>
      <c r="GA248" s="23"/>
      <c r="JD248" s="26"/>
      <c r="JE248" s="26"/>
      <c r="JF248" s="27"/>
      <c r="JG248" s="27"/>
      <c r="KL248" s="28"/>
      <c r="KP248" s="28"/>
      <c r="KT248" s="28"/>
      <c r="KX248" s="28"/>
      <c r="LB248" s="28"/>
      <c r="LF248" s="28"/>
      <c r="LJ248" s="28"/>
    </row>
    <row r="249" spans="1:322" ht="13.2">
      <c r="A249" s="42"/>
      <c r="B249" s="42"/>
      <c r="C249" s="42"/>
      <c r="D249" s="52"/>
      <c r="E249" s="52"/>
      <c r="O249" s="43"/>
      <c r="AL249" s="44"/>
      <c r="AM249" s="44"/>
      <c r="AN249" s="44"/>
      <c r="AO249" s="44"/>
      <c r="AP249" s="44"/>
      <c r="AQ249" s="44"/>
      <c r="AR249" s="44"/>
      <c r="AS249" s="44"/>
      <c r="AT249" s="45"/>
      <c r="AY249" s="45"/>
      <c r="BH249" s="45"/>
      <c r="BK249" s="45"/>
      <c r="BT249" s="45"/>
      <c r="BU249" s="45"/>
      <c r="CK249" s="10"/>
      <c r="EF249" s="20"/>
      <c r="FD249" s="21"/>
      <c r="FE249" s="21"/>
      <c r="FN249" s="22"/>
      <c r="FO249" s="22"/>
      <c r="FZ249" s="23"/>
      <c r="GA249" s="23"/>
      <c r="JD249" s="26"/>
      <c r="JE249" s="26"/>
      <c r="JF249" s="27"/>
      <c r="JG249" s="27"/>
      <c r="KL249" s="28"/>
      <c r="KP249" s="28"/>
      <c r="KT249" s="28"/>
      <c r="KX249" s="28"/>
      <c r="LB249" s="28"/>
      <c r="LF249" s="28"/>
      <c r="LJ249" s="28"/>
    </row>
    <row r="250" spans="1:322" ht="13.2">
      <c r="A250" s="42"/>
      <c r="B250" s="42"/>
      <c r="C250" s="42"/>
      <c r="D250" s="52"/>
      <c r="E250" s="52"/>
      <c r="O250" s="43"/>
      <c r="AL250" s="44"/>
      <c r="AM250" s="44"/>
      <c r="AN250" s="44"/>
      <c r="AO250" s="44"/>
      <c r="AP250" s="44"/>
      <c r="AQ250" s="44"/>
      <c r="AR250" s="44"/>
      <c r="AS250" s="44"/>
      <c r="AT250" s="45"/>
      <c r="AY250" s="45"/>
      <c r="BH250" s="45"/>
      <c r="BK250" s="45"/>
      <c r="BT250" s="45"/>
      <c r="BU250" s="45"/>
      <c r="CK250" s="10"/>
      <c r="EF250" s="20"/>
      <c r="FD250" s="21"/>
      <c r="FE250" s="21"/>
      <c r="FN250" s="22"/>
      <c r="FO250" s="22"/>
      <c r="FZ250" s="23"/>
      <c r="GA250" s="23"/>
      <c r="JD250" s="26"/>
      <c r="JE250" s="26"/>
      <c r="JF250" s="27"/>
      <c r="JG250" s="27"/>
      <c r="KL250" s="28"/>
      <c r="KP250" s="28"/>
      <c r="KT250" s="28"/>
      <c r="KX250" s="28"/>
      <c r="LB250" s="28"/>
      <c r="LF250" s="28"/>
      <c r="LJ250" s="28"/>
    </row>
    <row r="251" spans="1:322" ht="13.2">
      <c r="A251" s="42"/>
      <c r="B251" s="42"/>
      <c r="C251" s="42"/>
      <c r="D251" s="52"/>
      <c r="E251" s="52"/>
      <c r="O251" s="43"/>
      <c r="AL251" s="44"/>
      <c r="AM251" s="44"/>
      <c r="AN251" s="44"/>
      <c r="AO251" s="44"/>
      <c r="AP251" s="44"/>
      <c r="AQ251" s="44"/>
      <c r="AR251" s="44"/>
      <c r="AS251" s="44"/>
      <c r="AT251" s="45"/>
      <c r="AY251" s="45"/>
      <c r="BH251" s="45"/>
      <c r="BK251" s="45"/>
      <c r="BT251" s="45"/>
      <c r="BU251" s="45"/>
      <c r="CK251" s="10"/>
      <c r="EF251" s="20"/>
      <c r="FD251" s="21"/>
      <c r="FE251" s="21"/>
      <c r="FN251" s="22"/>
      <c r="FO251" s="22"/>
      <c r="FZ251" s="23"/>
      <c r="GA251" s="23"/>
      <c r="JD251" s="26"/>
      <c r="JE251" s="26"/>
      <c r="JF251" s="27"/>
      <c r="JG251" s="27"/>
      <c r="KL251" s="28"/>
      <c r="KP251" s="28"/>
      <c r="KT251" s="28"/>
      <c r="KX251" s="28"/>
      <c r="LB251" s="28"/>
      <c r="LF251" s="28"/>
      <c r="LJ251" s="28"/>
    </row>
    <row r="252" spans="1:322" ht="13.2">
      <c r="A252" s="42"/>
      <c r="B252" s="42"/>
      <c r="C252" s="42"/>
      <c r="D252" s="52"/>
      <c r="E252" s="52"/>
      <c r="O252" s="43"/>
      <c r="AL252" s="44"/>
      <c r="AM252" s="44"/>
      <c r="AN252" s="44"/>
      <c r="AO252" s="44"/>
      <c r="AP252" s="44"/>
      <c r="AQ252" s="44"/>
      <c r="AR252" s="44"/>
      <c r="AS252" s="44"/>
      <c r="AT252" s="45"/>
      <c r="AY252" s="45"/>
      <c r="BH252" s="45"/>
      <c r="BK252" s="45"/>
      <c r="BT252" s="45"/>
      <c r="BU252" s="45"/>
      <c r="CK252" s="10"/>
      <c r="EF252" s="20"/>
      <c r="FD252" s="21"/>
      <c r="FE252" s="21"/>
      <c r="FN252" s="22"/>
      <c r="FO252" s="22"/>
      <c r="FZ252" s="23"/>
      <c r="GA252" s="23"/>
      <c r="JD252" s="26"/>
      <c r="JE252" s="26"/>
      <c r="JF252" s="27"/>
      <c r="JG252" s="27"/>
      <c r="KL252" s="28"/>
      <c r="KP252" s="28"/>
      <c r="KT252" s="28"/>
      <c r="KX252" s="28"/>
      <c r="LB252" s="28"/>
      <c r="LF252" s="28"/>
      <c r="LJ252" s="28"/>
    </row>
    <row r="253" spans="1:322" ht="13.2">
      <c r="A253" s="42"/>
      <c r="B253" s="42"/>
      <c r="C253" s="42"/>
      <c r="D253" s="52"/>
      <c r="E253" s="52"/>
      <c r="O253" s="43"/>
      <c r="AL253" s="44"/>
      <c r="AM253" s="44"/>
      <c r="AN253" s="44"/>
      <c r="AO253" s="44"/>
      <c r="AP253" s="44"/>
      <c r="AQ253" s="44"/>
      <c r="AR253" s="44"/>
      <c r="AS253" s="44"/>
      <c r="AT253" s="45"/>
      <c r="AY253" s="45"/>
      <c r="BH253" s="45"/>
      <c r="BK253" s="45"/>
      <c r="BT253" s="45"/>
      <c r="BU253" s="45"/>
      <c r="CK253" s="10"/>
      <c r="EF253" s="20"/>
      <c r="FD253" s="21"/>
      <c r="FE253" s="21"/>
      <c r="FN253" s="22"/>
      <c r="FO253" s="22"/>
      <c r="FZ253" s="23"/>
      <c r="GA253" s="23"/>
      <c r="JD253" s="26"/>
      <c r="JE253" s="26"/>
      <c r="JF253" s="27"/>
      <c r="JG253" s="27"/>
      <c r="KL253" s="28"/>
      <c r="KP253" s="28"/>
      <c r="KT253" s="28"/>
      <c r="KX253" s="28"/>
      <c r="LB253" s="28"/>
      <c r="LF253" s="28"/>
      <c r="LJ253" s="28"/>
    </row>
    <row r="254" spans="1:322" ht="13.2">
      <c r="A254" s="42"/>
      <c r="B254" s="42"/>
      <c r="C254" s="42"/>
      <c r="D254" s="52"/>
      <c r="E254" s="52"/>
      <c r="O254" s="43"/>
      <c r="AL254" s="44"/>
      <c r="AM254" s="44"/>
      <c r="AN254" s="44"/>
      <c r="AO254" s="44"/>
      <c r="AP254" s="44"/>
      <c r="AQ254" s="44"/>
      <c r="AR254" s="44"/>
      <c r="AS254" s="44"/>
      <c r="AT254" s="45"/>
      <c r="AY254" s="45"/>
      <c r="BH254" s="45"/>
      <c r="BK254" s="45"/>
      <c r="BT254" s="45"/>
      <c r="BU254" s="45"/>
      <c r="CK254" s="10"/>
      <c r="EF254" s="20"/>
      <c r="FD254" s="21"/>
      <c r="FE254" s="21"/>
      <c r="FN254" s="22"/>
      <c r="FO254" s="22"/>
      <c r="FZ254" s="23"/>
      <c r="GA254" s="23"/>
      <c r="JD254" s="26"/>
      <c r="JE254" s="26"/>
      <c r="JF254" s="27"/>
      <c r="JG254" s="27"/>
      <c r="KL254" s="28"/>
      <c r="KP254" s="28"/>
      <c r="KT254" s="28"/>
      <c r="KX254" s="28"/>
      <c r="LB254" s="28"/>
      <c r="LF254" s="28"/>
      <c r="LJ254" s="28"/>
    </row>
    <row r="255" spans="1:322" ht="13.2">
      <c r="A255" s="42"/>
      <c r="B255" s="42"/>
      <c r="C255" s="42"/>
      <c r="D255" s="52"/>
      <c r="E255" s="52"/>
      <c r="O255" s="43"/>
      <c r="AL255" s="44"/>
      <c r="AM255" s="44"/>
      <c r="AN255" s="44"/>
      <c r="AO255" s="44"/>
      <c r="AP255" s="44"/>
      <c r="AQ255" s="44"/>
      <c r="AR255" s="44"/>
      <c r="AS255" s="44"/>
      <c r="AT255" s="45"/>
      <c r="AY255" s="45"/>
      <c r="BH255" s="45"/>
      <c r="BK255" s="45"/>
      <c r="BT255" s="45"/>
      <c r="BU255" s="45"/>
      <c r="CK255" s="10"/>
      <c r="EF255" s="20"/>
      <c r="FD255" s="21"/>
      <c r="FE255" s="21"/>
      <c r="FN255" s="22"/>
      <c r="FO255" s="22"/>
      <c r="FZ255" s="23"/>
      <c r="GA255" s="23"/>
      <c r="JD255" s="26"/>
      <c r="JE255" s="26"/>
      <c r="JF255" s="27"/>
      <c r="JG255" s="27"/>
      <c r="KL255" s="28"/>
      <c r="KP255" s="28"/>
      <c r="KT255" s="28"/>
      <c r="KX255" s="28"/>
      <c r="LB255" s="28"/>
      <c r="LF255" s="28"/>
      <c r="LJ255" s="28"/>
    </row>
    <row r="256" spans="1:322" ht="13.2">
      <c r="A256" s="42"/>
      <c r="B256" s="42"/>
      <c r="C256" s="42"/>
      <c r="D256" s="52"/>
      <c r="E256" s="52"/>
      <c r="O256" s="43"/>
      <c r="AL256" s="44"/>
      <c r="AM256" s="44"/>
      <c r="AN256" s="44"/>
      <c r="AO256" s="44"/>
      <c r="AP256" s="44"/>
      <c r="AQ256" s="44"/>
      <c r="AR256" s="44"/>
      <c r="AS256" s="44"/>
      <c r="AT256" s="45"/>
      <c r="AY256" s="45"/>
      <c r="BH256" s="45"/>
      <c r="BK256" s="45"/>
      <c r="BT256" s="45"/>
      <c r="BU256" s="45"/>
      <c r="CK256" s="10"/>
      <c r="EF256" s="20"/>
      <c r="FD256" s="21"/>
      <c r="FE256" s="21"/>
      <c r="FN256" s="22"/>
      <c r="FO256" s="22"/>
      <c r="FZ256" s="23"/>
      <c r="GA256" s="23"/>
      <c r="JD256" s="26"/>
      <c r="JE256" s="26"/>
      <c r="JF256" s="27"/>
      <c r="JG256" s="27"/>
      <c r="KL256" s="28"/>
      <c r="KP256" s="28"/>
      <c r="KT256" s="28"/>
      <c r="KX256" s="28"/>
      <c r="LB256" s="28"/>
      <c r="LF256" s="28"/>
      <c r="LJ256" s="28"/>
    </row>
    <row r="257" spans="1:322" ht="13.2">
      <c r="A257" s="42"/>
      <c r="B257" s="42"/>
      <c r="C257" s="42"/>
      <c r="D257" s="52"/>
      <c r="E257" s="52"/>
      <c r="O257" s="43"/>
      <c r="AL257" s="44"/>
      <c r="AM257" s="44"/>
      <c r="AN257" s="44"/>
      <c r="AO257" s="44"/>
      <c r="AP257" s="44"/>
      <c r="AQ257" s="44"/>
      <c r="AR257" s="44"/>
      <c r="AS257" s="44"/>
      <c r="AT257" s="45"/>
      <c r="AY257" s="45"/>
      <c r="BH257" s="45"/>
      <c r="BK257" s="45"/>
      <c r="BT257" s="45"/>
      <c r="BU257" s="45"/>
      <c r="CK257" s="10"/>
      <c r="EF257" s="20"/>
      <c r="FD257" s="21"/>
      <c r="FE257" s="21"/>
      <c r="FN257" s="22"/>
      <c r="FO257" s="22"/>
      <c r="FZ257" s="23"/>
      <c r="GA257" s="23"/>
      <c r="JD257" s="26"/>
      <c r="JE257" s="26"/>
      <c r="JF257" s="27"/>
      <c r="JG257" s="27"/>
      <c r="KL257" s="28"/>
      <c r="KP257" s="28"/>
      <c r="KT257" s="28"/>
      <c r="KX257" s="28"/>
      <c r="LB257" s="28"/>
      <c r="LF257" s="28"/>
      <c r="LJ257" s="28"/>
    </row>
    <row r="258" spans="1:322" ht="13.2">
      <c r="A258" s="42"/>
      <c r="B258" s="42"/>
      <c r="C258" s="42"/>
      <c r="D258" s="52"/>
      <c r="E258" s="52"/>
      <c r="O258" s="43"/>
      <c r="AL258" s="44"/>
      <c r="AM258" s="44"/>
      <c r="AN258" s="44"/>
      <c r="AO258" s="44"/>
      <c r="AP258" s="44"/>
      <c r="AQ258" s="44"/>
      <c r="AR258" s="44"/>
      <c r="AS258" s="44"/>
      <c r="AT258" s="45"/>
      <c r="AY258" s="45"/>
      <c r="BH258" s="45"/>
      <c r="BK258" s="45"/>
      <c r="BT258" s="45"/>
      <c r="BU258" s="45"/>
      <c r="CK258" s="10"/>
      <c r="EF258" s="20"/>
      <c r="FD258" s="21"/>
      <c r="FE258" s="21"/>
      <c r="FN258" s="22"/>
      <c r="FO258" s="22"/>
      <c r="FZ258" s="23"/>
      <c r="GA258" s="23"/>
      <c r="JD258" s="26"/>
      <c r="JE258" s="26"/>
      <c r="JF258" s="27"/>
      <c r="JG258" s="27"/>
      <c r="KL258" s="28"/>
      <c r="KP258" s="28"/>
      <c r="KT258" s="28"/>
      <c r="KX258" s="28"/>
      <c r="LB258" s="28"/>
      <c r="LF258" s="28"/>
      <c r="LJ258" s="28"/>
    </row>
    <row r="259" spans="1:322" ht="13.2">
      <c r="A259" s="42"/>
      <c r="B259" s="42"/>
      <c r="C259" s="42"/>
      <c r="D259" s="52"/>
      <c r="E259" s="52"/>
      <c r="O259" s="43"/>
      <c r="AL259" s="44"/>
      <c r="AM259" s="44"/>
      <c r="AN259" s="44"/>
      <c r="AO259" s="44"/>
      <c r="AP259" s="44"/>
      <c r="AQ259" s="44"/>
      <c r="AR259" s="44"/>
      <c r="AS259" s="44"/>
      <c r="AT259" s="45"/>
      <c r="AY259" s="45"/>
      <c r="BH259" s="45"/>
      <c r="BK259" s="45"/>
      <c r="BT259" s="45"/>
      <c r="BU259" s="45"/>
      <c r="CK259" s="10"/>
      <c r="EF259" s="20"/>
      <c r="FD259" s="21"/>
      <c r="FE259" s="21"/>
      <c r="FN259" s="22"/>
      <c r="FO259" s="22"/>
      <c r="FZ259" s="23"/>
      <c r="GA259" s="23"/>
      <c r="JD259" s="26"/>
      <c r="JE259" s="26"/>
      <c r="JF259" s="27"/>
      <c r="JG259" s="27"/>
      <c r="KL259" s="28"/>
      <c r="KP259" s="28"/>
      <c r="KT259" s="28"/>
      <c r="KX259" s="28"/>
      <c r="LB259" s="28"/>
      <c r="LF259" s="28"/>
      <c r="LJ259" s="28"/>
    </row>
    <row r="260" spans="1:322" ht="13.2">
      <c r="A260" s="42"/>
      <c r="B260" s="42"/>
      <c r="C260" s="42"/>
      <c r="D260" s="52"/>
      <c r="E260" s="52"/>
      <c r="O260" s="43"/>
      <c r="AL260" s="44"/>
      <c r="AM260" s="44"/>
      <c r="AN260" s="44"/>
      <c r="AO260" s="44"/>
      <c r="AP260" s="44"/>
      <c r="AQ260" s="44"/>
      <c r="AR260" s="44"/>
      <c r="AS260" s="44"/>
      <c r="AT260" s="45"/>
      <c r="AY260" s="45"/>
      <c r="BH260" s="45"/>
      <c r="BK260" s="45"/>
      <c r="BT260" s="45"/>
      <c r="BU260" s="45"/>
      <c r="CK260" s="10"/>
      <c r="EF260" s="20"/>
      <c r="FD260" s="21"/>
      <c r="FE260" s="21"/>
      <c r="FN260" s="22"/>
      <c r="FO260" s="22"/>
      <c r="FZ260" s="23"/>
      <c r="GA260" s="23"/>
      <c r="JD260" s="26"/>
      <c r="JE260" s="26"/>
      <c r="JF260" s="27"/>
      <c r="JG260" s="27"/>
      <c r="KL260" s="28"/>
      <c r="KP260" s="28"/>
      <c r="KT260" s="28"/>
      <c r="KX260" s="28"/>
      <c r="LB260" s="28"/>
      <c r="LF260" s="28"/>
      <c r="LJ260" s="28"/>
    </row>
    <row r="261" spans="1:322" ht="13.2">
      <c r="A261" s="42"/>
      <c r="B261" s="42"/>
      <c r="C261" s="42"/>
      <c r="D261" s="52"/>
      <c r="E261" s="52"/>
      <c r="O261" s="43"/>
      <c r="AL261" s="44"/>
      <c r="AM261" s="44"/>
      <c r="AN261" s="44"/>
      <c r="AO261" s="44"/>
      <c r="AP261" s="44"/>
      <c r="AQ261" s="44"/>
      <c r="AR261" s="44"/>
      <c r="AS261" s="44"/>
      <c r="AT261" s="45"/>
      <c r="AY261" s="45"/>
      <c r="BH261" s="45"/>
      <c r="BK261" s="45"/>
      <c r="BT261" s="45"/>
      <c r="BU261" s="45"/>
      <c r="CK261" s="10"/>
      <c r="EF261" s="20"/>
      <c r="FD261" s="21"/>
      <c r="FE261" s="21"/>
      <c r="FN261" s="22"/>
      <c r="FO261" s="22"/>
      <c r="FZ261" s="23"/>
      <c r="GA261" s="23"/>
      <c r="JD261" s="26"/>
      <c r="JE261" s="26"/>
      <c r="JF261" s="27"/>
      <c r="JG261" s="27"/>
      <c r="KL261" s="28"/>
      <c r="KP261" s="28"/>
      <c r="KT261" s="28"/>
      <c r="KX261" s="28"/>
      <c r="LB261" s="28"/>
      <c r="LF261" s="28"/>
      <c r="LJ261" s="28"/>
    </row>
    <row r="262" spans="1:322" ht="13.2">
      <c r="A262" s="42"/>
      <c r="B262" s="42"/>
      <c r="C262" s="42"/>
      <c r="D262" s="52"/>
      <c r="E262" s="52"/>
      <c r="O262" s="43"/>
      <c r="AL262" s="44"/>
      <c r="AM262" s="44"/>
      <c r="AN262" s="44"/>
      <c r="AO262" s="44"/>
      <c r="AP262" s="44"/>
      <c r="AQ262" s="44"/>
      <c r="AR262" s="44"/>
      <c r="AS262" s="44"/>
      <c r="AT262" s="45"/>
      <c r="AY262" s="45"/>
      <c r="BH262" s="45"/>
      <c r="BK262" s="45"/>
      <c r="BT262" s="45"/>
      <c r="BU262" s="45"/>
      <c r="CK262" s="10"/>
      <c r="EF262" s="20"/>
      <c r="FD262" s="21"/>
      <c r="FE262" s="21"/>
      <c r="FN262" s="22"/>
      <c r="FO262" s="22"/>
      <c r="FZ262" s="23"/>
      <c r="GA262" s="23"/>
      <c r="JD262" s="26"/>
      <c r="JE262" s="26"/>
      <c r="JF262" s="27"/>
      <c r="JG262" s="27"/>
      <c r="KL262" s="28"/>
      <c r="KP262" s="28"/>
      <c r="KT262" s="28"/>
      <c r="KX262" s="28"/>
      <c r="LB262" s="28"/>
      <c r="LF262" s="28"/>
      <c r="LJ262" s="28"/>
    </row>
    <row r="263" spans="1:322" ht="13.2">
      <c r="A263" s="42"/>
      <c r="B263" s="42"/>
      <c r="C263" s="42"/>
      <c r="D263" s="52"/>
      <c r="E263" s="52"/>
      <c r="O263" s="43"/>
      <c r="AL263" s="44"/>
      <c r="AM263" s="44"/>
      <c r="AN263" s="44"/>
      <c r="AO263" s="44"/>
      <c r="AP263" s="44"/>
      <c r="AQ263" s="44"/>
      <c r="AR263" s="44"/>
      <c r="AS263" s="44"/>
      <c r="AT263" s="45"/>
      <c r="AY263" s="45"/>
      <c r="BH263" s="45"/>
      <c r="BK263" s="45"/>
      <c r="BT263" s="45"/>
      <c r="BU263" s="45"/>
      <c r="CK263" s="10"/>
      <c r="EF263" s="20"/>
      <c r="FD263" s="21"/>
      <c r="FE263" s="21"/>
      <c r="FN263" s="22"/>
      <c r="FO263" s="22"/>
      <c r="FZ263" s="23"/>
      <c r="GA263" s="23"/>
      <c r="JD263" s="26"/>
      <c r="JE263" s="26"/>
      <c r="JF263" s="27"/>
      <c r="JG263" s="27"/>
      <c r="KL263" s="28"/>
      <c r="KP263" s="28"/>
      <c r="KT263" s="28"/>
      <c r="KX263" s="28"/>
      <c r="LB263" s="28"/>
      <c r="LF263" s="28"/>
      <c r="LJ263" s="28"/>
    </row>
    <row r="264" spans="1:322" ht="13.2">
      <c r="A264" s="42"/>
      <c r="B264" s="42"/>
      <c r="C264" s="42"/>
      <c r="D264" s="52"/>
      <c r="E264" s="52"/>
      <c r="O264" s="43"/>
      <c r="AL264" s="44"/>
      <c r="AM264" s="44"/>
      <c r="AN264" s="44"/>
      <c r="AO264" s="44"/>
      <c r="AP264" s="44"/>
      <c r="AQ264" s="44"/>
      <c r="AR264" s="44"/>
      <c r="AS264" s="44"/>
      <c r="AT264" s="45"/>
      <c r="AY264" s="45"/>
      <c r="BH264" s="45"/>
      <c r="BK264" s="45"/>
      <c r="BT264" s="45"/>
      <c r="BU264" s="45"/>
      <c r="CK264" s="10"/>
      <c r="EF264" s="20"/>
      <c r="FD264" s="21"/>
      <c r="FE264" s="21"/>
      <c r="FN264" s="22"/>
      <c r="FO264" s="22"/>
      <c r="FZ264" s="23"/>
      <c r="GA264" s="23"/>
      <c r="JD264" s="26"/>
      <c r="JE264" s="26"/>
      <c r="JF264" s="27"/>
      <c r="JG264" s="27"/>
      <c r="KL264" s="28"/>
      <c r="KP264" s="28"/>
      <c r="KT264" s="28"/>
      <c r="KX264" s="28"/>
      <c r="LB264" s="28"/>
      <c r="LF264" s="28"/>
      <c r="LJ264" s="28"/>
    </row>
    <row r="265" spans="1:322" ht="13.2">
      <c r="A265" s="42"/>
      <c r="B265" s="42"/>
      <c r="C265" s="42"/>
      <c r="D265" s="52"/>
      <c r="E265" s="52"/>
      <c r="O265" s="43"/>
      <c r="AL265" s="44"/>
      <c r="AM265" s="44"/>
      <c r="AN265" s="44"/>
      <c r="AO265" s="44"/>
      <c r="AP265" s="44"/>
      <c r="AQ265" s="44"/>
      <c r="AR265" s="44"/>
      <c r="AS265" s="44"/>
      <c r="AT265" s="45"/>
      <c r="AY265" s="45"/>
      <c r="BH265" s="45"/>
      <c r="BK265" s="45"/>
      <c r="BT265" s="45"/>
      <c r="BU265" s="45"/>
      <c r="CK265" s="10"/>
      <c r="EF265" s="20"/>
      <c r="FD265" s="21"/>
      <c r="FE265" s="21"/>
      <c r="FN265" s="22"/>
      <c r="FO265" s="22"/>
      <c r="FZ265" s="23"/>
      <c r="GA265" s="23"/>
      <c r="JD265" s="26"/>
      <c r="JE265" s="26"/>
      <c r="JF265" s="27"/>
      <c r="JG265" s="27"/>
      <c r="KL265" s="28"/>
      <c r="KP265" s="28"/>
      <c r="KT265" s="28"/>
      <c r="KX265" s="28"/>
      <c r="LB265" s="28"/>
      <c r="LF265" s="28"/>
      <c r="LJ265" s="28"/>
    </row>
    <row r="266" spans="1:322" ht="13.2">
      <c r="A266" s="42"/>
      <c r="B266" s="42"/>
      <c r="C266" s="42"/>
      <c r="D266" s="52"/>
      <c r="E266" s="52"/>
      <c r="O266" s="43"/>
      <c r="AL266" s="44"/>
      <c r="AM266" s="44"/>
      <c r="AN266" s="44"/>
      <c r="AO266" s="44"/>
      <c r="AP266" s="44"/>
      <c r="AQ266" s="44"/>
      <c r="AR266" s="44"/>
      <c r="AS266" s="44"/>
      <c r="AT266" s="45"/>
      <c r="AY266" s="45"/>
      <c r="BH266" s="45"/>
      <c r="BK266" s="45"/>
      <c r="BT266" s="45"/>
      <c r="BU266" s="45"/>
      <c r="CK266" s="10"/>
      <c r="EF266" s="20"/>
      <c r="FD266" s="21"/>
      <c r="FE266" s="21"/>
      <c r="FN266" s="22"/>
      <c r="FO266" s="22"/>
      <c r="FZ266" s="23"/>
      <c r="GA266" s="23"/>
      <c r="JD266" s="26"/>
      <c r="JE266" s="26"/>
      <c r="JF266" s="27"/>
      <c r="JG266" s="27"/>
      <c r="KL266" s="28"/>
      <c r="KP266" s="28"/>
      <c r="KT266" s="28"/>
      <c r="KX266" s="28"/>
      <c r="LB266" s="28"/>
      <c r="LF266" s="28"/>
      <c r="LJ266" s="28"/>
    </row>
    <row r="267" spans="1:322" ht="13.2">
      <c r="A267" s="42"/>
      <c r="B267" s="42"/>
      <c r="C267" s="42"/>
      <c r="D267" s="52"/>
      <c r="E267" s="52"/>
      <c r="O267" s="43"/>
      <c r="AL267" s="44"/>
      <c r="AM267" s="44"/>
      <c r="AN267" s="44"/>
      <c r="AO267" s="44"/>
      <c r="AP267" s="44"/>
      <c r="AQ267" s="44"/>
      <c r="AR267" s="44"/>
      <c r="AS267" s="44"/>
      <c r="AT267" s="45"/>
      <c r="AY267" s="45"/>
      <c r="BH267" s="45"/>
      <c r="BK267" s="45"/>
      <c r="BT267" s="45"/>
      <c r="BU267" s="45"/>
      <c r="CK267" s="10"/>
      <c r="EF267" s="20"/>
      <c r="FD267" s="21"/>
      <c r="FE267" s="21"/>
      <c r="FN267" s="22"/>
      <c r="FO267" s="22"/>
      <c r="FZ267" s="23"/>
      <c r="GA267" s="23"/>
      <c r="JD267" s="26"/>
      <c r="JE267" s="26"/>
      <c r="JF267" s="27"/>
      <c r="JG267" s="27"/>
      <c r="KL267" s="28"/>
      <c r="KP267" s="28"/>
      <c r="KT267" s="28"/>
      <c r="KX267" s="28"/>
      <c r="LB267" s="28"/>
      <c r="LF267" s="28"/>
      <c r="LJ267" s="28"/>
    </row>
    <row r="268" spans="1:322" ht="13.2">
      <c r="A268" s="42"/>
      <c r="B268" s="42"/>
      <c r="C268" s="42"/>
      <c r="D268" s="52"/>
      <c r="E268" s="52"/>
      <c r="O268" s="43"/>
      <c r="AL268" s="44"/>
      <c r="AM268" s="44"/>
      <c r="AN268" s="44"/>
      <c r="AO268" s="44"/>
      <c r="AP268" s="44"/>
      <c r="AQ268" s="44"/>
      <c r="AR268" s="44"/>
      <c r="AS268" s="44"/>
      <c r="AT268" s="45"/>
      <c r="AY268" s="45"/>
      <c r="BH268" s="45"/>
      <c r="BK268" s="45"/>
      <c r="BT268" s="45"/>
      <c r="BU268" s="45"/>
      <c r="CK268" s="10"/>
      <c r="EF268" s="20"/>
      <c r="FD268" s="21"/>
      <c r="FE268" s="21"/>
      <c r="FN268" s="22"/>
      <c r="FO268" s="22"/>
      <c r="FZ268" s="23"/>
      <c r="GA268" s="23"/>
      <c r="JD268" s="26"/>
      <c r="JE268" s="26"/>
      <c r="JF268" s="27"/>
      <c r="JG268" s="27"/>
      <c r="KL268" s="28"/>
      <c r="KP268" s="28"/>
      <c r="KT268" s="28"/>
      <c r="KX268" s="28"/>
      <c r="LB268" s="28"/>
      <c r="LF268" s="28"/>
      <c r="LJ268" s="28"/>
    </row>
    <row r="269" spans="1:322" ht="13.2">
      <c r="A269" s="42"/>
      <c r="B269" s="42"/>
      <c r="C269" s="42"/>
      <c r="D269" s="52"/>
      <c r="E269" s="52"/>
      <c r="O269" s="43"/>
      <c r="AL269" s="44"/>
      <c r="AM269" s="44"/>
      <c r="AN269" s="44"/>
      <c r="AO269" s="44"/>
      <c r="AP269" s="44"/>
      <c r="AQ269" s="44"/>
      <c r="AR269" s="44"/>
      <c r="AS269" s="44"/>
      <c r="AT269" s="45"/>
      <c r="AY269" s="45"/>
      <c r="BH269" s="45"/>
      <c r="BK269" s="45"/>
      <c r="BT269" s="45"/>
      <c r="BU269" s="45"/>
      <c r="CK269" s="10"/>
      <c r="EF269" s="20"/>
      <c r="FD269" s="21"/>
      <c r="FE269" s="21"/>
      <c r="FN269" s="22"/>
      <c r="FO269" s="22"/>
      <c r="FZ269" s="23"/>
      <c r="GA269" s="23"/>
      <c r="JD269" s="26"/>
      <c r="JE269" s="26"/>
      <c r="JF269" s="27"/>
      <c r="JG269" s="27"/>
      <c r="KL269" s="28"/>
      <c r="KP269" s="28"/>
      <c r="KT269" s="28"/>
      <c r="KX269" s="28"/>
      <c r="LB269" s="28"/>
      <c r="LF269" s="28"/>
      <c r="LJ269" s="28"/>
    </row>
    <row r="270" spans="1:322" ht="13.2">
      <c r="A270" s="42"/>
      <c r="B270" s="42"/>
      <c r="C270" s="42"/>
      <c r="D270" s="52"/>
      <c r="E270" s="52"/>
      <c r="O270" s="43"/>
      <c r="AL270" s="44"/>
      <c r="AM270" s="44"/>
      <c r="AN270" s="44"/>
      <c r="AO270" s="44"/>
      <c r="AP270" s="44"/>
      <c r="AQ270" s="44"/>
      <c r="AR270" s="44"/>
      <c r="AS270" s="44"/>
      <c r="AT270" s="45"/>
      <c r="AY270" s="45"/>
      <c r="BH270" s="45"/>
      <c r="BK270" s="45"/>
      <c r="BT270" s="45"/>
      <c r="BU270" s="45"/>
      <c r="CK270" s="10"/>
      <c r="EF270" s="20"/>
      <c r="FD270" s="21"/>
      <c r="FE270" s="21"/>
      <c r="FN270" s="22"/>
      <c r="FO270" s="22"/>
      <c r="FZ270" s="23"/>
      <c r="GA270" s="23"/>
      <c r="JD270" s="26"/>
      <c r="JE270" s="26"/>
      <c r="JF270" s="27"/>
      <c r="JG270" s="27"/>
      <c r="KL270" s="28"/>
      <c r="KP270" s="28"/>
      <c r="KT270" s="28"/>
      <c r="KX270" s="28"/>
      <c r="LB270" s="28"/>
      <c r="LF270" s="28"/>
      <c r="LJ270" s="28"/>
    </row>
    <row r="271" spans="1:322" ht="13.2">
      <c r="A271" s="42"/>
      <c r="B271" s="42"/>
      <c r="C271" s="42"/>
      <c r="D271" s="52"/>
      <c r="E271" s="52"/>
      <c r="O271" s="43"/>
      <c r="AL271" s="44"/>
      <c r="AM271" s="44"/>
      <c r="AN271" s="44"/>
      <c r="AO271" s="44"/>
      <c r="AP271" s="44"/>
      <c r="AQ271" s="44"/>
      <c r="AR271" s="44"/>
      <c r="AS271" s="44"/>
      <c r="AT271" s="45"/>
      <c r="AY271" s="45"/>
      <c r="BH271" s="45"/>
      <c r="BK271" s="45"/>
      <c r="BT271" s="45"/>
      <c r="BU271" s="45"/>
      <c r="CK271" s="10"/>
      <c r="EF271" s="20"/>
      <c r="FD271" s="21"/>
      <c r="FE271" s="21"/>
      <c r="FN271" s="22"/>
      <c r="FO271" s="22"/>
      <c r="FZ271" s="23"/>
      <c r="GA271" s="23"/>
      <c r="JD271" s="26"/>
      <c r="JE271" s="26"/>
      <c r="JF271" s="27"/>
      <c r="JG271" s="27"/>
      <c r="KL271" s="28"/>
      <c r="KP271" s="28"/>
      <c r="KT271" s="28"/>
      <c r="KX271" s="28"/>
      <c r="LB271" s="28"/>
      <c r="LF271" s="28"/>
      <c r="LJ271" s="28"/>
    </row>
    <row r="272" spans="1:322" ht="13.2">
      <c r="A272" s="42"/>
      <c r="B272" s="42"/>
      <c r="C272" s="42"/>
      <c r="D272" s="52"/>
      <c r="E272" s="52"/>
      <c r="O272" s="43"/>
      <c r="AL272" s="44"/>
      <c r="AM272" s="44"/>
      <c r="AN272" s="44"/>
      <c r="AO272" s="44"/>
      <c r="AP272" s="44"/>
      <c r="AQ272" s="44"/>
      <c r="AR272" s="44"/>
      <c r="AS272" s="44"/>
      <c r="AT272" s="45"/>
      <c r="AY272" s="45"/>
      <c r="BH272" s="45"/>
      <c r="BK272" s="45"/>
      <c r="BT272" s="45"/>
      <c r="BU272" s="45"/>
      <c r="CK272" s="10"/>
      <c r="EF272" s="20"/>
      <c r="FD272" s="21"/>
      <c r="FE272" s="21"/>
      <c r="FN272" s="22"/>
      <c r="FO272" s="22"/>
      <c r="FZ272" s="23"/>
      <c r="GA272" s="23"/>
      <c r="JD272" s="26"/>
      <c r="JE272" s="26"/>
      <c r="JF272" s="27"/>
      <c r="JG272" s="27"/>
      <c r="KL272" s="28"/>
      <c r="KP272" s="28"/>
      <c r="KT272" s="28"/>
      <c r="KX272" s="28"/>
      <c r="LB272" s="28"/>
      <c r="LF272" s="28"/>
      <c r="LJ272" s="28"/>
    </row>
    <row r="273" spans="1:322" ht="13.2">
      <c r="A273" s="42"/>
      <c r="B273" s="42"/>
      <c r="C273" s="42"/>
      <c r="D273" s="52"/>
      <c r="E273" s="52"/>
      <c r="O273" s="43"/>
      <c r="AL273" s="44"/>
      <c r="AM273" s="44"/>
      <c r="AN273" s="44"/>
      <c r="AO273" s="44"/>
      <c r="AP273" s="44"/>
      <c r="AQ273" s="44"/>
      <c r="AR273" s="44"/>
      <c r="AS273" s="44"/>
      <c r="AT273" s="45"/>
      <c r="AY273" s="45"/>
      <c r="BH273" s="45"/>
      <c r="BK273" s="45"/>
      <c r="BT273" s="45"/>
      <c r="BU273" s="45"/>
      <c r="CK273" s="10"/>
      <c r="EF273" s="20"/>
      <c r="FD273" s="21"/>
      <c r="FE273" s="21"/>
      <c r="FN273" s="22"/>
      <c r="FO273" s="22"/>
      <c r="FZ273" s="23"/>
      <c r="GA273" s="23"/>
      <c r="JD273" s="26"/>
      <c r="JE273" s="26"/>
      <c r="JF273" s="27"/>
      <c r="JG273" s="27"/>
      <c r="KL273" s="28"/>
      <c r="KP273" s="28"/>
      <c r="KT273" s="28"/>
      <c r="KX273" s="28"/>
      <c r="LB273" s="28"/>
      <c r="LF273" s="28"/>
      <c r="LJ273" s="28"/>
    </row>
    <row r="274" spans="1:322" ht="13.2">
      <c r="A274" s="42"/>
      <c r="B274" s="42"/>
      <c r="C274" s="42"/>
      <c r="D274" s="52"/>
      <c r="E274" s="52"/>
      <c r="O274" s="43"/>
      <c r="AL274" s="44"/>
      <c r="AM274" s="44"/>
      <c r="AN274" s="44"/>
      <c r="AO274" s="44"/>
      <c r="AP274" s="44"/>
      <c r="AQ274" s="44"/>
      <c r="AR274" s="44"/>
      <c r="AS274" s="44"/>
      <c r="AT274" s="45"/>
      <c r="AY274" s="45"/>
      <c r="BH274" s="45"/>
      <c r="BK274" s="45"/>
      <c r="BT274" s="45"/>
      <c r="BU274" s="45"/>
      <c r="CK274" s="10"/>
      <c r="EF274" s="20"/>
      <c r="FD274" s="21"/>
      <c r="FE274" s="21"/>
      <c r="FN274" s="22"/>
      <c r="FO274" s="22"/>
      <c r="FZ274" s="23"/>
      <c r="GA274" s="23"/>
      <c r="JD274" s="26"/>
      <c r="JE274" s="26"/>
      <c r="JF274" s="27"/>
      <c r="JG274" s="27"/>
      <c r="KL274" s="28"/>
      <c r="KP274" s="28"/>
      <c r="KT274" s="28"/>
      <c r="KX274" s="28"/>
      <c r="LB274" s="28"/>
      <c r="LF274" s="28"/>
      <c r="LJ274" s="28"/>
    </row>
    <row r="275" spans="1:322" ht="13.2">
      <c r="A275" s="42"/>
      <c r="B275" s="42"/>
      <c r="C275" s="42"/>
      <c r="D275" s="52"/>
      <c r="E275" s="52"/>
      <c r="O275" s="43"/>
      <c r="AL275" s="44"/>
      <c r="AM275" s="44"/>
      <c r="AN275" s="44"/>
      <c r="AO275" s="44"/>
      <c r="AP275" s="44"/>
      <c r="AQ275" s="44"/>
      <c r="AR275" s="44"/>
      <c r="AS275" s="44"/>
      <c r="AT275" s="45"/>
      <c r="AY275" s="45"/>
      <c r="BH275" s="45"/>
      <c r="BK275" s="45"/>
      <c r="BT275" s="45"/>
      <c r="BU275" s="45"/>
      <c r="CK275" s="10"/>
      <c r="EF275" s="20"/>
      <c r="FD275" s="21"/>
      <c r="FE275" s="21"/>
      <c r="FN275" s="22"/>
      <c r="FO275" s="22"/>
      <c r="FZ275" s="23"/>
      <c r="GA275" s="23"/>
      <c r="JD275" s="26"/>
      <c r="JE275" s="26"/>
      <c r="JF275" s="27"/>
      <c r="JG275" s="27"/>
      <c r="KL275" s="28"/>
      <c r="KP275" s="28"/>
      <c r="KT275" s="28"/>
      <c r="KX275" s="28"/>
      <c r="LB275" s="28"/>
      <c r="LF275" s="28"/>
      <c r="LJ275" s="28"/>
    </row>
    <row r="276" spans="1:322" ht="13.2">
      <c r="A276" s="42"/>
      <c r="B276" s="42"/>
      <c r="C276" s="42"/>
      <c r="D276" s="52"/>
      <c r="E276" s="52"/>
      <c r="O276" s="43"/>
      <c r="AL276" s="44"/>
      <c r="AM276" s="44"/>
      <c r="AN276" s="44"/>
      <c r="AO276" s="44"/>
      <c r="AP276" s="44"/>
      <c r="AQ276" s="44"/>
      <c r="AR276" s="44"/>
      <c r="AS276" s="44"/>
      <c r="AT276" s="45"/>
      <c r="AY276" s="45"/>
      <c r="BH276" s="45"/>
      <c r="BK276" s="45"/>
      <c r="BT276" s="45"/>
      <c r="BU276" s="45"/>
      <c r="CK276" s="10"/>
      <c r="EF276" s="20"/>
      <c r="FD276" s="21"/>
      <c r="FE276" s="21"/>
      <c r="FN276" s="22"/>
      <c r="FO276" s="22"/>
      <c r="FZ276" s="23"/>
      <c r="GA276" s="23"/>
      <c r="JD276" s="26"/>
      <c r="JE276" s="26"/>
      <c r="JF276" s="27"/>
      <c r="JG276" s="27"/>
      <c r="KL276" s="28"/>
      <c r="KP276" s="28"/>
      <c r="KT276" s="28"/>
      <c r="KX276" s="28"/>
      <c r="LB276" s="28"/>
      <c r="LF276" s="28"/>
      <c r="LJ276" s="28"/>
    </row>
    <row r="277" spans="1:322" ht="13.2">
      <c r="A277" s="42"/>
      <c r="B277" s="42"/>
      <c r="C277" s="42"/>
      <c r="D277" s="52"/>
      <c r="E277" s="52"/>
      <c r="O277" s="43"/>
      <c r="AL277" s="44"/>
      <c r="AM277" s="44"/>
      <c r="AN277" s="44"/>
      <c r="AO277" s="44"/>
      <c r="AP277" s="44"/>
      <c r="AQ277" s="44"/>
      <c r="AR277" s="44"/>
      <c r="AS277" s="44"/>
      <c r="AT277" s="45"/>
      <c r="AY277" s="45"/>
      <c r="BH277" s="45"/>
      <c r="BK277" s="45"/>
      <c r="BT277" s="45"/>
      <c r="BU277" s="45"/>
      <c r="CK277" s="10"/>
      <c r="EF277" s="20"/>
      <c r="FD277" s="21"/>
      <c r="FE277" s="21"/>
      <c r="FN277" s="22"/>
      <c r="FO277" s="22"/>
      <c r="FZ277" s="23"/>
      <c r="GA277" s="23"/>
      <c r="JD277" s="26"/>
      <c r="JE277" s="26"/>
      <c r="JF277" s="27"/>
      <c r="JG277" s="27"/>
      <c r="KL277" s="28"/>
      <c r="KP277" s="28"/>
      <c r="KT277" s="28"/>
      <c r="KX277" s="28"/>
      <c r="LB277" s="28"/>
      <c r="LF277" s="28"/>
      <c r="LJ277" s="28"/>
    </row>
    <row r="278" spans="1:322" ht="13.2">
      <c r="A278" s="42"/>
      <c r="B278" s="42"/>
      <c r="C278" s="42"/>
      <c r="D278" s="52"/>
      <c r="E278" s="52"/>
      <c r="O278" s="43"/>
      <c r="AL278" s="44"/>
      <c r="AM278" s="44"/>
      <c r="AN278" s="44"/>
      <c r="AO278" s="44"/>
      <c r="AP278" s="44"/>
      <c r="AQ278" s="44"/>
      <c r="AR278" s="44"/>
      <c r="AS278" s="44"/>
      <c r="AT278" s="45"/>
      <c r="AY278" s="45"/>
      <c r="BH278" s="45"/>
      <c r="BK278" s="45"/>
      <c r="BT278" s="45"/>
      <c r="BU278" s="45"/>
      <c r="CK278" s="10"/>
      <c r="EF278" s="20"/>
      <c r="FD278" s="21"/>
      <c r="FE278" s="21"/>
      <c r="FN278" s="22"/>
      <c r="FO278" s="22"/>
      <c r="FZ278" s="23"/>
      <c r="GA278" s="23"/>
      <c r="JD278" s="26"/>
      <c r="JE278" s="26"/>
      <c r="JF278" s="27"/>
      <c r="JG278" s="27"/>
      <c r="KL278" s="28"/>
      <c r="KP278" s="28"/>
      <c r="KT278" s="28"/>
      <c r="KX278" s="28"/>
      <c r="LB278" s="28"/>
      <c r="LF278" s="28"/>
      <c r="LJ278" s="28"/>
    </row>
    <row r="279" spans="1:322" ht="13.2">
      <c r="A279" s="42"/>
      <c r="B279" s="42"/>
      <c r="C279" s="42"/>
      <c r="D279" s="52"/>
      <c r="E279" s="52"/>
      <c r="O279" s="43"/>
      <c r="AL279" s="44"/>
      <c r="AM279" s="44"/>
      <c r="AN279" s="44"/>
      <c r="AO279" s="44"/>
      <c r="AP279" s="44"/>
      <c r="AQ279" s="44"/>
      <c r="AR279" s="44"/>
      <c r="AS279" s="44"/>
      <c r="AT279" s="45"/>
      <c r="AY279" s="45"/>
      <c r="BH279" s="45"/>
      <c r="BK279" s="45"/>
      <c r="BT279" s="45"/>
      <c r="BU279" s="45"/>
      <c r="CK279" s="10"/>
      <c r="EF279" s="20"/>
      <c r="FD279" s="21"/>
      <c r="FE279" s="21"/>
      <c r="FN279" s="22"/>
      <c r="FO279" s="22"/>
      <c r="FZ279" s="23"/>
      <c r="GA279" s="23"/>
      <c r="JD279" s="26"/>
      <c r="JE279" s="26"/>
      <c r="JF279" s="27"/>
      <c r="JG279" s="27"/>
      <c r="KL279" s="28"/>
      <c r="KP279" s="28"/>
      <c r="KT279" s="28"/>
      <c r="KX279" s="28"/>
      <c r="LB279" s="28"/>
      <c r="LF279" s="28"/>
      <c r="LJ279" s="28"/>
    </row>
    <row r="280" spans="1:322" ht="13.2">
      <c r="A280" s="42"/>
      <c r="B280" s="42"/>
      <c r="C280" s="42"/>
      <c r="D280" s="52"/>
      <c r="E280" s="52"/>
      <c r="O280" s="43"/>
      <c r="AL280" s="44"/>
      <c r="AM280" s="44"/>
      <c r="AN280" s="44"/>
      <c r="AO280" s="44"/>
      <c r="AP280" s="44"/>
      <c r="AQ280" s="44"/>
      <c r="AR280" s="44"/>
      <c r="AS280" s="44"/>
      <c r="AT280" s="45"/>
      <c r="AY280" s="45"/>
      <c r="BH280" s="45"/>
      <c r="BK280" s="45"/>
      <c r="BT280" s="45"/>
      <c r="BU280" s="45"/>
      <c r="CK280" s="10"/>
      <c r="EF280" s="20"/>
      <c r="FD280" s="21"/>
      <c r="FE280" s="21"/>
      <c r="FN280" s="22"/>
      <c r="FO280" s="22"/>
      <c r="FZ280" s="23"/>
      <c r="GA280" s="23"/>
      <c r="JD280" s="26"/>
      <c r="JE280" s="26"/>
      <c r="JF280" s="27"/>
      <c r="JG280" s="27"/>
      <c r="KL280" s="28"/>
      <c r="KP280" s="28"/>
      <c r="KT280" s="28"/>
      <c r="KX280" s="28"/>
      <c r="LB280" s="28"/>
      <c r="LF280" s="28"/>
      <c r="LJ280" s="28"/>
    </row>
    <row r="281" spans="1:322" ht="13.2">
      <c r="A281" s="42"/>
      <c r="B281" s="42"/>
      <c r="C281" s="42"/>
      <c r="D281" s="52"/>
      <c r="E281" s="52"/>
      <c r="O281" s="43"/>
      <c r="AL281" s="44"/>
      <c r="AM281" s="44"/>
      <c r="AN281" s="44"/>
      <c r="AO281" s="44"/>
      <c r="AP281" s="44"/>
      <c r="AQ281" s="44"/>
      <c r="AR281" s="44"/>
      <c r="AS281" s="44"/>
      <c r="AT281" s="45"/>
      <c r="AY281" s="45"/>
      <c r="BH281" s="45"/>
      <c r="BK281" s="45"/>
      <c r="BT281" s="45"/>
      <c r="BU281" s="45"/>
      <c r="CK281" s="10"/>
      <c r="EF281" s="20"/>
      <c r="FD281" s="21"/>
      <c r="FE281" s="21"/>
      <c r="FN281" s="22"/>
      <c r="FO281" s="22"/>
      <c r="FZ281" s="23"/>
      <c r="GA281" s="23"/>
      <c r="JD281" s="26"/>
      <c r="JE281" s="26"/>
      <c r="JF281" s="27"/>
      <c r="JG281" s="27"/>
      <c r="KL281" s="28"/>
      <c r="KP281" s="28"/>
      <c r="KT281" s="28"/>
      <c r="KX281" s="28"/>
      <c r="LB281" s="28"/>
      <c r="LF281" s="28"/>
      <c r="LJ281" s="28"/>
    </row>
    <row r="282" spans="1:322" ht="13.2">
      <c r="A282" s="42"/>
      <c r="B282" s="42"/>
      <c r="C282" s="42"/>
      <c r="D282" s="52"/>
      <c r="E282" s="52"/>
      <c r="O282" s="43"/>
      <c r="AL282" s="44"/>
      <c r="AM282" s="44"/>
      <c r="AN282" s="44"/>
      <c r="AO282" s="44"/>
      <c r="AP282" s="44"/>
      <c r="AQ282" s="44"/>
      <c r="AR282" s="44"/>
      <c r="AS282" s="44"/>
      <c r="AT282" s="45"/>
      <c r="AY282" s="45"/>
      <c r="BH282" s="45"/>
      <c r="BK282" s="45"/>
      <c r="BT282" s="45"/>
      <c r="BU282" s="45"/>
      <c r="CK282" s="10"/>
      <c r="EF282" s="20"/>
      <c r="FD282" s="21"/>
      <c r="FE282" s="21"/>
      <c r="FN282" s="22"/>
      <c r="FO282" s="22"/>
      <c r="FZ282" s="23"/>
      <c r="GA282" s="23"/>
      <c r="JD282" s="26"/>
      <c r="JE282" s="26"/>
      <c r="JF282" s="27"/>
      <c r="JG282" s="27"/>
      <c r="KL282" s="28"/>
      <c r="KP282" s="28"/>
      <c r="KT282" s="28"/>
      <c r="KX282" s="28"/>
      <c r="LB282" s="28"/>
      <c r="LF282" s="28"/>
      <c r="LJ282" s="28"/>
    </row>
    <row r="283" spans="1:322" ht="13.2">
      <c r="A283" s="42"/>
      <c r="B283" s="42"/>
      <c r="C283" s="42"/>
      <c r="D283" s="52"/>
      <c r="E283" s="52"/>
      <c r="O283" s="43"/>
      <c r="AL283" s="44"/>
      <c r="AM283" s="44"/>
      <c r="AN283" s="44"/>
      <c r="AO283" s="44"/>
      <c r="AP283" s="44"/>
      <c r="AQ283" s="44"/>
      <c r="AR283" s="44"/>
      <c r="AS283" s="44"/>
      <c r="AT283" s="45"/>
      <c r="AY283" s="45"/>
      <c r="BH283" s="45"/>
      <c r="BK283" s="45"/>
      <c r="BT283" s="45"/>
      <c r="BU283" s="45"/>
      <c r="CK283" s="10"/>
      <c r="EF283" s="20"/>
      <c r="FD283" s="21"/>
      <c r="FE283" s="21"/>
      <c r="FN283" s="22"/>
      <c r="FO283" s="22"/>
      <c r="FZ283" s="23"/>
      <c r="GA283" s="23"/>
      <c r="JD283" s="26"/>
      <c r="JE283" s="26"/>
      <c r="JF283" s="27"/>
      <c r="JG283" s="27"/>
      <c r="KL283" s="28"/>
      <c r="KP283" s="28"/>
      <c r="KT283" s="28"/>
      <c r="KX283" s="28"/>
      <c r="LB283" s="28"/>
      <c r="LF283" s="28"/>
      <c r="LJ283" s="28"/>
    </row>
    <row r="284" spans="1:322" ht="13.2">
      <c r="A284" s="42"/>
      <c r="B284" s="42"/>
      <c r="C284" s="42"/>
      <c r="D284" s="52"/>
      <c r="E284" s="52"/>
      <c r="O284" s="43"/>
      <c r="AL284" s="44"/>
      <c r="AM284" s="44"/>
      <c r="AN284" s="44"/>
      <c r="AO284" s="44"/>
      <c r="AP284" s="44"/>
      <c r="AQ284" s="44"/>
      <c r="AR284" s="44"/>
      <c r="AS284" s="44"/>
      <c r="AT284" s="45"/>
      <c r="AY284" s="45"/>
      <c r="BH284" s="45"/>
      <c r="BK284" s="45"/>
      <c r="BT284" s="45"/>
      <c r="BU284" s="45"/>
      <c r="CK284" s="10"/>
      <c r="EF284" s="20"/>
      <c r="FD284" s="21"/>
      <c r="FE284" s="21"/>
      <c r="FN284" s="22"/>
      <c r="FO284" s="22"/>
      <c r="FZ284" s="23"/>
      <c r="GA284" s="23"/>
      <c r="JD284" s="26"/>
      <c r="JE284" s="26"/>
      <c r="JF284" s="27"/>
      <c r="JG284" s="27"/>
      <c r="KL284" s="28"/>
      <c r="KP284" s="28"/>
      <c r="KT284" s="28"/>
      <c r="KX284" s="28"/>
      <c r="LB284" s="28"/>
      <c r="LF284" s="28"/>
      <c r="LJ284" s="28"/>
    </row>
    <row r="285" spans="1:322" ht="13.2">
      <c r="A285" s="42"/>
      <c r="B285" s="42"/>
      <c r="C285" s="42"/>
      <c r="D285" s="52"/>
      <c r="E285" s="52"/>
      <c r="O285" s="43"/>
      <c r="AL285" s="44"/>
      <c r="AM285" s="44"/>
      <c r="AN285" s="44"/>
      <c r="AO285" s="44"/>
      <c r="AP285" s="44"/>
      <c r="AQ285" s="44"/>
      <c r="AR285" s="44"/>
      <c r="AS285" s="44"/>
      <c r="AT285" s="45"/>
      <c r="AY285" s="45"/>
      <c r="BH285" s="45"/>
      <c r="BK285" s="45"/>
      <c r="BT285" s="45"/>
      <c r="BU285" s="45"/>
      <c r="CK285" s="10"/>
      <c r="EF285" s="20"/>
      <c r="FD285" s="21"/>
      <c r="FE285" s="21"/>
      <c r="FN285" s="22"/>
      <c r="FO285" s="22"/>
      <c r="FZ285" s="23"/>
      <c r="GA285" s="23"/>
      <c r="JD285" s="26"/>
      <c r="JE285" s="26"/>
      <c r="JF285" s="27"/>
      <c r="JG285" s="27"/>
      <c r="KL285" s="28"/>
      <c r="KP285" s="28"/>
      <c r="KT285" s="28"/>
      <c r="KX285" s="28"/>
      <c r="LB285" s="28"/>
      <c r="LF285" s="28"/>
      <c r="LJ285" s="28"/>
    </row>
    <row r="286" spans="1:322" ht="13.2">
      <c r="A286" s="42"/>
      <c r="B286" s="42"/>
      <c r="C286" s="42"/>
      <c r="D286" s="52"/>
      <c r="E286" s="52"/>
      <c r="O286" s="43"/>
      <c r="AL286" s="44"/>
      <c r="AM286" s="44"/>
      <c r="AN286" s="44"/>
      <c r="AO286" s="44"/>
      <c r="AP286" s="44"/>
      <c r="AQ286" s="44"/>
      <c r="AR286" s="44"/>
      <c r="AS286" s="44"/>
      <c r="AT286" s="45"/>
      <c r="AY286" s="45"/>
      <c r="BH286" s="45"/>
      <c r="BK286" s="45"/>
      <c r="BT286" s="45"/>
      <c r="BU286" s="45"/>
      <c r="CK286" s="10"/>
      <c r="EF286" s="20"/>
      <c r="FD286" s="21"/>
      <c r="FE286" s="21"/>
      <c r="FN286" s="22"/>
      <c r="FO286" s="22"/>
      <c r="FZ286" s="23"/>
      <c r="GA286" s="23"/>
      <c r="JD286" s="26"/>
      <c r="JE286" s="26"/>
      <c r="JF286" s="27"/>
      <c r="JG286" s="27"/>
      <c r="KL286" s="28"/>
      <c r="KP286" s="28"/>
      <c r="KT286" s="28"/>
      <c r="KX286" s="28"/>
      <c r="LB286" s="28"/>
      <c r="LF286" s="28"/>
      <c r="LJ286" s="28"/>
    </row>
    <row r="287" spans="1:322" ht="13.2">
      <c r="A287" s="42"/>
      <c r="B287" s="42"/>
      <c r="C287" s="42"/>
      <c r="D287" s="52"/>
      <c r="E287" s="52"/>
      <c r="O287" s="43"/>
      <c r="AL287" s="44"/>
      <c r="AM287" s="44"/>
      <c r="AN287" s="44"/>
      <c r="AO287" s="44"/>
      <c r="AP287" s="44"/>
      <c r="AQ287" s="44"/>
      <c r="AR287" s="44"/>
      <c r="AS287" s="44"/>
      <c r="AT287" s="45"/>
      <c r="AY287" s="45"/>
      <c r="BH287" s="45"/>
      <c r="BK287" s="45"/>
      <c r="BT287" s="45"/>
      <c r="BU287" s="45"/>
      <c r="CK287" s="10"/>
      <c r="EF287" s="20"/>
      <c r="FD287" s="21"/>
      <c r="FE287" s="21"/>
      <c r="FN287" s="22"/>
      <c r="FO287" s="22"/>
      <c r="FZ287" s="23"/>
      <c r="GA287" s="23"/>
      <c r="JD287" s="26"/>
      <c r="JE287" s="26"/>
      <c r="JF287" s="27"/>
      <c r="JG287" s="27"/>
      <c r="KL287" s="28"/>
      <c r="KP287" s="28"/>
      <c r="KT287" s="28"/>
      <c r="KX287" s="28"/>
      <c r="LB287" s="28"/>
      <c r="LF287" s="28"/>
      <c r="LJ287" s="28"/>
    </row>
    <row r="288" spans="1:322" ht="13.2">
      <c r="A288" s="42"/>
      <c r="B288" s="42"/>
      <c r="C288" s="42"/>
      <c r="D288" s="52"/>
      <c r="E288" s="52"/>
      <c r="O288" s="43"/>
      <c r="AL288" s="44"/>
      <c r="AM288" s="44"/>
      <c r="AN288" s="44"/>
      <c r="AO288" s="44"/>
      <c r="AP288" s="44"/>
      <c r="AQ288" s="44"/>
      <c r="AR288" s="44"/>
      <c r="AS288" s="44"/>
      <c r="AT288" s="45"/>
      <c r="AY288" s="45"/>
      <c r="BH288" s="45"/>
      <c r="BK288" s="45"/>
      <c r="BT288" s="45"/>
      <c r="BU288" s="45"/>
      <c r="CK288" s="10"/>
      <c r="EF288" s="20"/>
      <c r="FD288" s="21"/>
      <c r="FE288" s="21"/>
      <c r="FN288" s="22"/>
      <c r="FO288" s="22"/>
      <c r="FZ288" s="23"/>
      <c r="GA288" s="23"/>
      <c r="JD288" s="26"/>
      <c r="JE288" s="26"/>
      <c r="JF288" s="27"/>
      <c r="JG288" s="27"/>
      <c r="KL288" s="28"/>
      <c r="KP288" s="28"/>
      <c r="KT288" s="28"/>
      <c r="KX288" s="28"/>
      <c r="LB288" s="28"/>
      <c r="LF288" s="28"/>
      <c r="LJ288" s="28"/>
    </row>
    <row r="289" spans="1:322" ht="13.2">
      <c r="A289" s="42"/>
      <c r="B289" s="42"/>
      <c r="C289" s="42"/>
      <c r="D289" s="52"/>
      <c r="E289" s="52"/>
      <c r="O289" s="43"/>
      <c r="AL289" s="44"/>
      <c r="AM289" s="44"/>
      <c r="AN289" s="44"/>
      <c r="AO289" s="44"/>
      <c r="AP289" s="44"/>
      <c r="AQ289" s="44"/>
      <c r="AR289" s="44"/>
      <c r="AS289" s="44"/>
      <c r="AT289" s="45"/>
      <c r="AY289" s="45"/>
      <c r="BH289" s="45"/>
      <c r="BK289" s="45"/>
      <c r="BT289" s="45"/>
      <c r="BU289" s="45"/>
      <c r="CK289" s="10"/>
      <c r="EF289" s="20"/>
      <c r="FD289" s="21"/>
      <c r="FE289" s="21"/>
      <c r="FN289" s="22"/>
      <c r="FO289" s="22"/>
      <c r="FZ289" s="23"/>
      <c r="GA289" s="23"/>
      <c r="JD289" s="26"/>
      <c r="JE289" s="26"/>
      <c r="JF289" s="27"/>
      <c r="JG289" s="27"/>
      <c r="KL289" s="28"/>
      <c r="KP289" s="28"/>
      <c r="KT289" s="28"/>
      <c r="KX289" s="28"/>
      <c r="LB289" s="28"/>
      <c r="LF289" s="28"/>
      <c r="LJ289" s="28"/>
    </row>
    <row r="290" spans="1:322" ht="13.2">
      <c r="A290" s="42"/>
      <c r="B290" s="42"/>
      <c r="C290" s="42"/>
      <c r="D290" s="52"/>
      <c r="E290" s="52"/>
      <c r="O290" s="43"/>
      <c r="AL290" s="44"/>
      <c r="AM290" s="44"/>
      <c r="AN290" s="44"/>
      <c r="AO290" s="44"/>
      <c r="AP290" s="44"/>
      <c r="AQ290" s="44"/>
      <c r="AR290" s="44"/>
      <c r="AS290" s="44"/>
      <c r="AT290" s="45"/>
      <c r="AY290" s="45"/>
      <c r="BH290" s="45"/>
      <c r="BK290" s="45"/>
      <c r="BT290" s="45"/>
      <c r="BU290" s="45"/>
      <c r="CK290" s="10"/>
      <c r="EF290" s="20"/>
      <c r="FD290" s="21"/>
      <c r="FE290" s="21"/>
      <c r="FN290" s="22"/>
      <c r="FO290" s="22"/>
      <c r="FZ290" s="23"/>
      <c r="GA290" s="23"/>
      <c r="JD290" s="26"/>
      <c r="JE290" s="26"/>
      <c r="JF290" s="27"/>
      <c r="JG290" s="27"/>
      <c r="KL290" s="28"/>
      <c r="KP290" s="28"/>
      <c r="KT290" s="28"/>
      <c r="KX290" s="28"/>
      <c r="LB290" s="28"/>
      <c r="LF290" s="28"/>
      <c r="LJ290" s="28"/>
    </row>
    <row r="291" spans="1:322" ht="13.2">
      <c r="A291" s="42"/>
      <c r="B291" s="42"/>
      <c r="C291" s="42"/>
      <c r="D291" s="52"/>
      <c r="E291" s="52"/>
      <c r="O291" s="43"/>
      <c r="AL291" s="44"/>
      <c r="AM291" s="44"/>
      <c r="AN291" s="44"/>
      <c r="AO291" s="44"/>
      <c r="AP291" s="44"/>
      <c r="AQ291" s="44"/>
      <c r="AR291" s="44"/>
      <c r="AS291" s="44"/>
      <c r="AT291" s="45"/>
      <c r="AY291" s="45"/>
      <c r="BH291" s="45"/>
      <c r="BK291" s="45"/>
      <c r="BT291" s="45"/>
      <c r="BU291" s="45"/>
      <c r="CK291" s="10"/>
      <c r="EF291" s="20"/>
      <c r="FD291" s="21"/>
      <c r="FE291" s="21"/>
      <c r="FN291" s="22"/>
      <c r="FO291" s="22"/>
      <c r="FZ291" s="23"/>
      <c r="GA291" s="23"/>
      <c r="JD291" s="26"/>
      <c r="JE291" s="26"/>
      <c r="JF291" s="27"/>
      <c r="JG291" s="27"/>
      <c r="KL291" s="28"/>
      <c r="KP291" s="28"/>
      <c r="KT291" s="28"/>
      <c r="KX291" s="28"/>
      <c r="LB291" s="28"/>
      <c r="LF291" s="28"/>
      <c r="LJ291" s="28"/>
    </row>
    <row r="292" spans="1:322" ht="13.2">
      <c r="A292" s="42"/>
      <c r="B292" s="42"/>
      <c r="C292" s="42"/>
      <c r="D292" s="52"/>
      <c r="E292" s="52"/>
      <c r="O292" s="43"/>
      <c r="AL292" s="44"/>
      <c r="AM292" s="44"/>
      <c r="AN292" s="44"/>
      <c r="AO292" s="44"/>
      <c r="AP292" s="44"/>
      <c r="AQ292" s="44"/>
      <c r="AR292" s="44"/>
      <c r="AS292" s="44"/>
      <c r="AT292" s="45"/>
      <c r="AY292" s="45"/>
      <c r="BH292" s="45"/>
      <c r="BK292" s="45"/>
      <c r="BT292" s="45"/>
      <c r="BU292" s="45"/>
      <c r="CK292" s="10"/>
      <c r="EF292" s="20"/>
      <c r="FD292" s="21"/>
      <c r="FE292" s="21"/>
      <c r="FN292" s="22"/>
      <c r="FO292" s="22"/>
      <c r="FZ292" s="23"/>
      <c r="GA292" s="23"/>
      <c r="JD292" s="26"/>
      <c r="JE292" s="26"/>
      <c r="JF292" s="27"/>
      <c r="JG292" s="27"/>
      <c r="KL292" s="28"/>
      <c r="KP292" s="28"/>
      <c r="KT292" s="28"/>
      <c r="KX292" s="28"/>
      <c r="LB292" s="28"/>
      <c r="LF292" s="28"/>
      <c r="LJ292" s="28"/>
    </row>
    <row r="293" spans="1:322" ht="13.2">
      <c r="A293" s="42"/>
      <c r="B293" s="42"/>
      <c r="C293" s="42"/>
      <c r="D293" s="52"/>
      <c r="E293" s="52"/>
      <c r="O293" s="43"/>
      <c r="AL293" s="44"/>
      <c r="AM293" s="44"/>
      <c r="AN293" s="44"/>
      <c r="AO293" s="44"/>
      <c r="AP293" s="44"/>
      <c r="AQ293" s="44"/>
      <c r="AR293" s="44"/>
      <c r="AS293" s="44"/>
      <c r="AT293" s="45"/>
      <c r="AY293" s="45"/>
      <c r="BH293" s="45"/>
      <c r="BK293" s="45"/>
      <c r="BT293" s="45"/>
      <c r="BU293" s="45"/>
      <c r="CK293" s="10"/>
      <c r="EF293" s="20"/>
      <c r="FD293" s="21"/>
      <c r="FE293" s="21"/>
      <c r="FN293" s="22"/>
      <c r="FO293" s="22"/>
      <c r="FZ293" s="23"/>
      <c r="GA293" s="23"/>
      <c r="JD293" s="26"/>
      <c r="JE293" s="26"/>
      <c r="JF293" s="27"/>
      <c r="JG293" s="27"/>
      <c r="KL293" s="28"/>
      <c r="KP293" s="28"/>
      <c r="KT293" s="28"/>
      <c r="KX293" s="28"/>
      <c r="LB293" s="28"/>
      <c r="LF293" s="28"/>
      <c r="LJ293" s="28"/>
    </row>
    <row r="294" spans="1:322" ht="13.2">
      <c r="A294" s="42"/>
      <c r="B294" s="42"/>
      <c r="C294" s="42"/>
      <c r="D294" s="52"/>
      <c r="E294" s="52"/>
      <c r="O294" s="43"/>
      <c r="AL294" s="44"/>
      <c r="AM294" s="44"/>
      <c r="AN294" s="44"/>
      <c r="AO294" s="44"/>
      <c r="AP294" s="44"/>
      <c r="AQ294" s="44"/>
      <c r="AR294" s="44"/>
      <c r="AS294" s="44"/>
      <c r="AT294" s="45"/>
      <c r="AY294" s="45"/>
      <c r="BH294" s="45"/>
      <c r="BK294" s="45"/>
      <c r="BT294" s="45"/>
      <c r="BU294" s="45"/>
      <c r="CK294" s="10"/>
      <c r="EF294" s="20"/>
      <c r="FD294" s="21"/>
      <c r="FE294" s="21"/>
      <c r="FN294" s="22"/>
      <c r="FO294" s="22"/>
      <c r="FZ294" s="23"/>
      <c r="GA294" s="23"/>
      <c r="JD294" s="26"/>
      <c r="JE294" s="26"/>
      <c r="JF294" s="27"/>
      <c r="JG294" s="27"/>
      <c r="KL294" s="28"/>
      <c r="KP294" s="28"/>
      <c r="KT294" s="28"/>
      <c r="KX294" s="28"/>
      <c r="LB294" s="28"/>
      <c r="LF294" s="28"/>
      <c r="LJ294" s="28"/>
    </row>
    <row r="295" spans="1:322" ht="13.2">
      <c r="A295" s="42"/>
      <c r="B295" s="42"/>
      <c r="C295" s="42"/>
      <c r="D295" s="52"/>
      <c r="E295" s="52"/>
      <c r="O295" s="43"/>
      <c r="AL295" s="44"/>
      <c r="AM295" s="44"/>
      <c r="AN295" s="44"/>
      <c r="AO295" s="44"/>
      <c r="AP295" s="44"/>
      <c r="AQ295" s="44"/>
      <c r="AR295" s="44"/>
      <c r="AS295" s="44"/>
      <c r="AT295" s="45"/>
      <c r="AY295" s="45"/>
      <c r="BH295" s="45"/>
      <c r="BK295" s="45"/>
      <c r="BT295" s="45"/>
      <c r="BU295" s="45"/>
      <c r="CK295" s="10"/>
      <c r="EF295" s="20"/>
      <c r="FD295" s="21"/>
      <c r="FE295" s="21"/>
      <c r="FN295" s="22"/>
      <c r="FO295" s="22"/>
      <c r="FZ295" s="23"/>
      <c r="GA295" s="23"/>
      <c r="JD295" s="26"/>
      <c r="JE295" s="26"/>
      <c r="JF295" s="27"/>
      <c r="JG295" s="27"/>
      <c r="KL295" s="28"/>
      <c r="KP295" s="28"/>
      <c r="KT295" s="28"/>
      <c r="KX295" s="28"/>
      <c r="LB295" s="28"/>
      <c r="LF295" s="28"/>
      <c r="LJ295" s="28"/>
    </row>
    <row r="296" spans="1:322" ht="13.2">
      <c r="A296" s="42"/>
      <c r="B296" s="42"/>
      <c r="C296" s="42"/>
      <c r="D296" s="52"/>
      <c r="E296" s="52"/>
      <c r="O296" s="43"/>
      <c r="AL296" s="44"/>
      <c r="AM296" s="44"/>
      <c r="AN296" s="44"/>
      <c r="AO296" s="44"/>
      <c r="AP296" s="44"/>
      <c r="AQ296" s="44"/>
      <c r="AR296" s="44"/>
      <c r="AS296" s="44"/>
      <c r="AT296" s="45"/>
      <c r="AY296" s="45"/>
      <c r="BH296" s="45"/>
      <c r="BK296" s="45"/>
      <c r="BT296" s="45"/>
      <c r="BU296" s="45"/>
      <c r="CK296" s="10"/>
      <c r="EF296" s="20"/>
      <c r="FD296" s="21"/>
      <c r="FE296" s="21"/>
      <c r="FN296" s="22"/>
      <c r="FO296" s="22"/>
      <c r="FZ296" s="23"/>
      <c r="GA296" s="23"/>
      <c r="JD296" s="26"/>
      <c r="JE296" s="26"/>
      <c r="JF296" s="27"/>
      <c r="JG296" s="27"/>
      <c r="KL296" s="28"/>
      <c r="KP296" s="28"/>
      <c r="KT296" s="28"/>
      <c r="KX296" s="28"/>
      <c r="LB296" s="28"/>
      <c r="LF296" s="28"/>
      <c r="LJ296" s="28"/>
    </row>
    <row r="297" spans="1:322" ht="13.2">
      <c r="A297" s="42"/>
      <c r="B297" s="42"/>
      <c r="C297" s="42"/>
      <c r="D297" s="52"/>
      <c r="E297" s="52"/>
      <c r="O297" s="43"/>
      <c r="AL297" s="44"/>
      <c r="AM297" s="44"/>
      <c r="AN297" s="44"/>
      <c r="AO297" s="44"/>
      <c r="AP297" s="44"/>
      <c r="AQ297" s="44"/>
      <c r="AR297" s="44"/>
      <c r="AS297" s="44"/>
      <c r="AT297" s="45"/>
      <c r="AY297" s="45"/>
      <c r="BH297" s="45"/>
      <c r="BK297" s="45"/>
      <c r="BT297" s="45"/>
      <c r="BU297" s="45"/>
      <c r="CK297" s="10"/>
      <c r="EF297" s="20"/>
      <c r="FD297" s="21"/>
      <c r="FE297" s="21"/>
      <c r="FN297" s="22"/>
      <c r="FO297" s="22"/>
      <c r="FZ297" s="23"/>
      <c r="GA297" s="23"/>
      <c r="JD297" s="26"/>
      <c r="JE297" s="26"/>
      <c r="JF297" s="27"/>
      <c r="JG297" s="27"/>
      <c r="KL297" s="28"/>
      <c r="KP297" s="28"/>
      <c r="KT297" s="28"/>
      <c r="KX297" s="28"/>
      <c r="LB297" s="28"/>
      <c r="LF297" s="28"/>
      <c r="LJ297" s="28"/>
    </row>
    <row r="298" spans="1:322" ht="13.2">
      <c r="A298" s="42"/>
      <c r="B298" s="42"/>
      <c r="C298" s="42"/>
      <c r="D298" s="52"/>
      <c r="E298" s="52"/>
      <c r="O298" s="43"/>
      <c r="AL298" s="44"/>
      <c r="AM298" s="44"/>
      <c r="AN298" s="44"/>
      <c r="AO298" s="44"/>
      <c r="AP298" s="44"/>
      <c r="AQ298" s="44"/>
      <c r="AR298" s="44"/>
      <c r="AS298" s="44"/>
      <c r="AT298" s="45"/>
      <c r="AY298" s="45"/>
      <c r="BH298" s="45"/>
      <c r="BK298" s="45"/>
      <c r="BT298" s="45"/>
      <c r="BU298" s="45"/>
      <c r="CK298" s="10"/>
      <c r="EF298" s="20"/>
      <c r="FD298" s="21"/>
      <c r="FE298" s="21"/>
      <c r="FN298" s="22"/>
      <c r="FO298" s="22"/>
      <c r="FZ298" s="23"/>
      <c r="GA298" s="23"/>
      <c r="JD298" s="26"/>
      <c r="JE298" s="26"/>
      <c r="JF298" s="27"/>
      <c r="JG298" s="27"/>
      <c r="KL298" s="28"/>
      <c r="KP298" s="28"/>
      <c r="KT298" s="28"/>
      <c r="KX298" s="28"/>
      <c r="LB298" s="28"/>
      <c r="LF298" s="28"/>
      <c r="LJ298" s="28"/>
    </row>
    <row r="299" spans="1:322" ht="13.2">
      <c r="A299" s="42"/>
      <c r="B299" s="42"/>
      <c r="C299" s="42"/>
      <c r="D299" s="52"/>
      <c r="E299" s="52"/>
      <c r="O299" s="43"/>
      <c r="AL299" s="44"/>
      <c r="AM299" s="44"/>
      <c r="AN299" s="44"/>
      <c r="AO299" s="44"/>
      <c r="AP299" s="44"/>
      <c r="AQ299" s="44"/>
      <c r="AR299" s="44"/>
      <c r="AS299" s="44"/>
      <c r="AT299" s="45"/>
      <c r="AY299" s="45"/>
      <c r="BH299" s="45"/>
      <c r="BK299" s="45"/>
      <c r="BT299" s="45"/>
      <c r="BU299" s="45"/>
      <c r="CK299" s="10"/>
      <c r="EF299" s="20"/>
      <c r="FD299" s="21"/>
      <c r="FE299" s="21"/>
      <c r="FN299" s="22"/>
      <c r="FO299" s="22"/>
      <c r="FZ299" s="23"/>
      <c r="GA299" s="23"/>
      <c r="JD299" s="26"/>
      <c r="JE299" s="26"/>
      <c r="JF299" s="27"/>
      <c r="JG299" s="27"/>
      <c r="KL299" s="28"/>
      <c r="KP299" s="28"/>
      <c r="KT299" s="28"/>
      <c r="KX299" s="28"/>
      <c r="LB299" s="28"/>
      <c r="LF299" s="28"/>
      <c r="LJ299" s="28"/>
    </row>
    <row r="300" spans="1:322" ht="13.2">
      <c r="A300" s="42"/>
      <c r="B300" s="42"/>
      <c r="C300" s="42"/>
      <c r="D300" s="52"/>
      <c r="E300" s="52"/>
      <c r="O300" s="43"/>
      <c r="AL300" s="44"/>
      <c r="AM300" s="44"/>
      <c r="AN300" s="44"/>
      <c r="AO300" s="44"/>
      <c r="AP300" s="44"/>
      <c r="AQ300" s="44"/>
      <c r="AR300" s="44"/>
      <c r="AS300" s="44"/>
      <c r="AT300" s="45"/>
      <c r="AY300" s="45"/>
      <c r="BH300" s="45"/>
      <c r="BK300" s="45"/>
      <c r="BT300" s="45"/>
      <c r="BU300" s="45"/>
      <c r="CK300" s="10"/>
      <c r="EF300" s="20"/>
      <c r="FD300" s="21"/>
      <c r="FE300" s="21"/>
      <c r="FN300" s="22"/>
      <c r="FO300" s="22"/>
      <c r="FZ300" s="23"/>
      <c r="GA300" s="23"/>
      <c r="JD300" s="26"/>
      <c r="JE300" s="26"/>
      <c r="JF300" s="27"/>
      <c r="JG300" s="27"/>
      <c r="KL300" s="28"/>
      <c r="KP300" s="28"/>
      <c r="KT300" s="28"/>
      <c r="KX300" s="28"/>
      <c r="LB300" s="28"/>
      <c r="LF300" s="28"/>
      <c r="LJ300" s="28"/>
    </row>
    <row r="301" spans="1:322" ht="13.2">
      <c r="A301" s="42"/>
      <c r="B301" s="42"/>
      <c r="C301" s="42"/>
      <c r="D301" s="52"/>
      <c r="E301" s="52"/>
      <c r="O301" s="43"/>
      <c r="AL301" s="44"/>
      <c r="AM301" s="44"/>
      <c r="AN301" s="44"/>
      <c r="AO301" s="44"/>
      <c r="AP301" s="44"/>
      <c r="AQ301" s="44"/>
      <c r="AR301" s="44"/>
      <c r="AS301" s="44"/>
      <c r="AT301" s="45"/>
      <c r="AY301" s="45"/>
      <c r="BH301" s="45"/>
      <c r="BK301" s="45"/>
      <c r="BT301" s="45"/>
      <c r="BU301" s="45"/>
      <c r="CK301" s="10"/>
      <c r="EF301" s="20"/>
      <c r="FD301" s="21"/>
      <c r="FE301" s="21"/>
      <c r="FN301" s="22"/>
      <c r="FO301" s="22"/>
      <c r="FZ301" s="23"/>
      <c r="GA301" s="23"/>
      <c r="JD301" s="26"/>
      <c r="JE301" s="26"/>
      <c r="JF301" s="27"/>
      <c r="JG301" s="27"/>
      <c r="KL301" s="28"/>
      <c r="KP301" s="28"/>
      <c r="KT301" s="28"/>
      <c r="KX301" s="28"/>
      <c r="LB301" s="28"/>
      <c r="LF301" s="28"/>
      <c r="LJ301" s="28"/>
    </row>
    <row r="302" spans="1:322" ht="13.2">
      <c r="A302" s="42"/>
      <c r="B302" s="42"/>
      <c r="C302" s="42"/>
      <c r="D302" s="52"/>
      <c r="E302" s="52"/>
      <c r="O302" s="43"/>
      <c r="AL302" s="44"/>
      <c r="AM302" s="44"/>
      <c r="AN302" s="44"/>
      <c r="AO302" s="44"/>
      <c r="AP302" s="44"/>
      <c r="AQ302" s="44"/>
      <c r="AR302" s="44"/>
      <c r="AS302" s="44"/>
      <c r="AT302" s="45"/>
      <c r="AY302" s="45"/>
      <c r="BH302" s="45"/>
      <c r="BK302" s="45"/>
      <c r="BT302" s="45"/>
      <c r="BU302" s="45"/>
      <c r="CK302" s="10"/>
      <c r="EF302" s="20"/>
      <c r="FD302" s="21"/>
      <c r="FE302" s="21"/>
      <c r="FN302" s="22"/>
      <c r="FO302" s="22"/>
      <c r="FZ302" s="23"/>
      <c r="GA302" s="23"/>
      <c r="JD302" s="26"/>
      <c r="JE302" s="26"/>
      <c r="JF302" s="27"/>
      <c r="JG302" s="27"/>
      <c r="KL302" s="28"/>
      <c r="KP302" s="28"/>
      <c r="KT302" s="28"/>
      <c r="KX302" s="28"/>
      <c r="LB302" s="28"/>
      <c r="LF302" s="28"/>
      <c r="LJ302" s="28"/>
    </row>
    <row r="303" spans="1:322" ht="13.2">
      <c r="A303" s="42"/>
      <c r="B303" s="42"/>
      <c r="C303" s="42"/>
      <c r="D303" s="52"/>
      <c r="E303" s="52"/>
      <c r="O303" s="43"/>
      <c r="AL303" s="44"/>
      <c r="AM303" s="44"/>
      <c r="AN303" s="44"/>
      <c r="AO303" s="44"/>
      <c r="AP303" s="44"/>
      <c r="AQ303" s="44"/>
      <c r="AR303" s="44"/>
      <c r="AS303" s="44"/>
      <c r="AT303" s="45"/>
      <c r="AY303" s="45"/>
      <c r="BH303" s="45"/>
      <c r="BK303" s="45"/>
      <c r="BT303" s="45"/>
      <c r="BU303" s="45"/>
      <c r="CK303" s="10"/>
      <c r="EF303" s="20"/>
      <c r="FD303" s="21"/>
      <c r="FE303" s="21"/>
      <c r="FN303" s="22"/>
      <c r="FO303" s="22"/>
      <c r="FZ303" s="23"/>
      <c r="GA303" s="23"/>
      <c r="JD303" s="26"/>
      <c r="JE303" s="26"/>
      <c r="JF303" s="27"/>
      <c r="JG303" s="27"/>
      <c r="KL303" s="28"/>
      <c r="KP303" s="28"/>
      <c r="KT303" s="28"/>
      <c r="KX303" s="28"/>
      <c r="LB303" s="28"/>
      <c r="LF303" s="28"/>
      <c r="LJ303" s="28"/>
    </row>
    <row r="304" spans="1:322" ht="13.2">
      <c r="A304" s="42"/>
      <c r="B304" s="42"/>
      <c r="C304" s="42"/>
      <c r="D304" s="52"/>
      <c r="E304" s="52"/>
      <c r="O304" s="43"/>
      <c r="AL304" s="44"/>
      <c r="AM304" s="44"/>
      <c r="AN304" s="44"/>
      <c r="AO304" s="44"/>
      <c r="AP304" s="44"/>
      <c r="AQ304" s="44"/>
      <c r="AR304" s="44"/>
      <c r="AS304" s="44"/>
      <c r="AT304" s="45"/>
      <c r="AY304" s="45"/>
      <c r="BH304" s="45"/>
      <c r="BK304" s="45"/>
      <c r="BT304" s="45"/>
      <c r="BU304" s="45"/>
      <c r="CK304" s="10"/>
      <c r="EF304" s="20"/>
      <c r="FD304" s="21"/>
      <c r="FE304" s="21"/>
      <c r="FN304" s="22"/>
      <c r="FO304" s="22"/>
      <c r="FZ304" s="23"/>
      <c r="GA304" s="23"/>
      <c r="JD304" s="26"/>
      <c r="JE304" s="26"/>
      <c r="JF304" s="27"/>
      <c r="JG304" s="27"/>
      <c r="KL304" s="28"/>
      <c r="KP304" s="28"/>
      <c r="KT304" s="28"/>
      <c r="KX304" s="28"/>
      <c r="LB304" s="28"/>
      <c r="LF304" s="28"/>
      <c r="LJ304" s="28"/>
    </row>
    <row r="305" spans="1:322" ht="13.2">
      <c r="A305" s="42"/>
      <c r="B305" s="42"/>
      <c r="C305" s="42"/>
      <c r="D305" s="52"/>
      <c r="E305" s="52"/>
      <c r="O305" s="43"/>
      <c r="AL305" s="44"/>
      <c r="AM305" s="44"/>
      <c r="AN305" s="44"/>
      <c r="AO305" s="44"/>
      <c r="AP305" s="44"/>
      <c r="AQ305" s="44"/>
      <c r="AR305" s="44"/>
      <c r="AS305" s="44"/>
      <c r="AT305" s="45"/>
      <c r="AY305" s="45"/>
      <c r="BH305" s="45"/>
      <c r="BK305" s="45"/>
      <c r="BT305" s="45"/>
      <c r="BU305" s="45"/>
      <c r="CK305" s="10"/>
      <c r="EF305" s="20"/>
      <c r="FD305" s="21"/>
      <c r="FE305" s="21"/>
      <c r="FN305" s="22"/>
      <c r="FO305" s="22"/>
      <c r="FZ305" s="23"/>
      <c r="GA305" s="23"/>
      <c r="JD305" s="26"/>
      <c r="JE305" s="26"/>
      <c r="JF305" s="27"/>
      <c r="JG305" s="27"/>
      <c r="KL305" s="28"/>
      <c r="KP305" s="28"/>
      <c r="KT305" s="28"/>
      <c r="KX305" s="28"/>
      <c r="LB305" s="28"/>
      <c r="LF305" s="28"/>
      <c r="LJ305" s="28"/>
    </row>
    <row r="306" spans="1:322" ht="13.2">
      <c r="A306" s="42"/>
      <c r="B306" s="42"/>
      <c r="C306" s="42"/>
      <c r="D306" s="52"/>
      <c r="E306" s="52"/>
      <c r="O306" s="43"/>
      <c r="AL306" s="44"/>
      <c r="AM306" s="44"/>
      <c r="AN306" s="44"/>
      <c r="AO306" s="44"/>
      <c r="AP306" s="44"/>
      <c r="AQ306" s="44"/>
      <c r="AR306" s="44"/>
      <c r="AS306" s="44"/>
      <c r="AT306" s="45"/>
      <c r="AY306" s="45"/>
      <c r="BH306" s="45"/>
      <c r="BK306" s="45"/>
      <c r="BT306" s="45"/>
      <c r="BU306" s="45"/>
      <c r="CK306" s="10"/>
      <c r="EF306" s="20"/>
      <c r="FD306" s="21"/>
      <c r="FE306" s="21"/>
      <c r="FN306" s="22"/>
      <c r="FO306" s="22"/>
      <c r="FZ306" s="23"/>
      <c r="GA306" s="23"/>
      <c r="JD306" s="26"/>
      <c r="JE306" s="26"/>
      <c r="JF306" s="27"/>
      <c r="JG306" s="27"/>
      <c r="KL306" s="28"/>
      <c r="KP306" s="28"/>
      <c r="KT306" s="28"/>
      <c r="KX306" s="28"/>
      <c r="LB306" s="28"/>
      <c r="LF306" s="28"/>
      <c r="LJ306" s="28"/>
    </row>
    <row r="307" spans="1:322" ht="13.2">
      <c r="A307" s="42"/>
      <c r="B307" s="42"/>
      <c r="C307" s="42"/>
      <c r="D307" s="52"/>
      <c r="E307" s="52"/>
      <c r="O307" s="43"/>
      <c r="AL307" s="44"/>
      <c r="AM307" s="44"/>
      <c r="AN307" s="44"/>
      <c r="AO307" s="44"/>
      <c r="AP307" s="44"/>
      <c r="AQ307" s="44"/>
      <c r="AR307" s="44"/>
      <c r="AS307" s="44"/>
      <c r="AT307" s="45"/>
      <c r="AY307" s="45"/>
      <c r="BH307" s="45"/>
      <c r="BK307" s="45"/>
      <c r="BT307" s="45"/>
      <c r="BU307" s="45"/>
      <c r="CK307" s="10"/>
      <c r="EF307" s="20"/>
      <c r="FD307" s="21"/>
      <c r="FE307" s="21"/>
      <c r="FN307" s="22"/>
      <c r="FO307" s="22"/>
      <c r="FZ307" s="23"/>
      <c r="GA307" s="23"/>
      <c r="JD307" s="26"/>
      <c r="JE307" s="26"/>
      <c r="JF307" s="27"/>
      <c r="JG307" s="27"/>
      <c r="KL307" s="28"/>
      <c r="KP307" s="28"/>
      <c r="KT307" s="28"/>
      <c r="KX307" s="28"/>
      <c r="LB307" s="28"/>
      <c r="LF307" s="28"/>
      <c r="LJ307" s="28"/>
    </row>
    <row r="308" spans="1:322" ht="13.2">
      <c r="A308" s="42"/>
      <c r="B308" s="42"/>
      <c r="C308" s="42"/>
      <c r="D308" s="52"/>
      <c r="E308" s="52"/>
      <c r="O308" s="43"/>
      <c r="AL308" s="44"/>
      <c r="AM308" s="44"/>
      <c r="AN308" s="44"/>
      <c r="AO308" s="44"/>
      <c r="AP308" s="44"/>
      <c r="AQ308" s="44"/>
      <c r="AR308" s="44"/>
      <c r="AS308" s="44"/>
      <c r="AT308" s="45"/>
      <c r="AY308" s="45"/>
      <c r="BH308" s="45"/>
      <c r="BK308" s="45"/>
      <c r="BT308" s="45"/>
      <c r="BU308" s="45"/>
      <c r="CK308" s="10"/>
      <c r="EF308" s="20"/>
      <c r="FD308" s="21"/>
      <c r="FE308" s="21"/>
      <c r="FN308" s="22"/>
      <c r="FO308" s="22"/>
      <c r="FZ308" s="23"/>
      <c r="GA308" s="23"/>
      <c r="JD308" s="26"/>
      <c r="JE308" s="26"/>
      <c r="JF308" s="27"/>
      <c r="JG308" s="27"/>
      <c r="KL308" s="28"/>
      <c r="KP308" s="28"/>
      <c r="KT308" s="28"/>
      <c r="KX308" s="28"/>
      <c r="LB308" s="28"/>
      <c r="LF308" s="28"/>
      <c r="LJ308" s="28"/>
    </row>
    <row r="309" spans="1:322" ht="13.2">
      <c r="A309" s="42"/>
      <c r="B309" s="42"/>
      <c r="C309" s="42"/>
      <c r="D309" s="52"/>
      <c r="E309" s="52"/>
      <c r="O309" s="43"/>
      <c r="AL309" s="44"/>
      <c r="AM309" s="44"/>
      <c r="AN309" s="44"/>
      <c r="AO309" s="44"/>
      <c r="AP309" s="44"/>
      <c r="AQ309" s="44"/>
      <c r="AR309" s="44"/>
      <c r="AS309" s="44"/>
      <c r="AT309" s="45"/>
      <c r="AY309" s="45"/>
      <c r="BH309" s="45"/>
      <c r="BK309" s="45"/>
      <c r="BT309" s="45"/>
      <c r="BU309" s="45"/>
      <c r="CK309" s="10"/>
      <c r="EF309" s="20"/>
      <c r="FD309" s="21"/>
      <c r="FE309" s="21"/>
      <c r="FN309" s="22"/>
      <c r="FO309" s="22"/>
      <c r="FZ309" s="23"/>
      <c r="GA309" s="23"/>
      <c r="JD309" s="26"/>
      <c r="JE309" s="26"/>
      <c r="JF309" s="27"/>
      <c r="JG309" s="27"/>
      <c r="KL309" s="28"/>
      <c r="KP309" s="28"/>
      <c r="KT309" s="28"/>
      <c r="KX309" s="28"/>
      <c r="LB309" s="28"/>
      <c r="LF309" s="28"/>
      <c r="LJ309" s="28"/>
    </row>
    <row r="310" spans="1:322" ht="13.2">
      <c r="A310" s="42"/>
      <c r="B310" s="42"/>
      <c r="C310" s="42"/>
      <c r="D310" s="52"/>
      <c r="E310" s="52"/>
      <c r="O310" s="43"/>
      <c r="AL310" s="44"/>
      <c r="AM310" s="44"/>
      <c r="AN310" s="44"/>
      <c r="AO310" s="44"/>
      <c r="AP310" s="44"/>
      <c r="AQ310" s="44"/>
      <c r="AR310" s="44"/>
      <c r="AS310" s="44"/>
      <c r="AT310" s="45"/>
      <c r="AY310" s="45"/>
      <c r="BH310" s="45"/>
      <c r="BK310" s="45"/>
      <c r="BT310" s="45"/>
      <c r="BU310" s="45"/>
      <c r="CK310" s="10"/>
      <c r="EF310" s="20"/>
      <c r="FD310" s="21"/>
      <c r="FE310" s="21"/>
      <c r="FN310" s="22"/>
      <c r="FO310" s="22"/>
      <c r="FZ310" s="23"/>
      <c r="GA310" s="23"/>
      <c r="JD310" s="26"/>
      <c r="JE310" s="26"/>
      <c r="JF310" s="27"/>
      <c r="JG310" s="27"/>
      <c r="KL310" s="28"/>
      <c r="KP310" s="28"/>
      <c r="KT310" s="28"/>
      <c r="KX310" s="28"/>
      <c r="LB310" s="28"/>
      <c r="LF310" s="28"/>
      <c r="LJ310" s="28"/>
    </row>
    <row r="311" spans="1:322" ht="13.2">
      <c r="A311" s="42"/>
      <c r="B311" s="42"/>
      <c r="C311" s="42"/>
      <c r="D311" s="52"/>
      <c r="E311" s="52"/>
      <c r="O311" s="43"/>
      <c r="AL311" s="44"/>
      <c r="AM311" s="44"/>
      <c r="AN311" s="44"/>
      <c r="AO311" s="44"/>
      <c r="AP311" s="44"/>
      <c r="AQ311" s="44"/>
      <c r="AR311" s="44"/>
      <c r="AS311" s="44"/>
      <c r="AT311" s="45"/>
      <c r="AY311" s="45"/>
      <c r="BH311" s="45"/>
      <c r="BK311" s="45"/>
      <c r="BT311" s="45"/>
      <c r="BU311" s="45"/>
      <c r="CK311" s="10"/>
      <c r="EF311" s="20"/>
      <c r="FD311" s="21"/>
      <c r="FE311" s="21"/>
      <c r="FN311" s="22"/>
      <c r="FO311" s="22"/>
      <c r="FZ311" s="23"/>
      <c r="GA311" s="23"/>
      <c r="JD311" s="26"/>
      <c r="JE311" s="26"/>
      <c r="JF311" s="27"/>
      <c r="JG311" s="27"/>
      <c r="KL311" s="28"/>
      <c r="KP311" s="28"/>
      <c r="KT311" s="28"/>
      <c r="KX311" s="28"/>
      <c r="LB311" s="28"/>
      <c r="LF311" s="28"/>
      <c r="LJ311" s="28"/>
    </row>
    <row r="312" spans="1:322" ht="13.2">
      <c r="A312" s="42"/>
      <c r="B312" s="42"/>
      <c r="C312" s="42"/>
      <c r="D312" s="52"/>
      <c r="E312" s="52"/>
      <c r="O312" s="43"/>
      <c r="AL312" s="44"/>
      <c r="AM312" s="44"/>
      <c r="AN312" s="44"/>
      <c r="AO312" s="44"/>
      <c r="AP312" s="44"/>
      <c r="AQ312" s="44"/>
      <c r="AR312" s="44"/>
      <c r="AS312" s="44"/>
      <c r="AT312" s="45"/>
      <c r="AY312" s="45"/>
      <c r="BH312" s="45"/>
      <c r="BK312" s="45"/>
      <c r="BT312" s="45"/>
      <c r="BU312" s="45"/>
      <c r="CK312" s="10"/>
      <c r="EF312" s="20"/>
      <c r="FD312" s="21"/>
      <c r="FE312" s="21"/>
      <c r="FN312" s="22"/>
      <c r="FO312" s="22"/>
      <c r="FZ312" s="23"/>
      <c r="GA312" s="23"/>
      <c r="JD312" s="26"/>
      <c r="JE312" s="26"/>
      <c r="JF312" s="27"/>
      <c r="JG312" s="27"/>
      <c r="KL312" s="28"/>
      <c r="KP312" s="28"/>
      <c r="KT312" s="28"/>
      <c r="KX312" s="28"/>
      <c r="LB312" s="28"/>
      <c r="LF312" s="28"/>
      <c r="LJ312" s="28"/>
    </row>
    <row r="313" spans="1:322" ht="13.2">
      <c r="A313" s="42"/>
      <c r="B313" s="42"/>
      <c r="C313" s="42"/>
      <c r="D313" s="52"/>
      <c r="E313" s="52"/>
      <c r="O313" s="43"/>
      <c r="AL313" s="44"/>
      <c r="AM313" s="44"/>
      <c r="AN313" s="44"/>
      <c r="AO313" s="44"/>
      <c r="AP313" s="44"/>
      <c r="AQ313" s="44"/>
      <c r="AR313" s="44"/>
      <c r="AS313" s="44"/>
      <c r="AT313" s="45"/>
      <c r="AY313" s="45"/>
      <c r="BH313" s="45"/>
      <c r="BK313" s="45"/>
      <c r="BT313" s="45"/>
      <c r="BU313" s="45"/>
      <c r="CK313" s="10"/>
      <c r="EF313" s="20"/>
      <c r="FD313" s="21"/>
      <c r="FE313" s="21"/>
      <c r="FN313" s="22"/>
      <c r="FO313" s="22"/>
      <c r="FZ313" s="23"/>
      <c r="GA313" s="23"/>
      <c r="JD313" s="26"/>
      <c r="JE313" s="26"/>
      <c r="JF313" s="27"/>
      <c r="JG313" s="27"/>
      <c r="KL313" s="28"/>
      <c r="KP313" s="28"/>
      <c r="KT313" s="28"/>
      <c r="KX313" s="28"/>
      <c r="LB313" s="28"/>
      <c r="LF313" s="28"/>
      <c r="LJ313" s="28"/>
    </row>
    <row r="314" spans="1:322" ht="13.2">
      <c r="A314" s="42"/>
      <c r="B314" s="42"/>
      <c r="C314" s="42"/>
      <c r="D314" s="52"/>
      <c r="E314" s="52"/>
      <c r="O314" s="43"/>
      <c r="AL314" s="44"/>
      <c r="AM314" s="44"/>
      <c r="AN314" s="44"/>
      <c r="AO314" s="44"/>
      <c r="AP314" s="44"/>
      <c r="AQ314" s="44"/>
      <c r="AR314" s="44"/>
      <c r="AS314" s="44"/>
      <c r="AT314" s="45"/>
      <c r="AY314" s="45"/>
      <c r="BH314" s="45"/>
      <c r="BK314" s="45"/>
      <c r="BT314" s="45"/>
      <c r="BU314" s="45"/>
      <c r="CK314" s="10"/>
      <c r="EF314" s="20"/>
      <c r="FD314" s="21"/>
      <c r="FE314" s="21"/>
      <c r="FN314" s="22"/>
      <c r="FO314" s="22"/>
      <c r="FZ314" s="23"/>
      <c r="GA314" s="23"/>
      <c r="JD314" s="26"/>
      <c r="JE314" s="26"/>
      <c r="JF314" s="27"/>
      <c r="JG314" s="27"/>
      <c r="KL314" s="28"/>
      <c r="KP314" s="28"/>
      <c r="KT314" s="28"/>
      <c r="KX314" s="28"/>
      <c r="LB314" s="28"/>
      <c r="LF314" s="28"/>
      <c r="LJ314" s="28"/>
    </row>
    <row r="315" spans="1:322" ht="13.2">
      <c r="A315" s="42"/>
      <c r="B315" s="42"/>
      <c r="C315" s="42"/>
      <c r="D315" s="52"/>
      <c r="E315" s="52"/>
      <c r="O315" s="43"/>
      <c r="AL315" s="44"/>
      <c r="AM315" s="44"/>
      <c r="AN315" s="44"/>
      <c r="AO315" s="44"/>
      <c r="AP315" s="44"/>
      <c r="AQ315" s="44"/>
      <c r="AR315" s="44"/>
      <c r="AS315" s="44"/>
      <c r="AT315" s="45"/>
      <c r="AY315" s="45"/>
      <c r="BH315" s="45"/>
      <c r="BK315" s="45"/>
      <c r="BT315" s="45"/>
      <c r="BU315" s="45"/>
      <c r="CK315" s="10"/>
      <c r="EF315" s="20"/>
      <c r="FD315" s="21"/>
      <c r="FE315" s="21"/>
      <c r="FN315" s="22"/>
      <c r="FO315" s="22"/>
      <c r="FZ315" s="23"/>
      <c r="GA315" s="23"/>
      <c r="JD315" s="26"/>
      <c r="JE315" s="26"/>
      <c r="JF315" s="27"/>
      <c r="JG315" s="27"/>
      <c r="KL315" s="28"/>
      <c r="KP315" s="28"/>
      <c r="KT315" s="28"/>
      <c r="KX315" s="28"/>
      <c r="LB315" s="28"/>
      <c r="LF315" s="28"/>
      <c r="LJ315" s="28"/>
    </row>
    <row r="316" spans="1:322" ht="13.2">
      <c r="A316" s="42"/>
      <c r="B316" s="42"/>
      <c r="C316" s="42"/>
      <c r="D316" s="52"/>
      <c r="E316" s="52"/>
      <c r="O316" s="43"/>
      <c r="AL316" s="44"/>
      <c r="AM316" s="44"/>
      <c r="AN316" s="44"/>
      <c r="AO316" s="44"/>
      <c r="AP316" s="44"/>
      <c r="AQ316" s="44"/>
      <c r="AR316" s="44"/>
      <c r="AS316" s="44"/>
      <c r="AT316" s="45"/>
      <c r="AY316" s="45"/>
      <c r="BH316" s="45"/>
      <c r="BK316" s="45"/>
      <c r="BT316" s="45"/>
      <c r="BU316" s="45"/>
      <c r="CK316" s="10"/>
      <c r="EF316" s="20"/>
      <c r="FD316" s="21"/>
      <c r="FE316" s="21"/>
      <c r="FN316" s="22"/>
      <c r="FO316" s="22"/>
      <c r="FZ316" s="23"/>
      <c r="GA316" s="23"/>
      <c r="JD316" s="26"/>
      <c r="JE316" s="26"/>
      <c r="JF316" s="27"/>
      <c r="JG316" s="27"/>
      <c r="KL316" s="28"/>
      <c r="KP316" s="28"/>
      <c r="KT316" s="28"/>
      <c r="KX316" s="28"/>
      <c r="LB316" s="28"/>
      <c r="LF316" s="28"/>
      <c r="LJ316" s="28"/>
    </row>
    <row r="317" spans="1:322" ht="13.2">
      <c r="A317" s="42"/>
      <c r="B317" s="42"/>
      <c r="C317" s="42"/>
      <c r="D317" s="52"/>
      <c r="E317" s="52"/>
      <c r="O317" s="43"/>
      <c r="AL317" s="44"/>
      <c r="AM317" s="44"/>
      <c r="AN317" s="44"/>
      <c r="AO317" s="44"/>
      <c r="AP317" s="44"/>
      <c r="AQ317" s="44"/>
      <c r="AR317" s="44"/>
      <c r="AS317" s="44"/>
      <c r="AT317" s="45"/>
      <c r="AY317" s="45"/>
      <c r="BH317" s="45"/>
      <c r="BK317" s="45"/>
      <c r="BT317" s="45"/>
      <c r="BU317" s="45"/>
      <c r="CK317" s="10"/>
      <c r="EF317" s="20"/>
      <c r="FD317" s="21"/>
      <c r="FE317" s="21"/>
      <c r="FN317" s="22"/>
      <c r="FO317" s="22"/>
      <c r="FZ317" s="23"/>
      <c r="GA317" s="23"/>
      <c r="JD317" s="26"/>
      <c r="JE317" s="26"/>
      <c r="JF317" s="27"/>
      <c r="JG317" s="27"/>
      <c r="KL317" s="28"/>
      <c r="KP317" s="28"/>
      <c r="KT317" s="28"/>
      <c r="KX317" s="28"/>
      <c r="LB317" s="28"/>
      <c r="LF317" s="28"/>
      <c r="LJ317" s="28"/>
    </row>
    <row r="318" spans="1:322" ht="13.2">
      <c r="A318" s="42"/>
      <c r="B318" s="42"/>
      <c r="C318" s="42"/>
      <c r="D318" s="52"/>
      <c r="E318" s="52"/>
      <c r="O318" s="43"/>
      <c r="AL318" s="44"/>
      <c r="AM318" s="44"/>
      <c r="AN318" s="44"/>
      <c r="AO318" s="44"/>
      <c r="AP318" s="44"/>
      <c r="AQ318" s="44"/>
      <c r="AR318" s="44"/>
      <c r="AS318" s="44"/>
      <c r="AT318" s="45"/>
      <c r="AY318" s="45"/>
      <c r="BH318" s="45"/>
      <c r="BK318" s="45"/>
      <c r="BT318" s="45"/>
      <c r="BU318" s="45"/>
      <c r="CK318" s="10"/>
      <c r="EF318" s="20"/>
      <c r="FD318" s="21"/>
      <c r="FE318" s="21"/>
      <c r="FN318" s="22"/>
      <c r="FO318" s="22"/>
      <c r="FZ318" s="23"/>
      <c r="GA318" s="23"/>
      <c r="JD318" s="26"/>
      <c r="JE318" s="26"/>
      <c r="JF318" s="27"/>
      <c r="JG318" s="27"/>
      <c r="KL318" s="28"/>
      <c r="KP318" s="28"/>
      <c r="KT318" s="28"/>
      <c r="KX318" s="28"/>
      <c r="LB318" s="28"/>
      <c r="LF318" s="28"/>
      <c r="LJ318" s="28"/>
    </row>
    <row r="319" spans="1:322" ht="13.2">
      <c r="A319" s="42"/>
      <c r="B319" s="42"/>
      <c r="C319" s="42"/>
      <c r="D319" s="52"/>
      <c r="E319" s="52"/>
      <c r="O319" s="43"/>
      <c r="AL319" s="44"/>
      <c r="AM319" s="44"/>
      <c r="AN319" s="44"/>
      <c r="AO319" s="44"/>
      <c r="AP319" s="44"/>
      <c r="AQ319" s="44"/>
      <c r="AR319" s="44"/>
      <c r="AS319" s="44"/>
      <c r="AT319" s="45"/>
      <c r="AY319" s="45"/>
      <c r="BH319" s="45"/>
      <c r="BK319" s="45"/>
      <c r="BT319" s="45"/>
      <c r="BU319" s="45"/>
      <c r="CK319" s="10"/>
      <c r="EF319" s="20"/>
      <c r="FD319" s="21"/>
      <c r="FE319" s="21"/>
      <c r="FN319" s="22"/>
      <c r="FO319" s="22"/>
      <c r="FZ319" s="23"/>
      <c r="GA319" s="23"/>
      <c r="JD319" s="26"/>
      <c r="JE319" s="26"/>
      <c r="JF319" s="27"/>
      <c r="JG319" s="27"/>
      <c r="KL319" s="28"/>
      <c r="KP319" s="28"/>
      <c r="KT319" s="28"/>
      <c r="KX319" s="28"/>
      <c r="LB319" s="28"/>
      <c r="LF319" s="28"/>
      <c r="LJ319" s="28"/>
    </row>
    <row r="320" spans="1:322" ht="13.2">
      <c r="A320" s="42"/>
      <c r="B320" s="42"/>
      <c r="C320" s="42"/>
      <c r="D320" s="52"/>
      <c r="E320" s="52"/>
      <c r="O320" s="43"/>
      <c r="AL320" s="44"/>
      <c r="AM320" s="44"/>
      <c r="AN320" s="44"/>
      <c r="AO320" s="44"/>
      <c r="AP320" s="44"/>
      <c r="AQ320" s="44"/>
      <c r="AR320" s="44"/>
      <c r="AS320" s="44"/>
      <c r="AT320" s="45"/>
      <c r="AY320" s="45"/>
      <c r="BH320" s="45"/>
      <c r="BK320" s="45"/>
      <c r="BT320" s="45"/>
      <c r="BU320" s="45"/>
      <c r="CK320" s="10"/>
      <c r="EF320" s="20"/>
      <c r="FD320" s="21"/>
      <c r="FE320" s="21"/>
      <c r="FN320" s="22"/>
      <c r="FO320" s="22"/>
      <c r="FZ320" s="23"/>
      <c r="GA320" s="23"/>
      <c r="JD320" s="26"/>
      <c r="JE320" s="26"/>
      <c r="JF320" s="27"/>
      <c r="JG320" s="27"/>
      <c r="KL320" s="28"/>
      <c r="KP320" s="28"/>
      <c r="KT320" s="28"/>
      <c r="KX320" s="28"/>
      <c r="LB320" s="28"/>
      <c r="LF320" s="28"/>
      <c r="LJ320" s="28"/>
    </row>
    <row r="321" spans="1:322" ht="13.2">
      <c r="A321" s="42"/>
      <c r="B321" s="42"/>
      <c r="C321" s="42"/>
      <c r="D321" s="52"/>
      <c r="E321" s="52"/>
      <c r="O321" s="43"/>
      <c r="AL321" s="44"/>
      <c r="AM321" s="44"/>
      <c r="AN321" s="44"/>
      <c r="AO321" s="44"/>
      <c r="AP321" s="44"/>
      <c r="AQ321" s="44"/>
      <c r="AR321" s="44"/>
      <c r="AS321" s="44"/>
      <c r="AT321" s="45"/>
      <c r="AY321" s="45"/>
      <c r="BH321" s="45"/>
      <c r="BK321" s="45"/>
      <c r="BT321" s="45"/>
      <c r="BU321" s="45"/>
      <c r="CK321" s="10"/>
      <c r="EF321" s="20"/>
      <c r="FD321" s="21"/>
      <c r="FE321" s="21"/>
      <c r="FN321" s="22"/>
      <c r="FO321" s="22"/>
      <c r="FZ321" s="23"/>
      <c r="GA321" s="23"/>
      <c r="JD321" s="26"/>
      <c r="JE321" s="26"/>
      <c r="JF321" s="27"/>
      <c r="JG321" s="27"/>
      <c r="KL321" s="28"/>
      <c r="KP321" s="28"/>
      <c r="KT321" s="28"/>
      <c r="KX321" s="28"/>
      <c r="LB321" s="28"/>
      <c r="LF321" s="28"/>
      <c r="LJ321" s="28"/>
    </row>
    <row r="322" spans="1:322" ht="13.2">
      <c r="A322" s="42"/>
      <c r="B322" s="42"/>
      <c r="C322" s="42"/>
      <c r="D322" s="52"/>
      <c r="E322" s="52"/>
      <c r="O322" s="43"/>
      <c r="AL322" s="44"/>
      <c r="AM322" s="44"/>
      <c r="AN322" s="44"/>
      <c r="AO322" s="44"/>
      <c r="AP322" s="44"/>
      <c r="AQ322" s="44"/>
      <c r="AR322" s="44"/>
      <c r="AS322" s="44"/>
      <c r="AT322" s="45"/>
      <c r="AY322" s="45"/>
      <c r="BH322" s="45"/>
      <c r="BK322" s="45"/>
      <c r="BT322" s="45"/>
      <c r="BU322" s="45"/>
      <c r="CK322" s="10"/>
      <c r="EF322" s="20"/>
      <c r="FD322" s="21"/>
      <c r="FE322" s="21"/>
      <c r="FN322" s="22"/>
      <c r="FO322" s="22"/>
      <c r="FZ322" s="23"/>
      <c r="GA322" s="23"/>
      <c r="JD322" s="26"/>
      <c r="JE322" s="26"/>
      <c r="JF322" s="27"/>
      <c r="JG322" s="27"/>
      <c r="KL322" s="28"/>
      <c r="KP322" s="28"/>
      <c r="KT322" s="28"/>
      <c r="KX322" s="28"/>
      <c r="LB322" s="28"/>
      <c r="LF322" s="28"/>
      <c r="LJ322" s="28"/>
    </row>
    <row r="323" spans="1:322" ht="13.2">
      <c r="A323" s="42"/>
      <c r="B323" s="42"/>
      <c r="C323" s="42"/>
      <c r="D323" s="52"/>
      <c r="E323" s="52"/>
      <c r="O323" s="43"/>
      <c r="AL323" s="44"/>
      <c r="AM323" s="44"/>
      <c r="AN323" s="44"/>
      <c r="AO323" s="44"/>
      <c r="AP323" s="44"/>
      <c r="AQ323" s="44"/>
      <c r="AR323" s="44"/>
      <c r="AS323" s="44"/>
      <c r="AT323" s="45"/>
      <c r="AY323" s="45"/>
      <c r="BH323" s="45"/>
      <c r="BK323" s="45"/>
      <c r="BT323" s="45"/>
      <c r="BU323" s="45"/>
      <c r="CK323" s="10"/>
      <c r="EF323" s="20"/>
      <c r="FD323" s="21"/>
      <c r="FE323" s="21"/>
      <c r="FN323" s="22"/>
      <c r="FO323" s="22"/>
      <c r="FZ323" s="23"/>
      <c r="GA323" s="23"/>
      <c r="JD323" s="26"/>
      <c r="JE323" s="26"/>
      <c r="JF323" s="27"/>
      <c r="JG323" s="27"/>
      <c r="KL323" s="28"/>
      <c r="KP323" s="28"/>
      <c r="KT323" s="28"/>
      <c r="KX323" s="28"/>
      <c r="LB323" s="28"/>
      <c r="LF323" s="28"/>
      <c r="LJ323" s="28"/>
    </row>
    <row r="324" spans="1:322" ht="13.2">
      <c r="A324" s="42"/>
      <c r="B324" s="42"/>
      <c r="C324" s="42"/>
      <c r="D324" s="52"/>
      <c r="E324" s="52"/>
      <c r="O324" s="43"/>
      <c r="AL324" s="44"/>
      <c r="AM324" s="44"/>
      <c r="AN324" s="44"/>
      <c r="AO324" s="44"/>
      <c r="AP324" s="44"/>
      <c r="AQ324" s="44"/>
      <c r="AR324" s="44"/>
      <c r="AS324" s="44"/>
      <c r="AT324" s="45"/>
      <c r="AY324" s="45"/>
      <c r="BH324" s="45"/>
      <c r="BK324" s="45"/>
      <c r="BT324" s="45"/>
      <c r="BU324" s="45"/>
      <c r="CK324" s="10"/>
      <c r="EF324" s="20"/>
      <c r="FD324" s="21"/>
      <c r="FE324" s="21"/>
      <c r="FN324" s="22"/>
      <c r="FO324" s="22"/>
      <c r="FZ324" s="23"/>
      <c r="GA324" s="23"/>
      <c r="JD324" s="26"/>
      <c r="JE324" s="26"/>
      <c r="JF324" s="27"/>
      <c r="JG324" s="27"/>
      <c r="KL324" s="28"/>
      <c r="KP324" s="28"/>
      <c r="KT324" s="28"/>
      <c r="KX324" s="28"/>
      <c r="LB324" s="28"/>
      <c r="LF324" s="28"/>
      <c r="LJ324" s="28"/>
    </row>
    <row r="325" spans="1:322" ht="13.2">
      <c r="A325" s="42"/>
      <c r="B325" s="42"/>
      <c r="C325" s="42"/>
      <c r="D325" s="52"/>
      <c r="E325" s="52"/>
      <c r="O325" s="43"/>
      <c r="AL325" s="44"/>
      <c r="AM325" s="44"/>
      <c r="AN325" s="44"/>
      <c r="AO325" s="44"/>
      <c r="AP325" s="44"/>
      <c r="AQ325" s="44"/>
      <c r="AR325" s="44"/>
      <c r="AS325" s="44"/>
      <c r="AT325" s="45"/>
      <c r="AY325" s="45"/>
      <c r="BH325" s="45"/>
      <c r="BK325" s="45"/>
      <c r="BT325" s="45"/>
      <c r="BU325" s="45"/>
      <c r="CK325" s="10"/>
      <c r="EF325" s="20"/>
      <c r="FD325" s="21"/>
      <c r="FE325" s="21"/>
      <c r="FN325" s="22"/>
      <c r="FO325" s="22"/>
      <c r="FZ325" s="23"/>
      <c r="GA325" s="23"/>
      <c r="JD325" s="26"/>
      <c r="JE325" s="26"/>
      <c r="JF325" s="27"/>
      <c r="JG325" s="27"/>
      <c r="KL325" s="28"/>
      <c r="KP325" s="28"/>
      <c r="KT325" s="28"/>
      <c r="KX325" s="28"/>
      <c r="LB325" s="28"/>
      <c r="LF325" s="28"/>
      <c r="LJ325" s="28"/>
    </row>
    <row r="326" spans="1:322" ht="13.2">
      <c r="A326" s="42"/>
      <c r="B326" s="42"/>
      <c r="C326" s="42"/>
      <c r="D326" s="52"/>
      <c r="E326" s="52"/>
      <c r="O326" s="43"/>
      <c r="AL326" s="44"/>
      <c r="AM326" s="44"/>
      <c r="AN326" s="44"/>
      <c r="AO326" s="44"/>
      <c r="AP326" s="44"/>
      <c r="AQ326" s="44"/>
      <c r="AR326" s="44"/>
      <c r="AS326" s="44"/>
      <c r="AT326" s="45"/>
      <c r="AY326" s="45"/>
      <c r="BH326" s="45"/>
      <c r="BK326" s="45"/>
      <c r="BT326" s="45"/>
      <c r="BU326" s="45"/>
      <c r="CK326" s="10"/>
      <c r="EF326" s="20"/>
      <c r="FD326" s="21"/>
      <c r="FE326" s="21"/>
      <c r="FN326" s="22"/>
      <c r="FO326" s="22"/>
      <c r="FZ326" s="23"/>
      <c r="GA326" s="23"/>
      <c r="JD326" s="26"/>
      <c r="JE326" s="26"/>
      <c r="JF326" s="27"/>
      <c r="JG326" s="27"/>
      <c r="KL326" s="28"/>
      <c r="KP326" s="28"/>
      <c r="KT326" s="28"/>
      <c r="KX326" s="28"/>
      <c r="LB326" s="28"/>
      <c r="LF326" s="28"/>
      <c r="LJ326" s="28"/>
    </row>
    <row r="327" spans="1:322" ht="13.2">
      <c r="A327" s="42"/>
      <c r="B327" s="42"/>
      <c r="C327" s="42"/>
      <c r="D327" s="52"/>
      <c r="E327" s="52"/>
      <c r="O327" s="43"/>
      <c r="AL327" s="44"/>
      <c r="AM327" s="44"/>
      <c r="AN327" s="44"/>
      <c r="AO327" s="44"/>
      <c r="AP327" s="44"/>
      <c r="AQ327" s="44"/>
      <c r="AR327" s="44"/>
      <c r="AS327" s="44"/>
      <c r="AT327" s="45"/>
      <c r="AY327" s="45"/>
      <c r="BH327" s="45"/>
      <c r="BK327" s="45"/>
      <c r="BT327" s="45"/>
      <c r="BU327" s="45"/>
      <c r="CK327" s="10"/>
      <c r="EF327" s="20"/>
      <c r="FD327" s="21"/>
      <c r="FE327" s="21"/>
      <c r="FN327" s="22"/>
      <c r="FO327" s="22"/>
      <c r="FZ327" s="23"/>
      <c r="GA327" s="23"/>
      <c r="JD327" s="26"/>
      <c r="JE327" s="26"/>
      <c r="JF327" s="27"/>
      <c r="JG327" s="27"/>
      <c r="KL327" s="28"/>
      <c r="KP327" s="28"/>
      <c r="KT327" s="28"/>
      <c r="KX327" s="28"/>
      <c r="LB327" s="28"/>
      <c r="LF327" s="28"/>
      <c r="LJ327" s="28"/>
    </row>
    <row r="328" spans="1:322" ht="13.2">
      <c r="A328" s="42"/>
      <c r="B328" s="42"/>
      <c r="C328" s="42"/>
      <c r="D328" s="52"/>
      <c r="E328" s="52"/>
      <c r="O328" s="43"/>
      <c r="AL328" s="44"/>
      <c r="AM328" s="44"/>
      <c r="AN328" s="44"/>
      <c r="AO328" s="44"/>
      <c r="AP328" s="44"/>
      <c r="AQ328" s="44"/>
      <c r="AR328" s="44"/>
      <c r="AS328" s="44"/>
      <c r="AT328" s="45"/>
      <c r="AY328" s="45"/>
      <c r="BH328" s="45"/>
      <c r="BK328" s="45"/>
      <c r="BT328" s="45"/>
      <c r="BU328" s="45"/>
      <c r="CK328" s="10"/>
      <c r="EF328" s="20"/>
      <c r="FD328" s="21"/>
      <c r="FE328" s="21"/>
      <c r="FN328" s="22"/>
      <c r="FO328" s="22"/>
      <c r="FZ328" s="23"/>
      <c r="GA328" s="23"/>
      <c r="JD328" s="26"/>
      <c r="JE328" s="26"/>
      <c r="JF328" s="27"/>
      <c r="JG328" s="27"/>
      <c r="KL328" s="28"/>
      <c r="KP328" s="28"/>
      <c r="KT328" s="28"/>
      <c r="KX328" s="28"/>
      <c r="LB328" s="28"/>
      <c r="LF328" s="28"/>
      <c r="LJ328" s="28"/>
    </row>
    <row r="329" spans="1:322" ht="13.2">
      <c r="A329" s="42"/>
      <c r="B329" s="42"/>
      <c r="C329" s="42"/>
      <c r="D329" s="52"/>
      <c r="E329" s="52"/>
      <c r="O329" s="43"/>
      <c r="AL329" s="44"/>
      <c r="AM329" s="44"/>
      <c r="AN329" s="44"/>
      <c r="AO329" s="44"/>
      <c r="AP329" s="44"/>
      <c r="AQ329" s="44"/>
      <c r="AR329" s="44"/>
      <c r="AS329" s="44"/>
      <c r="AT329" s="45"/>
      <c r="AY329" s="45"/>
      <c r="BH329" s="45"/>
      <c r="BK329" s="45"/>
      <c r="BT329" s="45"/>
      <c r="BU329" s="45"/>
      <c r="CK329" s="10"/>
      <c r="EF329" s="20"/>
      <c r="FD329" s="21"/>
      <c r="FE329" s="21"/>
      <c r="FN329" s="22"/>
      <c r="FO329" s="22"/>
      <c r="FZ329" s="23"/>
      <c r="GA329" s="23"/>
      <c r="JD329" s="26"/>
      <c r="JE329" s="26"/>
      <c r="JF329" s="27"/>
      <c r="JG329" s="27"/>
      <c r="KL329" s="28"/>
      <c r="KP329" s="28"/>
      <c r="KT329" s="28"/>
      <c r="KX329" s="28"/>
      <c r="LB329" s="28"/>
      <c r="LF329" s="28"/>
      <c r="LJ329" s="28"/>
    </row>
    <row r="330" spans="1:322" ht="13.2">
      <c r="A330" s="42"/>
      <c r="B330" s="42"/>
      <c r="C330" s="42"/>
      <c r="D330" s="52"/>
      <c r="E330" s="52"/>
      <c r="O330" s="43"/>
      <c r="AL330" s="44"/>
      <c r="AM330" s="44"/>
      <c r="AN330" s="44"/>
      <c r="AO330" s="44"/>
      <c r="AP330" s="44"/>
      <c r="AQ330" s="44"/>
      <c r="AR330" s="44"/>
      <c r="AS330" s="44"/>
      <c r="AT330" s="45"/>
      <c r="AY330" s="45"/>
      <c r="BH330" s="45"/>
      <c r="BK330" s="45"/>
      <c r="BT330" s="45"/>
      <c r="BU330" s="45"/>
      <c r="CK330" s="10"/>
      <c r="EF330" s="20"/>
      <c r="FD330" s="21"/>
      <c r="FE330" s="21"/>
      <c r="FN330" s="22"/>
      <c r="FO330" s="22"/>
      <c r="FZ330" s="23"/>
      <c r="GA330" s="23"/>
      <c r="JD330" s="26"/>
      <c r="JE330" s="26"/>
      <c r="JF330" s="27"/>
      <c r="JG330" s="27"/>
      <c r="KL330" s="28"/>
      <c r="KP330" s="28"/>
      <c r="KT330" s="28"/>
      <c r="KX330" s="28"/>
      <c r="LB330" s="28"/>
      <c r="LF330" s="28"/>
      <c r="LJ330" s="28"/>
    </row>
    <row r="331" spans="1:322" ht="13.2">
      <c r="A331" s="42"/>
      <c r="B331" s="42"/>
      <c r="C331" s="42"/>
      <c r="D331" s="52"/>
      <c r="E331" s="52"/>
      <c r="O331" s="43"/>
      <c r="AL331" s="44"/>
      <c r="AM331" s="44"/>
      <c r="AN331" s="44"/>
      <c r="AO331" s="44"/>
      <c r="AP331" s="44"/>
      <c r="AQ331" s="44"/>
      <c r="AR331" s="44"/>
      <c r="AS331" s="44"/>
      <c r="AT331" s="45"/>
      <c r="AY331" s="45"/>
      <c r="BH331" s="45"/>
      <c r="BK331" s="45"/>
      <c r="BT331" s="45"/>
      <c r="BU331" s="45"/>
      <c r="CK331" s="10"/>
      <c r="EF331" s="20"/>
      <c r="FD331" s="21"/>
      <c r="FE331" s="21"/>
      <c r="FN331" s="22"/>
      <c r="FO331" s="22"/>
      <c r="FZ331" s="23"/>
      <c r="GA331" s="23"/>
      <c r="JD331" s="26"/>
      <c r="JE331" s="26"/>
      <c r="JF331" s="27"/>
      <c r="JG331" s="27"/>
      <c r="KL331" s="28"/>
      <c r="KP331" s="28"/>
      <c r="KT331" s="28"/>
      <c r="KX331" s="28"/>
      <c r="LB331" s="28"/>
      <c r="LF331" s="28"/>
      <c r="LJ331" s="28"/>
    </row>
    <row r="332" spans="1:322" ht="13.2">
      <c r="A332" s="42"/>
      <c r="B332" s="42"/>
      <c r="C332" s="42"/>
      <c r="D332" s="52"/>
      <c r="E332" s="52"/>
      <c r="O332" s="43"/>
      <c r="AL332" s="44"/>
      <c r="AM332" s="44"/>
      <c r="AN332" s="44"/>
      <c r="AO332" s="44"/>
      <c r="AP332" s="44"/>
      <c r="AQ332" s="44"/>
      <c r="AR332" s="44"/>
      <c r="AS332" s="44"/>
      <c r="AT332" s="45"/>
      <c r="AY332" s="45"/>
      <c r="BH332" s="45"/>
      <c r="BK332" s="45"/>
      <c r="BT332" s="45"/>
      <c r="BU332" s="45"/>
      <c r="CK332" s="10"/>
      <c r="EF332" s="20"/>
      <c r="FD332" s="21"/>
      <c r="FE332" s="21"/>
      <c r="FN332" s="22"/>
      <c r="FO332" s="22"/>
      <c r="FZ332" s="23"/>
      <c r="GA332" s="23"/>
      <c r="JD332" s="26"/>
      <c r="JE332" s="26"/>
      <c r="JF332" s="27"/>
      <c r="JG332" s="27"/>
      <c r="KL332" s="28"/>
      <c r="KP332" s="28"/>
      <c r="KT332" s="28"/>
      <c r="KX332" s="28"/>
      <c r="LB332" s="28"/>
      <c r="LF332" s="28"/>
      <c r="LJ332" s="28"/>
    </row>
    <row r="333" spans="1:322" ht="13.2">
      <c r="A333" s="42"/>
      <c r="B333" s="42"/>
      <c r="C333" s="42"/>
      <c r="D333" s="52"/>
      <c r="E333" s="52"/>
      <c r="O333" s="43"/>
      <c r="AL333" s="44"/>
      <c r="AM333" s="44"/>
      <c r="AN333" s="44"/>
      <c r="AO333" s="44"/>
      <c r="AP333" s="44"/>
      <c r="AQ333" s="44"/>
      <c r="AR333" s="44"/>
      <c r="AS333" s="44"/>
      <c r="AT333" s="45"/>
      <c r="AY333" s="45"/>
      <c r="BH333" s="45"/>
      <c r="BK333" s="45"/>
      <c r="BT333" s="45"/>
      <c r="BU333" s="45"/>
      <c r="CK333" s="10"/>
      <c r="EF333" s="20"/>
      <c r="FD333" s="21"/>
      <c r="FE333" s="21"/>
      <c r="FN333" s="22"/>
      <c r="FO333" s="22"/>
      <c r="FZ333" s="23"/>
      <c r="GA333" s="23"/>
      <c r="JD333" s="26"/>
      <c r="JE333" s="26"/>
      <c r="JF333" s="27"/>
      <c r="JG333" s="27"/>
      <c r="KL333" s="28"/>
      <c r="KP333" s="28"/>
      <c r="KT333" s="28"/>
      <c r="KX333" s="28"/>
      <c r="LB333" s="28"/>
      <c r="LF333" s="28"/>
      <c r="LJ333" s="28"/>
    </row>
    <row r="334" spans="1:322" ht="13.2">
      <c r="A334" s="42"/>
      <c r="B334" s="42"/>
      <c r="C334" s="42"/>
      <c r="D334" s="52"/>
      <c r="E334" s="52"/>
      <c r="O334" s="43"/>
      <c r="AL334" s="44"/>
      <c r="AM334" s="44"/>
      <c r="AN334" s="44"/>
      <c r="AO334" s="44"/>
      <c r="AP334" s="44"/>
      <c r="AQ334" s="44"/>
      <c r="AR334" s="44"/>
      <c r="AS334" s="44"/>
      <c r="AT334" s="45"/>
      <c r="AY334" s="45"/>
      <c r="BH334" s="45"/>
      <c r="BK334" s="45"/>
      <c r="BT334" s="45"/>
      <c r="BU334" s="45"/>
      <c r="CK334" s="10"/>
      <c r="EF334" s="20"/>
      <c r="FD334" s="21"/>
      <c r="FE334" s="21"/>
      <c r="FN334" s="22"/>
      <c r="FO334" s="22"/>
      <c r="FZ334" s="23"/>
      <c r="GA334" s="23"/>
      <c r="JD334" s="26"/>
      <c r="JE334" s="26"/>
      <c r="JF334" s="27"/>
      <c r="JG334" s="27"/>
      <c r="KL334" s="28"/>
      <c r="KP334" s="28"/>
      <c r="KT334" s="28"/>
      <c r="KX334" s="28"/>
      <c r="LB334" s="28"/>
      <c r="LF334" s="28"/>
      <c r="LJ334" s="28"/>
    </row>
    <row r="335" spans="1:322" ht="13.2">
      <c r="A335" s="42"/>
      <c r="B335" s="42"/>
      <c r="C335" s="42"/>
      <c r="D335" s="52"/>
      <c r="E335" s="52"/>
      <c r="O335" s="43"/>
      <c r="AL335" s="44"/>
      <c r="AM335" s="44"/>
      <c r="AN335" s="44"/>
      <c r="AO335" s="44"/>
      <c r="AP335" s="44"/>
      <c r="AQ335" s="44"/>
      <c r="AR335" s="44"/>
      <c r="AS335" s="44"/>
      <c r="AT335" s="45"/>
      <c r="AY335" s="45"/>
      <c r="BH335" s="45"/>
      <c r="BK335" s="45"/>
      <c r="BT335" s="45"/>
      <c r="BU335" s="45"/>
      <c r="CK335" s="10"/>
      <c r="EF335" s="20"/>
      <c r="FD335" s="21"/>
      <c r="FE335" s="21"/>
      <c r="FN335" s="22"/>
      <c r="FO335" s="22"/>
      <c r="FZ335" s="23"/>
      <c r="GA335" s="23"/>
      <c r="JD335" s="26"/>
      <c r="JE335" s="26"/>
      <c r="JF335" s="27"/>
      <c r="JG335" s="27"/>
      <c r="KL335" s="28"/>
      <c r="KP335" s="28"/>
      <c r="KT335" s="28"/>
      <c r="KX335" s="28"/>
      <c r="LB335" s="28"/>
      <c r="LF335" s="28"/>
      <c r="LJ335" s="28"/>
    </row>
    <row r="336" spans="1:322" ht="13.2">
      <c r="A336" s="42"/>
      <c r="B336" s="42"/>
      <c r="C336" s="42"/>
      <c r="D336" s="52"/>
      <c r="E336" s="52"/>
      <c r="O336" s="43"/>
      <c r="AL336" s="44"/>
      <c r="AM336" s="44"/>
      <c r="AN336" s="44"/>
      <c r="AO336" s="44"/>
      <c r="AP336" s="44"/>
      <c r="AQ336" s="44"/>
      <c r="AR336" s="44"/>
      <c r="AS336" s="44"/>
      <c r="AT336" s="45"/>
      <c r="AY336" s="45"/>
      <c r="BH336" s="45"/>
      <c r="BK336" s="45"/>
      <c r="BT336" s="45"/>
      <c r="BU336" s="45"/>
      <c r="CK336" s="10"/>
      <c r="EF336" s="20"/>
      <c r="FD336" s="21"/>
      <c r="FE336" s="21"/>
      <c r="FN336" s="22"/>
      <c r="FO336" s="22"/>
      <c r="FZ336" s="23"/>
      <c r="GA336" s="23"/>
      <c r="JD336" s="26"/>
      <c r="JE336" s="26"/>
      <c r="JF336" s="27"/>
      <c r="JG336" s="27"/>
      <c r="KL336" s="28"/>
      <c r="KP336" s="28"/>
      <c r="KT336" s="28"/>
      <c r="KX336" s="28"/>
      <c r="LB336" s="28"/>
      <c r="LF336" s="28"/>
      <c r="LJ336" s="28"/>
    </row>
    <row r="337" spans="1:322" ht="13.2">
      <c r="A337" s="42"/>
      <c r="B337" s="42"/>
      <c r="C337" s="42"/>
      <c r="D337" s="52"/>
      <c r="E337" s="52"/>
      <c r="O337" s="43"/>
      <c r="AL337" s="44"/>
      <c r="AM337" s="44"/>
      <c r="AN337" s="44"/>
      <c r="AO337" s="44"/>
      <c r="AP337" s="44"/>
      <c r="AQ337" s="44"/>
      <c r="AR337" s="44"/>
      <c r="AS337" s="44"/>
      <c r="AT337" s="45"/>
      <c r="AY337" s="45"/>
      <c r="BH337" s="45"/>
      <c r="BK337" s="45"/>
      <c r="BT337" s="45"/>
      <c r="BU337" s="45"/>
      <c r="CK337" s="10"/>
      <c r="EF337" s="20"/>
      <c r="FD337" s="21"/>
      <c r="FE337" s="21"/>
      <c r="FN337" s="22"/>
      <c r="FO337" s="22"/>
      <c r="FZ337" s="23"/>
      <c r="GA337" s="23"/>
      <c r="JD337" s="26"/>
      <c r="JE337" s="26"/>
      <c r="JF337" s="27"/>
      <c r="JG337" s="27"/>
      <c r="KL337" s="28"/>
      <c r="KP337" s="28"/>
      <c r="KT337" s="28"/>
      <c r="KX337" s="28"/>
      <c r="LB337" s="28"/>
      <c r="LF337" s="28"/>
      <c r="LJ337" s="28"/>
    </row>
    <row r="338" spans="1:322" ht="13.2">
      <c r="A338" s="42"/>
      <c r="B338" s="42"/>
      <c r="C338" s="42"/>
      <c r="D338" s="52"/>
      <c r="E338" s="52"/>
      <c r="O338" s="43"/>
      <c r="AL338" s="44"/>
      <c r="AM338" s="44"/>
      <c r="AN338" s="44"/>
      <c r="AO338" s="44"/>
      <c r="AP338" s="44"/>
      <c r="AQ338" s="44"/>
      <c r="AR338" s="44"/>
      <c r="AS338" s="44"/>
      <c r="AT338" s="45"/>
      <c r="AY338" s="45"/>
      <c r="BH338" s="45"/>
      <c r="BK338" s="45"/>
      <c r="BT338" s="45"/>
      <c r="BU338" s="45"/>
      <c r="CK338" s="10"/>
      <c r="EF338" s="20"/>
      <c r="FD338" s="21"/>
      <c r="FE338" s="21"/>
      <c r="FN338" s="22"/>
      <c r="FO338" s="22"/>
      <c r="FZ338" s="23"/>
      <c r="GA338" s="23"/>
      <c r="JD338" s="26"/>
      <c r="JE338" s="26"/>
      <c r="JF338" s="27"/>
      <c r="JG338" s="27"/>
      <c r="KL338" s="28"/>
      <c r="KP338" s="28"/>
      <c r="KT338" s="28"/>
      <c r="KX338" s="28"/>
      <c r="LB338" s="28"/>
      <c r="LF338" s="28"/>
      <c r="LJ338" s="28"/>
    </row>
    <row r="339" spans="1:322" ht="13.2">
      <c r="A339" s="42"/>
      <c r="B339" s="42"/>
      <c r="C339" s="42"/>
      <c r="D339" s="52"/>
      <c r="E339" s="52"/>
      <c r="O339" s="43"/>
      <c r="AL339" s="44"/>
      <c r="AM339" s="44"/>
      <c r="AN339" s="44"/>
      <c r="AO339" s="44"/>
      <c r="AP339" s="44"/>
      <c r="AQ339" s="44"/>
      <c r="AR339" s="44"/>
      <c r="AS339" s="44"/>
      <c r="AT339" s="45"/>
      <c r="AY339" s="45"/>
      <c r="BH339" s="45"/>
      <c r="BK339" s="45"/>
      <c r="BT339" s="45"/>
      <c r="BU339" s="45"/>
      <c r="CK339" s="10"/>
      <c r="EF339" s="20"/>
      <c r="FD339" s="21"/>
      <c r="FE339" s="21"/>
      <c r="FN339" s="22"/>
      <c r="FO339" s="22"/>
      <c r="FZ339" s="23"/>
      <c r="GA339" s="23"/>
      <c r="JD339" s="26"/>
      <c r="JE339" s="26"/>
      <c r="JF339" s="27"/>
      <c r="JG339" s="27"/>
      <c r="KL339" s="28"/>
      <c r="KP339" s="28"/>
      <c r="KT339" s="28"/>
      <c r="KX339" s="28"/>
      <c r="LB339" s="28"/>
      <c r="LF339" s="28"/>
      <c r="LJ339" s="28"/>
    </row>
    <row r="340" spans="1:322" ht="13.2">
      <c r="A340" s="42"/>
      <c r="B340" s="42"/>
      <c r="C340" s="42"/>
      <c r="D340" s="52"/>
      <c r="E340" s="52"/>
      <c r="O340" s="43"/>
      <c r="AL340" s="44"/>
      <c r="AM340" s="44"/>
      <c r="AN340" s="44"/>
      <c r="AO340" s="44"/>
      <c r="AP340" s="44"/>
      <c r="AQ340" s="44"/>
      <c r="AR340" s="44"/>
      <c r="AS340" s="44"/>
      <c r="AT340" s="45"/>
      <c r="AY340" s="45"/>
      <c r="BH340" s="45"/>
      <c r="BK340" s="45"/>
      <c r="BT340" s="45"/>
      <c r="BU340" s="45"/>
      <c r="CK340" s="10"/>
      <c r="EF340" s="20"/>
      <c r="FD340" s="21"/>
      <c r="FE340" s="21"/>
      <c r="FN340" s="22"/>
      <c r="FO340" s="22"/>
      <c r="FZ340" s="23"/>
      <c r="GA340" s="23"/>
      <c r="JD340" s="26"/>
      <c r="JE340" s="26"/>
      <c r="JF340" s="27"/>
      <c r="JG340" s="27"/>
      <c r="KL340" s="28"/>
      <c r="KP340" s="28"/>
      <c r="KT340" s="28"/>
      <c r="KX340" s="28"/>
      <c r="LB340" s="28"/>
      <c r="LF340" s="28"/>
      <c r="LJ340" s="28"/>
    </row>
    <row r="341" spans="1:322" ht="13.2">
      <c r="A341" s="42"/>
      <c r="B341" s="42"/>
      <c r="C341" s="42"/>
      <c r="D341" s="52"/>
      <c r="E341" s="52"/>
      <c r="O341" s="43"/>
      <c r="AL341" s="44"/>
      <c r="AM341" s="44"/>
      <c r="AN341" s="44"/>
      <c r="AO341" s="44"/>
      <c r="AP341" s="44"/>
      <c r="AQ341" s="44"/>
      <c r="AR341" s="44"/>
      <c r="AS341" s="44"/>
      <c r="AT341" s="45"/>
      <c r="AY341" s="45"/>
      <c r="BH341" s="45"/>
      <c r="BK341" s="45"/>
      <c r="BT341" s="45"/>
      <c r="BU341" s="45"/>
      <c r="CK341" s="10"/>
      <c r="EF341" s="20"/>
      <c r="FD341" s="21"/>
      <c r="FE341" s="21"/>
      <c r="FN341" s="22"/>
      <c r="FO341" s="22"/>
      <c r="FZ341" s="23"/>
      <c r="GA341" s="23"/>
      <c r="JD341" s="26"/>
      <c r="JE341" s="26"/>
      <c r="JF341" s="27"/>
      <c r="JG341" s="27"/>
      <c r="KL341" s="28"/>
      <c r="KP341" s="28"/>
      <c r="KT341" s="28"/>
      <c r="KX341" s="28"/>
      <c r="LB341" s="28"/>
      <c r="LF341" s="28"/>
      <c r="LJ341" s="28"/>
    </row>
    <row r="342" spans="1:322" ht="13.2">
      <c r="A342" s="42"/>
      <c r="B342" s="42"/>
      <c r="C342" s="42"/>
      <c r="D342" s="52"/>
      <c r="E342" s="52"/>
      <c r="O342" s="43"/>
      <c r="AL342" s="44"/>
      <c r="AM342" s="44"/>
      <c r="AN342" s="44"/>
      <c r="AO342" s="44"/>
      <c r="AP342" s="44"/>
      <c r="AQ342" s="44"/>
      <c r="AR342" s="44"/>
      <c r="AS342" s="44"/>
      <c r="AT342" s="45"/>
      <c r="AY342" s="45"/>
      <c r="BH342" s="45"/>
      <c r="BK342" s="45"/>
      <c r="BT342" s="45"/>
      <c r="BU342" s="45"/>
      <c r="CK342" s="10"/>
      <c r="EF342" s="20"/>
      <c r="FD342" s="21"/>
      <c r="FE342" s="21"/>
      <c r="FN342" s="22"/>
      <c r="FO342" s="22"/>
      <c r="FZ342" s="23"/>
      <c r="GA342" s="23"/>
      <c r="JD342" s="26"/>
      <c r="JE342" s="26"/>
      <c r="JF342" s="27"/>
      <c r="JG342" s="27"/>
      <c r="KL342" s="28"/>
      <c r="KP342" s="28"/>
      <c r="KT342" s="28"/>
      <c r="KX342" s="28"/>
      <c r="LB342" s="28"/>
      <c r="LF342" s="28"/>
      <c r="LJ342" s="28"/>
    </row>
    <row r="343" spans="1:322" ht="13.2">
      <c r="A343" s="42"/>
      <c r="B343" s="42"/>
      <c r="C343" s="42"/>
      <c r="D343" s="52"/>
      <c r="E343" s="52"/>
      <c r="O343" s="43"/>
      <c r="AL343" s="44"/>
      <c r="AM343" s="44"/>
      <c r="AN343" s="44"/>
      <c r="AO343" s="44"/>
      <c r="AP343" s="44"/>
      <c r="AQ343" s="44"/>
      <c r="AR343" s="44"/>
      <c r="AS343" s="44"/>
      <c r="AT343" s="45"/>
      <c r="AY343" s="45"/>
      <c r="BH343" s="45"/>
      <c r="BK343" s="45"/>
      <c r="BT343" s="45"/>
      <c r="BU343" s="45"/>
      <c r="CK343" s="10"/>
      <c r="EF343" s="20"/>
      <c r="FD343" s="21"/>
      <c r="FE343" s="21"/>
      <c r="FN343" s="22"/>
      <c r="FO343" s="22"/>
      <c r="FZ343" s="23"/>
      <c r="GA343" s="23"/>
      <c r="JD343" s="26"/>
      <c r="JE343" s="26"/>
      <c r="JF343" s="27"/>
      <c r="JG343" s="27"/>
      <c r="KL343" s="28"/>
      <c r="KP343" s="28"/>
      <c r="KT343" s="28"/>
      <c r="KX343" s="28"/>
      <c r="LB343" s="28"/>
      <c r="LF343" s="28"/>
      <c r="LJ343" s="28"/>
    </row>
    <row r="344" spans="1:322" ht="13.2">
      <c r="A344" s="42"/>
      <c r="B344" s="42"/>
      <c r="C344" s="42"/>
      <c r="D344" s="52"/>
      <c r="E344" s="52"/>
      <c r="O344" s="43"/>
      <c r="AL344" s="44"/>
      <c r="AM344" s="44"/>
      <c r="AN344" s="44"/>
      <c r="AO344" s="44"/>
      <c r="AP344" s="44"/>
      <c r="AQ344" s="44"/>
      <c r="AR344" s="44"/>
      <c r="AS344" s="44"/>
      <c r="AT344" s="45"/>
      <c r="AY344" s="45"/>
      <c r="BH344" s="45"/>
      <c r="BK344" s="45"/>
      <c r="BT344" s="45"/>
      <c r="BU344" s="45"/>
      <c r="CK344" s="10"/>
      <c r="EF344" s="20"/>
      <c r="FD344" s="21"/>
      <c r="FE344" s="21"/>
      <c r="FN344" s="22"/>
      <c r="FO344" s="22"/>
      <c r="FZ344" s="23"/>
      <c r="GA344" s="23"/>
      <c r="JD344" s="26"/>
      <c r="JE344" s="26"/>
      <c r="JF344" s="27"/>
      <c r="JG344" s="27"/>
      <c r="KL344" s="28"/>
      <c r="KP344" s="28"/>
      <c r="KT344" s="28"/>
      <c r="KX344" s="28"/>
      <c r="LB344" s="28"/>
      <c r="LF344" s="28"/>
      <c r="LJ344" s="28"/>
    </row>
    <row r="345" spans="1:322" ht="13.2">
      <c r="A345" s="42"/>
      <c r="B345" s="42"/>
      <c r="C345" s="42"/>
      <c r="D345" s="52"/>
      <c r="E345" s="52"/>
      <c r="O345" s="43"/>
      <c r="AL345" s="44"/>
      <c r="AM345" s="44"/>
      <c r="AN345" s="44"/>
      <c r="AO345" s="44"/>
      <c r="AP345" s="44"/>
      <c r="AQ345" s="44"/>
      <c r="AR345" s="44"/>
      <c r="AS345" s="44"/>
      <c r="AT345" s="45"/>
      <c r="AY345" s="45"/>
      <c r="BH345" s="45"/>
      <c r="BK345" s="45"/>
      <c r="BT345" s="45"/>
      <c r="BU345" s="45"/>
      <c r="CK345" s="10"/>
      <c r="EF345" s="20"/>
      <c r="FD345" s="21"/>
      <c r="FE345" s="21"/>
      <c r="FN345" s="22"/>
      <c r="FO345" s="22"/>
      <c r="FZ345" s="23"/>
      <c r="GA345" s="23"/>
      <c r="JD345" s="26"/>
      <c r="JE345" s="26"/>
      <c r="JF345" s="27"/>
      <c r="JG345" s="27"/>
      <c r="KL345" s="28"/>
      <c r="KP345" s="28"/>
      <c r="KT345" s="28"/>
      <c r="KX345" s="28"/>
      <c r="LB345" s="28"/>
      <c r="LF345" s="28"/>
      <c r="LJ345" s="28"/>
    </row>
    <row r="346" spans="1:322" ht="13.2">
      <c r="A346" s="42"/>
      <c r="B346" s="42"/>
      <c r="C346" s="42"/>
      <c r="D346" s="52"/>
      <c r="E346" s="52"/>
      <c r="O346" s="43"/>
      <c r="AL346" s="44"/>
      <c r="AM346" s="44"/>
      <c r="AN346" s="44"/>
      <c r="AO346" s="44"/>
      <c r="AP346" s="44"/>
      <c r="AQ346" s="44"/>
      <c r="AR346" s="44"/>
      <c r="AS346" s="44"/>
      <c r="AT346" s="45"/>
      <c r="AY346" s="45"/>
      <c r="BH346" s="45"/>
      <c r="BK346" s="45"/>
      <c r="BT346" s="45"/>
      <c r="BU346" s="45"/>
      <c r="CK346" s="10"/>
      <c r="EF346" s="20"/>
      <c r="FD346" s="21"/>
      <c r="FE346" s="21"/>
      <c r="FN346" s="22"/>
      <c r="FO346" s="22"/>
      <c r="FZ346" s="23"/>
      <c r="GA346" s="23"/>
      <c r="JD346" s="26"/>
      <c r="JE346" s="26"/>
      <c r="JF346" s="27"/>
      <c r="JG346" s="27"/>
      <c r="KL346" s="28"/>
      <c r="KP346" s="28"/>
      <c r="KT346" s="28"/>
      <c r="KX346" s="28"/>
      <c r="LB346" s="28"/>
      <c r="LF346" s="28"/>
      <c r="LJ346" s="28"/>
    </row>
    <row r="347" spans="1:322" ht="13.2">
      <c r="A347" s="42"/>
      <c r="B347" s="42"/>
      <c r="C347" s="42"/>
      <c r="D347" s="52"/>
      <c r="E347" s="52"/>
      <c r="O347" s="43"/>
      <c r="AL347" s="44"/>
      <c r="AM347" s="44"/>
      <c r="AN347" s="44"/>
      <c r="AO347" s="44"/>
      <c r="AP347" s="44"/>
      <c r="AQ347" s="44"/>
      <c r="AR347" s="44"/>
      <c r="AS347" s="44"/>
      <c r="AT347" s="45"/>
      <c r="AY347" s="45"/>
      <c r="BH347" s="45"/>
      <c r="BK347" s="45"/>
      <c r="BT347" s="45"/>
      <c r="BU347" s="45"/>
      <c r="CK347" s="10"/>
      <c r="EF347" s="20"/>
      <c r="FD347" s="21"/>
      <c r="FE347" s="21"/>
      <c r="FN347" s="22"/>
      <c r="FO347" s="22"/>
      <c r="FZ347" s="23"/>
      <c r="GA347" s="23"/>
      <c r="JD347" s="26"/>
      <c r="JE347" s="26"/>
      <c r="JF347" s="27"/>
      <c r="JG347" s="27"/>
      <c r="KL347" s="28"/>
      <c r="KP347" s="28"/>
      <c r="KT347" s="28"/>
      <c r="KX347" s="28"/>
      <c r="LB347" s="28"/>
      <c r="LF347" s="28"/>
      <c r="LJ347" s="28"/>
    </row>
    <row r="348" spans="1:322" ht="13.2">
      <c r="A348" s="42"/>
      <c r="B348" s="42"/>
      <c r="C348" s="42"/>
      <c r="D348" s="52"/>
      <c r="E348" s="52"/>
      <c r="O348" s="43"/>
      <c r="AL348" s="44"/>
      <c r="AM348" s="44"/>
      <c r="AN348" s="44"/>
      <c r="AO348" s="44"/>
      <c r="AP348" s="44"/>
      <c r="AQ348" s="44"/>
      <c r="AR348" s="44"/>
      <c r="AS348" s="44"/>
      <c r="AT348" s="45"/>
      <c r="AY348" s="45"/>
      <c r="BH348" s="45"/>
      <c r="BK348" s="45"/>
      <c r="BT348" s="45"/>
      <c r="BU348" s="45"/>
      <c r="CK348" s="10"/>
      <c r="EF348" s="20"/>
      <c r="FD348" s="21"/>
      <c r="FE348" s="21"/>
      <c r="FN348" s="22"/>
      <c r="FO348" s="22"/>
      <c r="FZ348" s="23"/>
      <c r="GA348" s="23"/>
      <c r="JD348" s="26"/>
      <c r="JE348" s="26"/>
      <c r="JF348" s="27"/>
      <c r="JG348" s="27"/>
      <c r="KL348" s="28"/>
      <c r="KP348" s="28"/>
      <c r="KT348" s="28"/>
      <c r="KX348" s="28"/>
      <c r="LB348" s="28"/>
      <c r="LF348" s="28"/>
      <c r="LJ348" s="28"/>
    </row>
    <row r="349" spans="1:322" ht="13.2">
      <c r="A349" s="42"/>
      <c r="B349" s="42"/>
      <c r="C349" s="42"/>
      <c r="D349" s="52"/>
      <c r="E349" s="52"/>
      <c r="O349" s="43"/>
      <c r="AL349" s="44"/>
      <c r="AM349" s="44"/>
      <c r="AN349" s="44"/>
      <c r="AO349" s="44"/>
      <c r="AP349" s="44"/>
      <c r="AQ349" s="44"/>
      <c r="AR349" s="44"/>
      <c r="AS349" s="44"/>
      <c r="AT349" s="45"/>
      <c r="AY349" s="45"/>
      <c r="BH349" s="45"/>
      <c r="BK349" s="45"/>
      <c r="BT349" s="45"/>
      <c r="BU349" s="45"/>
      <c r="CK349" s="10"/>
      <c r="EF349" s="20"/>
      <c r="FD349" s="21"/>
      <c r="FE349" s="21"/>
      <c r="FN349" s="22"/>
      <c r="FO349" s="22"/>
      <c r="FZ349" s="23"/>
      <c r="GA349" s="23"/>
      <c r="JD349" s="26"/>
      <c r="JE349" s="26"/>
      <c r="JF349" s="27"/>
      <c r="JG349" s="27"/>
      <c r="KL349" s="28"/>
      <c r="KP349" s="28"/>
      <c r="KT349" s="28"/>
      <c r="KX349" s="28"/>
      <c r="LB349" s="28"/>
      <c r="LF349" s="28"/>
      <c r="LJ349" s="28"/>
    </row>
    <row r="350" spans="1:322" ht="13.2">
      <c r="A350" s="42"/>
      <c r="B350" s="42"/>
      <c r="C350" s="42"/>
      <c r="D350" s="52"/>
      <c r="E350" s="52"/>
      <c r="O350" s="43"/>
      <c r="AL350" s="44"/>
      <c r="AM350" s="44"/>
      <c r="AN350" s="44"/>
      <c r="AO350" s="44"/>
      <c r="AP350" s="44"/>
      <c r="AQ350" s="44"/>
      <c r="AR350" s="44"/>
      <c r="AS350" s="44"/>
      <c r="AT350" s="45"/>
      <c r="AY350" s="45"/>
      <c r="BH350" s="45"/>
      <c r="BK350" s="45"/>
      <c r="BT350" s="45"/>
      <c r="BU350" s="45"/>
      <c r="CK350" s="10"/>
      <c r="EF350" s="20"/>
      <c r="FD350" s="21"/>
      <c r="FE350" s="21"/>
      <c r="FN350" s="22"/>
      <c r="FO350" s="22"/>
      <c r="FZ350" s="23"/>
      <c r="GA350" s="23"/>
      <c r="JD350" s="26"/>
      <c r="JE350" s="26"/>
      <c r="JF350" s="27"/>
      <c r="JG350" s="27"/>
      <c r="KL350" s="28"/>
      <c r="KP350" s="28"/>
      <c r="KT350" s="28"/>
      <c r="KX350" s="28"/>
      <c r="LB350" s="28"/>
      <c r="LF350" s="28"/>
      <c r="LJ350" s="28"/>
    </row>
    <row r="351" spans="1:322" ht="13.2">
      <c r="A351" s="42"/>
      <c r="B351" s="42"/>
      <c r="C351" s="42"/>
      <c r="D351" s="52"/>
      <c r="E351" s="52"/>
      <c r="O351" s="43"/>
      <c r="AL351" s="44"/>
      <c r="AM351" s="44"/>
      <c r="AN351" s="44"/>
      <c r="AO351" s="44"/>
      <c r="AP351" s="44"/>
      <c r="AQ351" s="44"/>
      <c r="AR351" s="44"/>
      <c r="AS351" s="44"/>
      <c r="AT351" s="45"/>
      <c r="AY351" s="45"/>
      <c r="BH351" s="45"/>
      <c r="BK351" s="45"/>
      <c r="BT351" s="45"/>
      <c r="BU351" s="45"/>
      <c r="CK351" s="10"/>
      <c r="EF351" s="20"/>
      <c r="FD351" s="21"/>
      <c r="FE351" s="21"/>
      <c r="FN351" s="22"/>
      <c r="FO351" s="22"/>
      <c r="FZ351" s="23"/>
      <c r="GA351" s="23"/>
      <c r="JD351" s="26"/>
      <c r="JE351" s="26"/>
      <c r="JF351" s="27"/>
      <c r="JG351" s="27"/>
      <c r="KL351" s="28"/>
      <c r="KP351" s="28"/>
      <c r="KT351" s="28"/>
      <c r="KX351" s="28"/>
      <c r="LB351" s="28"/>
      <c r="LF351" s="28"/>
      <c r="LJ351" s="28"/>
    </row>
    <row r="352" spans="1:322" ht="13.2">
      <c r="A352" s="42"/>
      <c r="B352" s="42"/>
      <c r="C352" s="42"/>
      <c r="D352" s="52"/>
      <c r="E352" s="52"/>
      <c r="O352" s="43"/>
      <c r="AL352" s="44"/>
      <c r="AM352" s="44"/>
      <c r="AN352" s="44"/>
      <c r="AO352" s="44"/>
      <c r="AP352" s="44"/>
      <c r="AQ352" s="44"/>
      <c r="AR352" s="44"/>
      <c r="AS352" s="44"/>
      <c r="AT352" s="45"/>
      <c r="AY352" s="45"/>
      <c r="BH352" s="45"/>
      <c r="BK352" s="45"/>
      <c r="BT352" s="45"/>
      <c r="BU352" s="45"/>
      <c r="CK352" s="10"/>
      <c r="EF352" s="20"/>
      <c r="FD352" s="21"/>
      <c r="FE352" s="21"/>
      <c r="FN352" s="22"/>
      <c r="FO352" s="22"/>
      <c r="FZ352" s="23"/>
      <c r="GA352" s="23"/>
      <c r="JD352" s="26"/>
      <c r="JE352" s="26"/>
      <c r="JF352" s="27"/>
      <c r="JG352" s="27"/>
      <c r="KL352" s="28"/>
      <c r="KP352" s="28"/>
      <c r="KT352" s="28"/>
      <c r="KX352" s="28"/>
      <c r="LB352" s="28"/>
      <c r="LF352" s="28"/>
      <c r="LJ352" s="28"/>
    </row>
    <row r="353" spans="1:322" ht="13.2">
      <c r="A353" s="42"/>
      <c r="B353" s="42"/>
      <c r="C353" s="42"/>
      <c r="D353" s="52"/>
      <c r="E353" s="52"/>
      <c r="O353" s="43"/>
      <c r="AL353" s="44"/>
      <c r="AM353" s="44"/>
      <c r="AN353" s="44"/>
      <c r="AO353" s="44"/>
      <c r="AP353" s="44"/>
      <c r="AQ353" s="44"/>
      <c r="AR353" s="44"/>
      <c r="AS353" s="44"/>
      <c r="AT353" s="45"/>
      <c r="AY353" s="45"/>
      <c r="BH353" s="45"/>
      <c r="BK353" s="45"/>
      <c r="BT353" s="45"/>
      <c r="BU353" s="45"/>
      <c r="CK353" s="10"/>
      <c r="EF353" s="20"/>
      <c r="FD353" s="21"/>
      <c r="FE353" s="21"/>
      <c r="FN353" s="22"/>
      <c r="FO353" s="22"/>
      <c r="FZ353" s="23"/>
      <c r="GA353" s="23"/>
      <c r="JD353" s="26"/>
      <c r="JE353" s="26"/>
      <c r="JF353" s="27"/>
      <c r="JG353" s="27"/>
      <c r="KL353" s="28"/>
      <c r="KP353" s="28"/>
      <c r="KT353" s="28"/>
      <c r="KX353" s="28"/>
      <c r="LB353" s="28"/>
      <c r="LF353" s="28"/>
      <c r="LJ353" s="28"/>
    </row>
    <row r="354" spans="1:322" ht="13.2">
      <c r="A354" s="42"/>
      <c r="B354" s="42"/>
      <c r="C354" s="42"/>
      <c r="D354" s="52"/>
      <c r="E354" s="52"/>
      <c r="O354" s="43"/>
      <c r="AL354" s="44"/>
      <c r="AM354" s="44"/>
      <c r="AN354" s="44"/>
      <c r="AO354" s="44"/>
      <c r="AP354" s="44"/>
      <c r="AQ354" s="44"/>
      <c r="AR354" s="44"/>
      <c r="AS354" s="44"/>
      <c r="AT354" s="45"/>
      <c r="AY354" s="45"/>
      <c r="BH354" s="45"/>
      <c r="BK354" s="45"/>
      <c r="BT354" s="45"/>
      <c r="BU354" s="45"/>
      <c r="CK354" s="10"/>
      <c r="EF354" s="20"/>
      <c r="FD354" s="21"/>
      <c r="FE354" s="21"/>
      <c r="FN354" s="22"/>
      <c r="FO354" s="22"/>
      <c r="FZ354" s="23"/>
      <c r="GA354" s="23"/>
      <c r="JD354" s="26"/>
      <c r="JE354" s="26"/>
      <c r="JF354" s="27"/>
      <c r="JG354" s="27"/>
      <c r="KL354" s="28"/>
      <c r="KP354" s="28"/>
      <c r="KT354" s="28"/>
      <c r="KX354" s="28"/>
      <c r="LB354" s="28"/>
      <c r="LF354" s="28"/>
      <c r="LJ354" s="28"/>
    </row>
    <row r="355" spans="1:322" ht="13.2">
      <c r="A355" s="42"/>
      <c r="B355" s="42"/>
      <c r="C355" s="42"/>
      <c r="D355" s="52"/>
      <c r="E355" s="52"/>
      <c r="O355" s="43"/>
      <c r="AL355" s="44"/>
      <c r="AM355" s="44"/>
      <c r="AN355" s="44"/>
      <c r="AO355" s="44"/>
      <c r="AP355" s="44"/>
      <c r="AQ355" s="44"/>
      <c r="AR355" s="44"/>
      <c r="AS355" s="44"/>
      <c r="AT355" s="45"/>
      <c r="AY355" s="45"/>
      <c r="BH355" s="45"/>
      <c r="BK355" s="45"/>
      <c r="BT355" s="45"/>
      <c r="BU355" s="45"/>
      <c r="CK355" s="10"/>
      <c r="EF355" s="20"/>
      <c r="FD355" s="21"/>
      <c r="FE355" s="21"/>
      <c r="FN355" s="22"/>
      <c r="FO355" s="22"/>
      <c r="FZ355" s="23"/>
      <c r="GA355" s="23"/>
      <c r="JD355" s="26"/>
      <c r="JE355" s="26"/>
      <c r="JF355" s="27"/>
      <c r="JG355" s="27"/>
      <c r="KL355" s="28"/>
      <c r="KP355" s="28"/>
      <c r="KT355" s="28"/>
      <c r="KX355" s="28"/>
      <c r="LB355" s="28"/>
      <c r="LF355" s="28"/>
      <c r="LJ355" s="28"/>
    </row>
    <row r="356" spans="1:322" ht="13.2">
      <c r="A356" s="42"/>
      <c r="B356" s="42"/>
      <c r="C356" s="42"/>
      <c r="D356" s="52"/>
      <c r="E356" s="52"/>
      <c r="O356" s="43"/>
      <c r="AL356" s="44"/>
      <c r="AM356" s="44"/>
      <c r="AN356" s="44"/>
      <c r="AO356" s="44"/>
      <c r="AP356" s="44"/>
      <c r="AQ356" s="44"/>
      <c r="AR356" s="44"/>
      <c r="AS356" s="44"/>
      <c r="AT356" s="45"/>
      <c r="AY356" s="45"/>
      <c r="BH356" s="45"/>
      <c r="BK356" s="45"/>
      <c r="BT356" s="45"/>
      <c r="BU356" s="45"/>
      <c r="CK356" s="10"/>
      <c r="EF356" s="20"/>
      <c r="FD356" s="21"/>
      <c r="FE356" s="21"/>
      <c r="FN356" s="22"/>
      <c r="FO356" s="22"/>
      <c r="FZ356" s="23"/>
      <c r="GA356" s="23"/>
      <c r="JD356" s="26"/>
      <c r="JE356" s="26"/>
      <c r="JF356" s="27"/>
      <c r="JG356" s="27"/>
      <c r="KL356" s="28"/>
      <c r="KP356" s="28"/>
      <c r="KT356" s="28"/>
      <c r="KX356" s="28"/>
      <c r="LB356" s="28"/>
      <c r="LF356" s="28"/>
      <c r="LJ356" s="28"/>
    </row>
    <row r="357" spans="1:322" ht="13.2">
      <c r="A357" s="42"/>
      <c r="B357" s="42"/>
      <c r="C357" s="42"/>
      <c r="D357" s="52"/>
      <c r="E357" s="52"/>
      <c r="O357" s="43"/>
      <c r="AL357" s="44"/>
      <c r="AM357" s="44"/>
      <c r="AN357" s="44"/>
      <c r="AO357" s="44"/>
      <c r="AP357" s="44"/>
      <c r="AQ357" s="44"/>
      <c r="AR357" s="44"/>
      <c r="AS357" s="44"/>
      <c r="AT357" s="45"/>
      <c r="AY357" s="45"/>
      <c r="BH357" s="45"/>
      <c r="BK357" s="45"/>
      <c r="BT357" s="45"/>
      <c r="BU357" s="45"/>
      <c r="CK357" s="10"/>
      <c r="EF357" s="20"/>
      <c r="FD357" s="21"/>
      <c r="FE357" s="21"/>
      <c r="FN357" s="22"/>
      <c r="FO357" s="22"/>
      <c r="FZ357" s="23"/>
      <c r="GA357" s="23"/>
      <c r="JD357" s="26"/>
      <c r="JE357" s="26"/>
      <c r="JF357" s="27"/>
      <c r="JG357" s="27"/>
      <c r="KL357" s="28"/>
      <c r="KP357" s="28"/>
      <c r="KT357" s="28"/>
      <c r="KX357" s="28"/>
      <c r="LB357" s="28"/>
      <c r="LF357" s="28"/>
      <c r="LJ357" s="28"/>
    </row>
    <row r="358" spans="1:322" ht="13.2">
      <c r="A358" s="42"/>
      <c r="B358" s="42"/>
      <c r="C358" s="42"/>
      <c r="D358" s="52"/>
      <c r="E358" s="52"/>
      <c r="O358" s="43"/>
      <c r="AL358" s="44"/>
      <c r="AM358" s="44"/>
      <c r="AN358" s="44"/>
      <c r="AO358" s="44"/>
      <c r="AP358" s="44"/>
      <c r="AQ358" s="44"/>
      <c r="AR358" s="44"/>
      <c r="AS358" s="44"/>
      <c r="AT358" s="45"/>
      <c r="AY358" s="45"/>
      <c r="BH358" s="45"/>
      <c r="BK358" s="45"/>
      <c r="BT358" s="45"/>
      <c r="BU358" s="45"/>
      <c r="CK358" s="10"/>
      <c r="EF358" s="20"/>
      <c r="FD358" s="21"/>
      <c r="FE358" s="21"/>
      <c r="FN358" s="22"/>
      <c r="FO358" s="22"/>
      <c r="FZ358" s="23"/>
      <c r="GA358" s="23"/>
      <c r="JD358" s="26"/>
      <c r="JE358" s="26"/>
      <c r="JF358" s="27"/>
      <c r="JG358" s="27"/>
      <c r="KL358" s="28"/>
      <c r="KP358" s="28"/>
      <c r="KT358" s="28"/>
      <c r="KX358" s="28"/>
      <c r="LB358" s="28"/>
      <c r="LF358" s="28"/>
      <c r="LJ358" s="28"/>
    </row>
    <row r="359" spans="1:322" ht="13.2">
      <c r="A359" s="42"/>
      <c r="B359" s="42"/>
      <c r="C359" s="42"/>
      <c r="D359" s="52"/>
      <c r="E359" s="52"/>
      <c r="O359" s="43"/>
      <c r="AL359" s="44"/>
      <c r="AM359" s="44"/>
      <c r="AN359" s="44"/>
      <c r="AO359" s="44"/>
      <c r="AP359" s="44"/>
      <c r="AQ359" s="44"/>
      <c r="AR359" s="44"/>
      <c r="AS359" s="44"/>
      <c r="AT359" s="45"/>
      <c r="AY359" s="45"/>
      <c r="BH359" s="45"/>
      <c r="BK359" s="45"/>
      <c r="BT359" s="45"/>
      <c r="BU359" s="45"/>
      <c r="CK359" s="10"/>
      <c r="EF359" s="20"/>
      <c r="FD359" s="21"/>
      <c r="FE359" s="21"/>
      <c r="FN359" s="22"/>
      <c r="FO359" s="22"/>
      <c r="FZ359" s="23"/>
      <c r="GA359" s="23"/>
      <c r="JD359" s="26"/>
      <c r="JE359" s="26"/>
      <c r="JF359" s="27"/>
      <c r="JG359" s="27"/>
      <c r="KL359" s="28"/>
      <c r="KP359" s="28"/>
      <c r="KT359" s="28"/>
      <c r="KX359" s="28"/>
      <c r="LB359" s="28"/>
      <c r="LF359" s="28"/>
      <c r="LJ359" s="28"/>
    </row>
    <row r="360" spans="1:322" ht="13.2">
      <c r="A360" s="42"/>
      <c r="B360" s="42"/>
      <c r="C360" s="42"/>
      <c r="D360" s="52"/>
      <c r="E360" s="52"/>
      <c r="O360" s="43"/>
      <c r="AL360" s="44"/>
      <c r="AM360" s="44"/>
      <c r="AN360" s="44"/>
      <c r="AO360" s="44"/>
      <c r="AP360" s="44"/>
      <c r="AQ360" s="44"/>
      <c r="AR360" s="44"/>
      <c r="AS360" s="44"/>
      <c r="AT360" s="45"/>
      <c r="AY360" s="45"/>
      <c r="BH360" s="45"/>
      <c r="BK360" s="45"/>
      <c r="BT360" s="45"/>
      <c r="BU360" s="45"/>
      <c r="CK360" s="10"/>
      <c r="EF360" s="20"/>
      <c r="FD360" s="21"/>
      <c r="FE360" s="21"/>
      <c r="FN360" s="22"/>
      <c r="FO360" s="22"/>
      <c r="FZ360" s="23"/>
      <c r="GA360" s="23"/>
      <c r="JD360" s="26"/>
      <c r="JE360" s="26"/>
      <c r="JF360" s="27"/>
      <c r="JG360" s="27"/>
      <c r="KL360" s="28"/>
      <c r="KP360" s="28"/>
      <c r="KT360" s="28"/>
      <c r="KX360" s="28"/>
      <c r="LB360" s="28"/>
      <c r="LF360" s="28"/>
      <c r="LJ360" s="28"/>
    </row>
    <row r="361" spans="1:322" ht="13.2">
      <c r="A361" s="42"/>
      <c r="B361" s="42"/>
      <c r="C361" s="42"/>
      <c r="D361" s="52"/>
      <c r="E361" s="52"/>
      <c r="O361" s="43"/>
      <c r="AL361" s="44"/>
      <c r="AM361" s="44"/>
      <c r="AN361" s="44"/>
      <c r="AO361" s="44"/>
      <c r="AP361" s="44"/>
      <c r="AQ361" s="44"/>
      <c r="AR361" s="44"/>
      <c r="AS361" s="44"/>
      <c r="AT361" s="45"/>
      <c r="AY361" s="45"/>
      <c r="BH361" s="45"/>
      <c r="BK361" s="45"/>
      <c r="BT361" s="45"/>
      <c r="BU361" s="45"/>
      <c r="CK361" s="10"/>
      <c r="EF361" s="20"/>
      <c r="FD361" s="21"/>
      <c r="FE361" s="21"/>
      <c r="FN361" s="22"/>
      <c r="FO361" s="22"/>
      <c r="FZ361" s="23"/>
      <c r="GA361" s="23"/>
      <c r="JD361" s="26"/>
      <c r="JE361" s="26"/>
      <c r="JF361" s="27"/>
      <c r="JG361" s="27"/>
      <c r="KL361" s="28"/>
      <c r="KP361" s="28"/>
      <c r="KT361" s="28"/>
      <c r="KX361" s="28"/>
      <c r="LB361" s="28"/>
      <c r="LF361" s="28"/>
      <c r="LJ361" s="28"/>
    </row>
    <row r="362" spans="1:322" ht="13.2">
      <c r="A362" s="42"/>
      <c r="B362" s="42"/>
      <c r="C362" s="42"/>
      <c r="D362" s="52"/>
      <c r="E362" s="52"/>
      <c r="O362" s="43"/>
      <c r="AL362" s="44"/>
      <c r="AM362" s="44"/>
      <c r="AN362" s="44"/>
      <c r="AO362" s="44"/>
      <c r="AP362" s="44"/>
      <c r="AQ362" s="44"/>
      <c r="AR362" s="44"/>
      <c r="AS362" s="44"/>
      <c r="AT362" s="45"/>
      <c r="AY362" s="45"/>
      <c r="BH362" s="45"/>
      <c r="BK362" s="45"/>
      <c r="BT362" s="45"/>
      <c r="BU362" s="45"/>
      <c r="CK362" s="10"/>
      <c r="EF362" s="20"/>
      <c r="FD362" s="21"/>
      <c r="FE362" s="21"/>
      <c r="FN362" s="22"/>
      <c r="FO362" s="22"/>
      <c r="FZ362" s="23"/>
      <c r="GA362" s="23"/>
      <c r="JD362" s="26"/>
      <c r="JE362" s="26"/>
      <c r="JF362" s="27"/>
      <c r="JG362" s="27"/>
      <c r="KL362" s="28"/>
      <c r="KP362" s="28"/>
      <c r="KT362" s="28"/>
      <c r="KX362" s="28"/>
      <c r="LB362" s="28"/>
      <c r="LF362" s="28"/>
      <c r="LJ362" s="28"/>
    </row>
    <row r="363" spans="1:322" ht="13.2">
      <c r="A363" s="42"/>
      <c r="B363" s="42"/>
      <c r="C363" s="42"/>
      <c r="D363" s="52"/>
      <c r="E363" s="52"/>
      <c r="O363" s="43"/>
      <c r="AL363" s="44"/>
      <c r="AM363" s="44"/>
      <c r="AN363" s="44"/>
      <c r="AO363" s="44"/>
      <c r="AP363" s="44"/>
      <c r="AQ363" s="44"/>
      <c r="AR363" s="44"/>
      <c r="AS363" s="44"/>
      <c r="AT363" s="45"/>
      <c r="AY363" s="45"/>
      <c r="BH363" s="45"/>
      <c r="BK363" s="45"/>
      <c r="BT363" s="45"/>
      <c r="BU363" s="45"/>
      <c r="CK363" s="10"/>
      <c r="EF363" s="20"/>
      <c r="FD363" s="21"/>
      <c r="FE363" s="21"/>
      <c r="FN363" s="22"/>
      <c r="FO363" s="22"/>
      <c r="FZ363" s="23"/>
      <c r="GA363" s="23"/>
      <c r="JD363" s="26"/>
      <c r="JE363" s="26"/>
      <c r="JF363" s="27"/>
      <c r="JG363" s="27"/>
      <c r="KL363" s="28"/>
      <c r="KP363" s="28"/>
      <c r="KT363" s="28"/>
      <c r="KX363" s="28"/>
      <c r="LB363" s="28"/>
      <c r="LF363" s="28"/>
      <c r="LJ363" s="28"/>
    </row>
    <row r="364" spans="1:322" ht="13.2">
      <c r="A364" s="42"/>
      <c r="B364" s="42"/>
      <c r="C364" s="42"/>
      <c r="D364" s="52"/>
      <c r="E364" s="52"/>
      <c r="O364" s="43"/>
      <c r="AL364" s="44"/>
      <c r="AM364" s="44"/>
      <c r="AN364" s="44"/>
      <c r="AO364" s="44"/>
      <c r="AP364" s="44"/>
      <c r="AQ364" s="44"/>
      <c r="AR364" s="44"/>
      <c r="AS364" s="44"/>
      <c r="AT364" s="45"/>
      <c r="AY364" s="45"/>
      <c r="BH364" s="45"/>
      <c r="BK364" s="45"/>
      <c r="BT364" s="45"/>
      <c r="BU364" s="45"/>
      <c r="CK364" s="10"/>
      <c r="EF364" s="20"/>
      <c r="FD364" s="21"/>
      <c r="FE364" s="21"/>
      <c r="FN364" s="22"/>
      <c r="FO364" s="22"/>
      <c r="FZ364" s="23"/>
      <c r="GA364" s="23"/>
      <c r="JD364" s="26"/>
      <c r="JE364" s="26"/>
      <c r="JF364" s="27"/>
      <c r="JG364" s="27"/>
      <c r="KL364" s="28"/>
      <c r="KP364" s="28"/>
      <c r="KT364" s="28"/>
      <c r="KX364" s="28"/>
      <c r="LB364" s="28"/>
      <c r="LF364" s="28"/>
      <c r="LJ364" s="28"/>
    </row>
    <row r="365" spans="1:322" ht="13.2">
      <c r="A365" s="42"/>
      <c r="B365" s="42"/>
      <c r="C365" s="42"/>
      <c r="D365" s="52"/>
      <c r="E365" s="52"/>
      <c r="O365" s="43"/>
      <c r="AL365" s="44"/>
      <c r="AM365" s="44"/>
      <c r="AN365" s="44"/>
      <c r="AO365" s="44"/>
      <c r="AP365" s="44"/>
      <c r="AQ365" s="44"/>
      <c r="AR365" s="44"/>
      <c r="AS365" s="44"/>
      <c r="AT365" s="45"/>
      <c r="AY365" s="45"/>
      <c r="BH365" s="45"/>
      <c r="BK365" s="45"/>
      <c r="BT365" s="45"/>
      <c r="BU365" s="45"/>
      <c r="CK365" s="10"/>
      <c r="EF365" s="20"/>
      <c r="FD365" s="21"/>
      <c r="FE365" s="21"/>
      <c r="FN365" s="22"/>
      <c r="FO365" s="22"/>
      <c r="FZ365" s="23"/>
      <c r="GA365" s="23"/>
      <c r="JD365" s="26"/>
      <c r="JE365" s="26"/>
      <c r="JF365" s="27"/>
      <c r="JG365" s="27"/>
      <c r="KL365" s="28"/>
      <c r="KP365" s="28"/>
      <c r="KT365" s="28"/>
      <c r="KX365" s="28"/>
      <c r="LB365" s="28"/>
      <c r="LF365" s="28"/>
      <c r="LJ365" s="28"/>
    </row>
    <row r="366" spans="1:322" ht="13.2">
      <c r="A366" s="42"/>
      <c r="B366" s="42"/>
      <c r="C366" s="42"/>
      <c r="D366" s="52"/>
      <c r="E366" s="52"/>
      <c r="O366" s="43"/>
      <c r="AL366" s="44"/>
      <c r="AM366" s="44"/>
      <c r="AN366" s="44"/>
      <c r="AO366" s="44"/>
      <c r="AP366" s="44"/>
      <c r="AQ366" s="44"/>
      <c r="AR366" s="44"/>
      <c r="AS366" s="44"/>
      <c r="AT366" s="45"/>
      <c r="AY366" s="45"/>
      <c r="BH366" s="45"/>
      <c r="BK366" s="45"/>
      <c r="BT366" s="45"/>
      <c r="BU366" s="45"/>
      <c r="CK366" s="10"/>
      <c r="EF366" s="20"/>
      <c r="FD366" s="21"/>
      <c r="FE366" s="21"/>
      <c r="FN366" s="22"/>
      <c r="FO366" s="22"/>
      <c r="FZ366" s="23"/>
      <c r="GA366" s="23"/>
      <c r="JD366" s="26"/>
      <c r="JE366" s="26"/>
      <c r="JF366" s="27"/>
      <c r="JG366" s="27"/>
      <c r="KL366" s="28"/>
      <c r="KP366" s="28"/>
      <c r="KT366" s="28"/>
      <c r="KX366" s="28"/>
      <c r="LB366" s="28"/>
      <c r="LF366" s="28"/>
      <c r="LJ366" s="28"/>
    </row>
    <row r="367" spans="1:322" ht="13.2">
      <c r="A367" s="42"/>
      <c r="B367" s="42"/>
      <c r="C367" s="42"/>
      <c r="D367" s="52"/>
      <c r="E367" s="52"/>
      <c r="O367" s="43"/>
      <c r="AL367" s="44"/>
      <c r="AM367" s="44"/>
      <c r="AN367" s="44"/>
      <c r="AO367" s="44"/>
      <c r="AP367" s="44"/>
      <c r="AQ367" s="44"/>
      <c r="AR367" s="44"/>
      <c r="AS367" s="44"/>
      <c r="AT367" s="45"/>
      <c r="AY367" s="45"/>
      <c r="BH367" s="45"/>
      <c r="BK367" s="45"/>
      <c r="BT367" s="45"/>
      <c r="BU367" s="45"/>
      <c r="CK367" s="10"/>
      <c r="EF367" s="20"/>
      <c r="FD367" s="21"/>
      <c r="FE367" s="21"/>
      <c r="FN367" s="22"/>
      <c r="FO367" s="22"/>
      <c r="FZ367" s="23"/>
      <c r="GA367" s="23"/>
      <c r="JD367" s="26"/>
      <c r="JE367" s="26"/>
      <c r="JF367" s="27"/>
      <c r="JG367" s="27"/>
      <c r="KL367" s="28"/>
      <c r="KP367" s="28"/>
      <c r="KT367" s="28"/>
      <c r="KX367" s="28"/>
      <c r="LB367" s="28"/>
      <c r="LF367" s="28"/>
      <c r="LJ367" s="28"/>
    </row>
    <row r="368" spans="1:322" ht="13.2">
      <c r="A368" s="42"/>
      <c r="B368" s="42"/>
      <c r="C368" s="42"/>
      <c r="D368" s="52"/>
      <c r="E368" s="52"/>
      <c r="O368" s="43"/>
      <c r="AL368" s="44"/>
      <c r="AM368" s="44"/>
      <c r="AN368" s="44"/>
      <c r="AO368" s="44"/>
      <c r="AP368" s="44"/>
      <c r="AQ368" s="44"/>
      <c r="AR368" s="44"/>
      <c r="AS368" s="44"/>
      <c r="AT368" s="45"/>
      <c r="AY368" s="45"/>
      <c r="BH368" s="45"/>
      <c r="BK368" s="45"/>
      <c r="BT368" s="45"/>
      <c r="BU368" s="45"/>
      <c r="CK368" s="10"/>
      <c r="EF368" s="20"/>
      <c r="FD368" s="21"/>
      <c r="FE368" s="21"/>
      <c r="FN368" s="22"/>
      <c r="FO368" s="22"/>
      <c r="FZ368" s="23"/>
      <c r="GA368" s="23"/>
      <c r="JD368" s="26"/>
      <c r="JE368" s="26"/>
      <c r="JF368" s="27"/>
      <c r="JG368" s="27"/>
      <c r="KL368" s="28"/>
      <c r="KP368" s="28"/>
      <c r="KT368" s="28"/>
      <c r="KX368" s="28"/>
      <c r="LB368" s="28"/>
      <c r="LF368" s="28"/>
      <c r="LJ368" s="28"/>
    </row>
    <row r="369" spans="1:322" ht="13.2">
      <c r="A369" s="42"/>
      <c r="B369" s="42"/>
      <c r="C369" s="42"/>
      <c r="D369" s="52"/>
      <c r="E369" s="52"/>
      <c r="O369" s="43"/>
      <c r="AL369" s="44"/>
      <c r="AM369" s="44"/>
      <c r="AN369" s="44"/>
      <c r="AO369" s="44"/>
      <c r="AP369" s="44"/>
      <c r="AQ369" s="44"/>
      <c r="AR369" s="44"/>
      <c r="AS369" s="44"/>
      <c r="AT369" s="45"/>
      <c r="AY369" s="45"/>
      <c r="BH369" s="45"/>
      <c r="BK369" s="45"/>
      <c r="BT369" s="45"/>
      <c r="BU369" s="45"/>
      <c r="CK369" s="10"/>
      <c r="EF369" s="20"/>
      <c r="FD369" s="21"/>
      <c r="FE369" s="21"/>
      <c r="FN369" s="22"/>
      <c r="FO369" s="22"/>
      <c r="FZ369" s="23"/>
      <c r="GA369" s="23"/>
      <c r="JD369" s="26"/>
      <c r="JE369" s="26"/>
      <c r="JF369" s="27"/>
      <c r="JG369" s="27"/>
      <c r="KL369" s="28"/>
      <c r="KP369" s="28"/>
      <c r="KT369" s="28"/>
      <c r="KX369" s="28"/>
      <c r="LB369" s="28"/>
      <c r="LF369" s="28"/>
      <c r="LJ369" s="28"/>
    </row>
    <row r="370" spans="1:322" ht="13.2">
      <c r="A370" s="42"/>
      <c r="B370" s="42"/>
      <c r="C370" s="42"/>
      <c r="D370" s="52"/>
      <c r="E370" s="52"/>
      <c r="O370" s="43"/>
      <c r="AL370" s="44"/>
      <c r="AM370" s="44"/>
      <c r="AN370" s="44"/>
      <c r="AO370" s="44"/>
      <c r="AP370" s="44"/>
      <c r="AQ370" s="44"/>
      <c r="AR370" s="44"/>
      <c r="AS370" s="44"/>
      <c r="AT370" s="45"/>
      <c r="AY370" s="45"/>
      <c r="BH370" s="45"/>
      <c r="BK370" s="45"/>
      <c r="BT370" s="45"/>
      <c r="BU370" s="45"/>
      <c r="CK370" s="10"/>
      <c r="EF370" s="20"/>
      <c r="FD370" s="21"/>
      <c r="FE370" s="21"/>
      <c r="FN370" s="22"/>
      <c r="FO370" s="22"/>
      <c r="FZ370" s="23"/>
      <c r="GA370" s="23"/>
      <c r="JD370" s="26"/>
      <c r="JE370" s="26"/>
      <c r="JF370" s="27"/>
      <c r="JG370" s="27"/>
      <c r="KL370" s="28"/>
      <c r="KP370" s="28"/>
      <c r="KT370" s="28"/>
      <c r="KX370" s="28"/>
      <c r="LB370" s="28"/>
      <c r="LF370" s="28"/>
      <c r="LJ370" s="28"/>
    </row>
    <row r="371" spans="1:322" ht="13.2">
      <c r="A371" s="42"/>
      <c r="B371" s="42"/>
      <c r="C371" s="42"/>
      <c r="D371" s="52"/>
      <c r="E371" s="52"/>
      <c r="O371" s="43"/>
      <c r="AL371" s="44"/>
      <c r="AM371" s="44"/>
      <c r="AN371" s="44"/>
      <c r="AO371" s="44"/>
      <c r="AP371" s="44"/>
      <c r="AQ371" s="44"/>
      <c r="AR371" s="44"/>
      <c r="AS371" s="44"/>
      <c r="AT371" s="45"/>
      <c r="AY371" s="45"/>
      <c r="BH371" s="45"/>
      <c r="BK371" s="45"/>
      <c r="BT371" s="45"/>
      <c r="BU371" s="45"/>
      <c r="CK371" s="10"/>
      <c r="EF371" s="20"/>
      <c r="FD371" s="21"/>
      <c r="FE371" s="21"/>
      <c r="FN371" s="22"/>
      <c r="FO371" s="22"/>
      <c r="FZ371" s="23"/>
      <c r="GA371" s="23"/>
      <c r="JD371" s="26"/>
      <c r="JE371" s="26"/>
      <c r="JF371" s="27"/>
      <c r="JG371" s="27"/>
      <c r="KL371" s="28"/>
      <c r="KP371" s="28"/>
      <c r="KT371" s="28"/>
      <c r="KX371" s="28"/>
      <c r="LB371" s="28"/>
      <c r="LF371" s="28"/>
      <c r="LJ371" s="28"/>
    </row>
    <row r="372" spans="1:322" ht="13.2">
      <c r="A372" s="42"/>
      <c r="B372" s="42"/>
      <c r="C372" s="42"/>
      <c r="D372" s="52"/>
      <c r="E372" s="52"/>
      <c r="O372" s="43"/>
      <c r="AL372" s="44"/>
      <c r="AM372" s="44"/>
      <c r="AN372" s="44"/>
      <c r="AO372" s="44"/>
      <c r="AP372" s="44"/>
      <c r="AQ372" s="44"/>
      <c r="AR372" s="44"/>
      <c r="AS372" s="44"/>
      <c r="AT372" s="45"/>
      <c r="AY372" s="45"/>
      <c r="BH372" s="45"/>
      <c r="BK372" s="45"/>
      <c r="BT372" s="45"/>
      <c r="BU372" s="45"/>
      <c r="CK372" s="10"/>
      <c r="EF372" s="20"/>
      <c r="FD372" s="21"/>
      <c r="FE372" s="21"/>
      <c r="FN372" s="22"/>
      <c r="FO372" s="22"/>
      <c r="FZ372" s="23"/>
      <c r="GA372" s="23"/>
      <c r="JD372" s="26"/>
      <c r="JE372" s="26"/>
      <c r="JF372" s="27"/>
      <c r="JG372" s="27"/>
      <c r="KL372" s="28"/>
      <c r="KP372" s="28"/>
      <c r="KT372" s="28"/>
      <c r="KX372" s="28"/>
      <c r="LB372" s="28"/>
      <c r="LF372" s="28"/>
      <c r="LJ372" s="28"/>
    </row>
    <row r="373" spans="1:322" ht="13.2">
      <c r="A373" s="42"/>
      <c r="B373" s="42"/>
      <c r="C373" s="42"/>
      <c r="D373" s="52"/>
      <c r="E373" s="52"/>
      <c r="O373" s="43"/>
      <c r="AL373" s="44"/>
      <c r="AM373" s="44"/>
      <c r="AN373" s="44"/>
      <c r="AO373" s="44"/>
      <c r="AP373" s="44"/>
      <c r="AQ373" s="44"/>
      <c r="AR373" s="44"/>
      <c r="AS373" s="44"/>
      <c r="AT373" s="45"/>
      <c r="AY373" s="45"/>
      <c r="BH373" s="45"/>
      <c r="BK373" s="45"/>
      <c r="BT373" s="45"/>
      <c r="BU373" s="45"/>
      <c r="CK373" s="10"/>
      <c r="EF373" s="20"/>
      <c r="FD373" s="21"/>
      <c r="FE373" s="21"/>
      <c r="FN373" s="22"/>
      <c r="FO373" s="22"/>
      <c r="FZ373" s="23"/>
      <c r="GA373" s="23"/>
      <c r="JD373" s="26"/>
      <c r="JE373" s="26"/>
      <c r="JF373" s="27"/>
      <c r="JG373" s="27"/>
      <c r="KL373" s="28"/>
      <c r="KP373" s="28"/>
      <c r="KT373" s="28"/>
      <c r="KX373" s="28"/>
      <c r="LB373" s="28"/>
      <c r="LF373" s="28"/>
      <c r="LJ373" s="28"/>
    </row>
    <row r="374" spans="1:322" ht="13.2">
      <c r="A374" s="42"/>
      <c r="B374" s="42"/>
      <c r="C374" s="42"/>
      <c r="D374" s="52"/>
      <c r="E374" s="52"/>
      <c r="O374" s="43"/>
      <c r="AL374" s="44"/>
      <c r="AM374" s="44"/>
      <c r="AN374" s="44"/>
      <c r="AO374" s="44"/>
      <c r="AP374" s="44"/>
      <c r="AQ374" s="44"/>
      <c r="AR374" s="44"/>
      <c r="AS374" s="44"/>
      <c r="AT374" s="45"/>
      <c r="AY374" s="45"/>
      <c r="BH374" s="45"/>
      <c r="BK374" s="45"/>
      <c r="BT374" s="45"/>
      <c r="BU374" s="45"/>
      <c r="CK374" s="10"/>
      <c r="EF374" s="20"/>
      <c r="FD374" s="21"/>
      <c r="FE374" s="21"/>
      <c r="FN374" s="22"/>
      <c r="FO374" s="22"/>
      <c r="FZ374" s="23"/>
      <c r="GA374" s="23"/>
      <c r="JD374" s="26"/>
      <c r="JE374" s="26"/>
      <c r="JF374" s="27"/>
      <c r="JG374" s="27"/>
      <c r="KL374" s="28"/>
      <c r="KP374" s="28"/>
      <c r="KT374" s="28"/>
      <c r="KX374" s="28"/>
      <c r="LB374" s="28"/>
      <c r="LF374" s="28"/>
      <c r="LJ374" s="28"/>
    </row>
    <row r="375" spans="1:322" ht="13.2">
      <c r="A375" s="42"/>
      <c r="B375" s="42"/>
      <c r="C375" s="42"/>
      <c r="D375" s="52"/>
      <c r="E375" s="52"/>
      <c r="O375" s="43"/>
      <c r="AL375" s="44"/>
      <c r="AM375" s="44"/>
      <c r="AN375" s="44"/>
      <c r="AO375" s="44"/>
      <c r="AP375" s="44"/>
      <c r="AQ375" s="44"/>
      <c r="AR375" s="44"/>
      <c r="AS375" s="44"/>
      <c r="AT375" s="45"/>
      <c r="AY375" s="45"/>
      <c r="BH375" s="45"/>
      <c r="BK375" s="45"/>
      <c r="BT375" s="45"/>
      <c r="BU375" s="45"/>
      <c r="CK375" s="10"/>
      <c r="EF375" s="20"/>
      <c r="FD375" s="21"/>
      <c r="FE375" s="21"/>
      <c r="FN375" s="22"/>
      <c r="FO375" s="22"/>
      <c r="FZ375" s="23"/>
      <c r="GA375" s="23"/>
      <c r="JD375" s="26"/>
      <c r="JE375" s="26"/>
      <c r="JF375" s="27"/>
      <c r="JG375" s="27"/>
      <c r="KL375" s="28"/>
      <c r="KP375" s="28"/>
      <c r="KT375" s="28"/>
      <c r="KX375" s="28"/>
      <c r="LB375" s="28"/>
      <c r="LF375" s="28"/>
      <c r="LJ375" s="28"/>
    </row>
    <row r="376" spans="1:322" ht="13.2">
      <c r="A376" s="42"/>
      <c r="B376" s="42"/>
      <c r="C376" s="42"/>
      <c r="D376" s="52"/>
      <c r="E376" s="52"/>
      <c r="O376" s="43"/>
      <c r="AL376" s="44"/>
      <c r="AM376" s="44"/>
      <c r="AN376" s="44"/>
      <c r="AO376" s="44"/>
      <c r="AP376" s="44"/>
      <c r="AQ376" s="44"/>
      <c r="AR376" s="44"/>
      <c r="AS376" s="44"/>
      <c r="AT376" s="45"/>
      <c r="AY376" s="45"/>
      <c r="BH376" s="45"/>
      <c r="BK376" s="45"/>
      <c r="BT376" s="45"/>
      <c r="BU376" s="45"/>
      <c r="CK376" s="10"/>
      <c r="EF376" s="20"/>
      <c r="FD376" s="21"/>
      <c r="FE376" s="21"/>
      <c r="FN376" s="22"/>
      <c r="FO376" s="22"/>
      <c r="FZ376" s="23"/>
      <c r="GA376" s="23"/>
      <c r="JD376" s="26"/>
      <c r="JE376" s="26"/>
      <c r="JF376" s="27"/>
      <c r="JG376" s="27"/>
      <c r="KL376" s="28"/>
      <c r="KP376" s="28"/>
      <c r="KT376" s="28"/>
      <c r="KX376" s="28"/>
      <c r="LB376" s="28"/>
      <c r="LF376" s="28"/>
      <c r="LJ376" s="28"/>
    </row>
    <row r="377" spans="1:322" ht="13.2">
      <c r="A377" s="42"/>
      <c r="B377" s="42"/>
      <c r="C377" s="42"/>
      <c r="D377" s="52"/>
      <c r="E377" s="52"/>
      <c r="O377" s="43"/>
      <c r="AL377" s="44"/>
      <c r="AM377" s="44"/>
      <c r="AN377" s="44"/>
      <c r="AO377" s="44"/>
      <c r="AP377" s="44"/>
      <c r="AQ377" s="44"/>
      <c r="AR377" s="44"/>
      <c r="AS377" s="44"/>
      <c r="AT377" s="45"/>
      <c r="AY377" s="45"/>
      <c r="BH377" s="45"/>
      <c r="BK377" s="45"/>
      <c r="BT377" s="45"/>
      <c r="BU377" s="45"/>
      <c r="CK377" s="10"/>
      <c r="EF377" s="20"/>
      <c r="FD377" s="21"/>
      <c r="FE377" s="21"/>
      <c r="FN377" s="22"/>
      <c r="FO377" s="22"/>
      <c r="FZ377" s="23"/>
      <c r="GA377" s="23"/>
      <c r="JD377" s="26"/>
      <c r="JE377" s="26"/>
      <c r="JF377" s="27"/>
      <c r="JG377" s="27"/>
      <c r="KL377" s="28"/>
      <c r="KP377" s="28"/>
      <c r="KT377" s="28"/>
      <c r="KX377" s="28"/>
      <c r="LB377" s="28"/>
      <c r="LF377" s="28"/>
      <c r="LJ377" s="28"/>
    </row>
    <row r="378" spans="1:322" ht="13.2">
      <c r="A378" s="42"/>
      <c r="B378" s="42"/>
      <c r="C378" s="42"/>
      <c r="D378" s="52"/>
      <c r="E378" s="52"/>
      <c r="O378" s="43"/>
      <c r="AL378" s="44"/>
      <c r="AM378" s="44"/>
      <c r="AN378" s="44"/>
      <c r="AO378" s="44"/>
      <c r="AP378" s="44"/>
      <c r="AQ378" s="44"/>
      <c r="AR378" s="44"/>
      <c r="AS378" s="44"/>
      <c r="AT378" s="45"/>
      <c r="AY378" s="45"/>
      <c r="BH378" s="45"/>
      <c r="BK378" s="45"/>
      <c r="BT378" s="45"/>
      <c r="BU378" s="45"/>
      <c r="CK378" s="10"/>
      <c r="EF378" s="20"/>
      <c r="FD378" s="21"/>
      <c r="FE378" s="21"/>
      <c r="FN378" s="22"/>
      <c r="FO378" s="22"/>
      <c r="FZ378" s="23"/>
      <c r="GA378" s="23"/>
      <c r="JD378" s="26"/>
      <c r="JE378" s="26"/>
      <c r="JF378" s="27"/>
      <c r="JG378" s="27"/>
      <c r="KL378" s="28"/>
      <c r="KP378" s="28"/>
      <c r="KT378" s="28"/>
      <c r="KX378" s="28"/>
      <c r="LB378" s="28"/>
      <c r="LF378" s="28"/>
      <c r="LJ378" s="28"/>
    </row>
    <row r="379" spans="1:322" ht="13.2">
      <c r="A379" s="42"/>
      <c r="B379" s="42"/>
      <c r="C379" s="42"/>
      <c r="D379" s="52"/>
      <c r="E379" s="52"/>
      <c r="O379" s="43"/>
      <c r="AL379" s="44"/>
      <c r="AM379" s="44"/>
      <c r="AN379" s="44"/>
      <c r="AO379" s="44"/>
      <c r="AP379" s="44"/>
      <c r="AQ379" s="44"/>
      <c r="AR379" s="44"/>
      <c r="AS379" s="44"/>
      <c r="AT379" s="45"/>
      <c r="AY379" s="45"/>
      <c r="BH379" s="45"/>
      <c r="BK379" s="45"/>
      <c r="BT379" s="45"/>
      <c r="BU379" s="45"/>
      <c r="CK379" s="10"/>
      <c r="EF379" s="20"/>
      <c r="FD379" s="21"/>
      <c r="FE379" s="21"/>
      <c r="FN379" s="22"/>
      <c r="FO379" s="22"/>
      <c r="FZ379" s="23"/>
      <c r="GA379" s="23"/>
      <c r="JD379" s="26"/>
      <c r="JE379" s="26"/>
      <c r="JF379" s="27"/>
      <c r="JG379" s="27"/>
      <c r="KL379" s="28"/>
      <c r="KP379" s="28"/>
      <c r="KT379" s="28"/>
      <c r="KX379" s="28"/>
      <c r="LB379" s="28"/>
      <c r="LF379" s="28"/>
      <c r="LJ379" s="28"/>
    </row>
    <row r="380" spans="1:322" ht="13.2">
      <c r="A380" s="42"/>
      <c r="B380" s="42"/>
      <c r="C380" s="42"/>
      <c r="D380" s="52"/>
      <c r="E380" s="52"/>
      <c r="O380" s="43"/>
      <c r="AL380" s="44"/>
      <c r="AM380" s="44"/>
      <c r="AN380" s="44"/>
      <c r="AO380" s="44"/>
      <c r="AP380" s="44"/>
      <c r="AQ380" s="44"/>
      <c r="AR380" s="44"/>
      <c r="AS380" s="44"/>
      <c r="AT380" s="45"/>
      <c r="AY380" s="45"/>
      <c r="BH380" s="45"/>
      <c r="BK380" s="45"/>
      <c r="BT380" s="45"/>
      <c r="BU380" s="45"/>
      <c r="CK380" s="10"/>
      <c r="EF380" s="20"/>
      <c r="FD380" s="21"/>
      <c r="FE380" s="21"/>
      <c r="FN380" s="22"/>
      <c r="FO380" s="22"/>
      <c r="FZ380" s="23"/>
      <c r="GA380" s="23"/>
      <c r="JD380" s="26"/>
      <c r="JE380" s="26"/>
      <c r="JF380" s="27"/>
      <c r="JG380" s="27"/>
      <c r="KL380" s="28"/>
      <c r="KP380" s="28"/>
      <c r="KT380" s="28"/>
      <c r="KX380" s="28"/>
      <c r="LB380" s="28"/>
      <c r="LF380" s="28"/>
      <c r="LJ380" s="28"/>
    </row>
    <row r="381" spans="1:322" ht="13.2">
      <c r="A381" s="42"/>
      <c r="B381" s="42"/>
      <c r="C381" s="42"/>
      <c r="D381" s="52"/>
      <c r="E381" s="52"/>
      <c r="O381" s="43"/>
      <c r="AL381" s="44"/>
      <c r="AM381" s="44"/>
      <c r="AN381" s="44"/>
      <c r="AO381" s="44"/>
      <c r="AP381" s="44"/>
      <c r="AQ381" s="44"/>
      <c r="AR381" s="44"/>
      <c r="AS381" s="44"/>
      <c r="AT381" s="45"/>
      <c r="AY381" s="45"/>
      <c r="BH381" s="45"/>
      <c r="BK381" s="45"/>
      <c r="BT381" s="45"/>
      <c r="BU381" s="45"/>
      <c r="CK381" s="10"/>
      <c r="EF381" s="20"/>
      <c r="FD381" s="21"/>
      <c r="FE381" s="21"/>
      <c r="FN381" s="22"/>
      <c r="FO381" s="22"/>
      <c r="FZ381" s="23"/>
      <c r="GA381" s="23"/>
      <c r="JD381" s="26"/>
      <c r="JE381" s="26"/>
      <c r="JF381" s="27"/>
      <c r="JG381" s="27"/>
      <c r="KL381" s="28"/>
      <c r="KP381" s="28"/>
      <c r="KT381" s="28"/>
      <c r="KX381" s="28"/>
      <c r="LB381" s="28"/>
      <c r="LF381" s="28"/>
      <c r="LJ381" s="28"/>
    </row>
    <row r="382" spans="1:322" ht="13.2">
      <c r="A382" s="42"/>
      <c r="B382" s="42"/>
      <c r="C382" s="42"/>
      <c r="D382" s="52"/>
      <c r="E382" s="52"/>
      <c r="O382" s="43"/>
      <c r="AL382" s="44"/>
      <c r="AM382" s="44"/>
      <c r="AN382" s="44"/>
      <c r="AO382" s="44"/>
      <c r="AP382" s="44"/>
      <c r="AQ382" s="44"/>
      <c r="AR382" s="44"/>
      <c r="AS382" s="44"/>
      <c r="AT382" s="45"/>
      <c r="AY382" s="45"/>
      <c r="BH382" s="45"/>
      <c r="BK382" s="45"/>
      <c r="BT382" s="45"/>
      <c r="BU382" s="45"/>
      <c r="CK382" s="10"/>
      <c r="EF382" s="20"/>
      <c r="FD382" s="21"/>
      <c r="FE382" s="21"/>
      <c r="FN382" s="22"/>
      <c r="FO382" s="22"/>
      <c r="FZ382" s="23"/>
      <c r="GA382" s="23"/>
      <c r="JD382" s="26"/>
      <c r="JE382" s="26"/>
      <c r="JF382" s="27"/>
      <c r="JG382" s="27"/>
      <c r="KL382" s="28"/>
      <c r="KP382" s="28"/>
      <c r="KT382" s="28"/>
      <c r="KX382" s="28"/>
      <c r="LB382" s="28"/>
      <c r="LF382" s="28"/>
      <c r="LJ382" s="28"/>
    </row>
    <row r="383" spans="1:322" ht="13.2">
      <c r="A383" s="42"/>
      <c r="B383" s="42"/>
      <c r="C383" s="42"/>
      <c r="D383" s="52"/>
      <c r="E383" s="52"/>
      <c r="O383" s="43"/>
      <c r="AL383" s="44"/>
      <c r="AM383" s="44"/>
      <c r="AN383" s="44"/>
      <c r="AO383" s="44"/>
      <c r="AP383" s="44"/>
      <c r="AQ383" s="44"/>
      <c r="AR383" s="44"/>
      <c r="AS383" s="44"/>
      <c r="AT383" s="45"/>
      <c r="AY383" s="45"/>
      <c r="BH383" s="45"/>
      <c r="BK383" s="45"/>
      <c r="BT383" s="45"/>
      <c r="BU383" s="45"/>
      <c r="CK383" s="10"/>
      <c r="EF383" s="20"/>
      <c r="FD383" s="21"/>
      <c r="FE383" s="21"/>
      <c r="FN383" s="22"/>
      <c r="FO383" s="22"/>
      <c r="FZ383" s="23"/>
      <c r="GA383" s="23"/>
      <c r="JD383" s="26"/>
      <c r="JE383" s="26"/>
      <c r="JF383" s="27"/>
      <c r="JG383" s="27"/>
      <c r="KL383" s="28"/>
      <c r="KP383" s="28"/>
      <c r="KT383" s="28"/>
      <c r="KX383" s="28"/>
      <c r="LB383" s="28"/>
      <c r="LF383" s="28"/>
      <c r="LJ383" s="28"/>
    </row>
    <row r="384" spans="1:322" ht="13.2">
      <c r="A384" s="42"/>
      <c r="B384" s="42"/>
      <c r="C384" s="42"/>
      <c r="D384" s="52"/>
      <c r="E384" s="52"/>
      <c r="O384" s="43"/>
      <c r="AL384" s="44"/>
      <c r="AM384" s="44"/>
      <c r="AN384" s="44"/>
      <c r="AO384" s="44"/>
      <c r="AP384" s="44"/>
      <c r="AQ384" s="44"/>
      <c r="AR384" s="44"/>
      <c r="AS384" s="44"/>
      <c r="AT384" s="45"/>
      <c r="AY384" s="45"/>
      <c r="BH384" s="45"/>
      <c r="BK384" s="45"/>
      <c r="BT384" s="45"/>
      <c r="BU384" s="45"/>
      <c r="CK384" s="10"/>
      <c r="EF384" s="20"/>
      <c r="FD384" s="21"/>
      <c r="FE384" s="21"/>
      <c r="FN384" s="22"/>
      <c r="FO384" s="22"/>
      <c r="FZ384" s="23"/>
      <c r="GA384" s="23"/>
      <c r="JD384" s="26"/>
      <c r="JE384" s="26"/>
      <c r="JF384" s="27"/>
      <c r="JG384" s="27"/>
      <c r="KL384" s="28"/>
      <c r="KP384" s="28"/>
      <c r="KT384" s="28"/>
      <c r="KX384" s="28"/>
      <c r="LB384" s="28"/>
      <c r="LF384" s="28"/>
      <c r="LJ384" s="28"/>
    </row>
    <row r="385" spans="1:322" ht="13.2">
      <c r="A385" s="42"/>
      <c r="B385" s="42"/>
      <c r="C385" s="42"/>
      <c r="D385" s="52"/>
      <c r="E385" s="52"/>
      <c r="O385" s="43"/>
      <c r="AL385" s="44"/>
      <c r="AM385" s="44"/>
      <c r="AN385" s="44"/>
      <c r="AO385" s="44"/>
      <c r="AP385" s="44"/>
      <c r="AQ385" s="44"/>
      <c r="AR385" s="44"/>
      <c r="AS385" s="44"/>
      <c r="AT385" s="45"/>
      <c r="AY385" s="45"/>
      <c r="BH385" s="45"/>
      <c r="BK385" s="45"/>
      <c r="BT385" s="45"/>
      <c r="BU385" s="45"/>
      <c r="CK385" s="10"/>
      <c r="EF385" s="20"/>
      <c r="FD385" s="21"/>
      <c r="FE385" s="21"/>
      <c r="FN385" s="22"/>
      <c r="FO385" s="22"/>
      <c r="FZ385" s="23"/>
      <c r="GA385" s="23"/>
      <c r="JD385" s="26"/>
      <c r="JE385" s="26"/>
      <c r="JF385" s="27"/>
      <c r="JG385" s="27"/>
      <c r="KL385" s="28"/>
      <c r="KP385" s="28"/>
      <c r="KT385" s="28"/>
      <c r="KX385" s="28"/>
      <c r="LB385" s="28"/>
      <c r="LF385" s="28"/>
      <c r="LJ385" s="28"/>
    </row>
    <row r="386" spans="1:322" ht="13.2">
      <c r="A386" s="42"/>
      <c r="B386" s="42"/>
      <c r="C386" s="42"/>
      <c r="D386" s="52"/>
      <c r="E386" s="52"/>
      <c r="O386" s="43"/>
      <c r="AL386" s="44"/>
      <c r="AM386" s="44"/>
      <c r="AN386" s="44"/>
      <c r="AO386" s="44"/>
      <c r="AP386" s="44"/>
      <c r="AQ386" s="44"/>
      <c r="AR386" s="44"/>
      <c r="AS386" s="44"/>
      <c r="AT386" s="45"/>
      <c r="AY386" s="45"/>
      <c r="BH386" s="45"/>
      <c r="BK386" s="45"/>
      <c r="BT386" s="45"/>
      <c r="BU386" s="45"/>
      <c r="CK386" s="10"/>
      <c r="EF386" s="20"/>
      <c r="FD386" s="21"/>
      <c r="FE386" s="21"/>
      <c r="FN386" s="22"/>
      <c r="FO386" s="22"/>
      <c r="FZ386" s="23"/>
      <c r="GA386" s="23"/>
      <c r="JD386" s="26"/>
      <c r="JE386" s="26"/>
      <c r="JF386" s="27"/>
      <c r="JG386" s="27"/>
      <c r="KL386" s="28"/>
      <c r="KP386" s="28"/>
      <c r="KT386" s="28"/>
      <c r="KX386" s="28"/>
      <c r="LB386" s="28"/>
      <c r="LF386" s="28"/>
      <c r="LJ386" s="28"/>
    </row>
    <row r="387" spans="1:322" ht="13.2">
      <c r="A387" s="42"/>
      <c r="B387" s="42"/>
      <c r="C387" s="42"/>
      <c r="D387" s="52"/>
      <c r="E387" s="52"/>
      <c r="O387" s="43"/>
      <c r="AL387" s="44"/>
      <c r="AM387" s="44"/>
      <c r="AN387" s="44"/>
      <c r="AO387" s="44"/>
      <c r="AP387" s="44"/>
      <c r="AQ387" s="44"/>
      <c r="AR387" s="44"/>
      <c r="AS387" s="44"/>
      <c r="AT387" s="45"/>
      <c r="AY387" s="45"/>
      <c r="BH387" s="45"/>
      <c r="BK387" s="45"/>
      <c r="BT387" s="45"/>
      <c r="BU387" s="45"/>
      <c r="CK387" s="10"/>
      <c r="EF387" s="20"/>
      <c r="FD387" s="21"/>
      <c r="FE387" s="21"/>
      <c r="FN387" s="22"/>
      <c r="FO387" s="22"/>
      <c r="FZ387" s="23"/>
      <c r="GA387" s="23"/>
      <c r="JD387" s="26"/>
      <c r="JE387" s="26"/>
      <c r="JF387" s="27"/>
      <c r="JG387" s="27"/>
      <c r="KL387" s="28"/>
      <c r="KP387" s="28"/>
      <c r="KT387" s="28"/>
      <c r="KX387" s="28"/>
      <c r="LB387" s="28"/>
      <c r="LF387" s="28"/>
      <c r="LJ387" s="28"/>
    </row>
    <row r="388" spans="1:322" ht="13.2">
      <c r="A388" s="42"/>
      <c r="B388" s="42"/>
      <c r="C388" s="42"/>
      <c r="D388" s="52"/>
      <c r="E388" s="52"/>
      <c r="O388" s="43"/>
      <c r="AL388" s="44"/>
      <c r="AM388" s="44"/>
      <c r="AN388" s="44"/>
      <c r="AO388" s="44"/>
      <c r="AP388" s="44"/>
      <c r="AQ388" s="44"/>
      <c r="AR388" s="44"/>
      <c r="AS388" s="44"/>
      <c r="AT388" s="45"/>
      <c r="AY388" s="45"/>
      <c r="BH388" s="45"/>
      <c r="BK388" s="45"/>
      <c r="BT388" s="45"/>
      <c r="BU388" s="45"/>
      <c r="CK388" s="10"/>
      <c r="EF388" s="20"/>
      <c r="FD388" s="21"/>
      <c r="FE388" s="21"/>
      <c r="FN388" s="22"/>
      <c r="FO388" s="22"/>
      <c r="FZ388" s="23"/>
      <c r="GA388" s="23"/>
      <c r="JD388" s="26"/>
      <c r="JE388" s="26"/>
      <c r="JF388" s="27"/>
      <c r="JG388" s="27"/>
      <c r="KL388" s="28"/>
      <c r="KP388" s="28"/>
      <c r="KT388" s="28"/>
      <c r="KX388" s="28"/>
      <c r="LB388" s="28"/>
      <c r="LF388" s="28"/>
      <c r="LJ388" s="28"/>
    </row>
    <row r="389" spans="1:322" ht="13.2">
      <c r="A389" s="42"/>
      <c r="B389" s="42"/>
      <c r="C389" s="42"/>
      <c r="D389" s="52"/>
      <c r="E389" s="52"/>
      <c r="O389" s="43"/>
      <c r="AL389" s="44"/>
      <c r="AM389" s="44"/>
      <c r="AN389" s="44"/>
      <c r="AO389" s="44"/>
      <c r="AP389" s="44"/>
      <c r="AQ389" s="44"/>
      <c r="AR389" s="44"/>
      <c r="AS389" s="44"/>
      <c r="AT389" s="45"/>
      <c r="AY389" s="45"/>
      <c r="BH389" s="45"/>
      <c r="BK389" s="45"/>
      <c r="BT389" s="45"/>
      <c r="BU389" s="45"/>
      <c r="CK389" s="10"/>
      <c r="EF389" s="20"/>
      <c r="FD389" s="21"/>
      <c r="FE389" s="21"/>
      <c r="FN389" s="22"/>
      <c r="FO389" s="22"/>
      <c r="FZ389" s="23"/>
      <c r="GA389" s="23"/>
      <c r="JD389" s="26"/>
      <c r="JE389" s="26"/>
      <c r="JF389" s="27"/>
      <c r="JG389" s="27"/>
      <c r="KL389" s="28"/>
      <c r="KP389" s="28"/>
      <c r="KT389" s="28"/>
      <c r="KX389" s="28"/>
      <c r="LB389" s="28"/>
      <c r="LF389" s="28"/>
      <c r="LJ389" s="28"/>
    </row>
    <row r="390" spans="1:322" ht="13.2">
      <c r="A390" s="42"/>
      <c r="B390" s="42"/>
      <c r="C390" s="42"/>
      <c r="D390" s="52"/>
      <c r="E390" s="52"/>
      <c r="O390" s="43"/>
      <c r="AL390" s="44"/>
      <c r="AM390" s="44"/>
      <c r="AN390" s="44"/>
      <c r="AO390" s="44"/>
      <c r="AP390" s="44"/>
      <c r="AQ390" s="44"/>
      <c r="AR390" s="44"/>
      <c r="AS390" s="44"/>
      <c r="AT390" s="45"/>
      <c r="AY390" s="45"/>
      <c r="BH390" s="45"/>
      <c r="BK390" s="45"/>
      <c r="BT390" s="45"/>
      <c r="BU390" s="45"/>
      <c r="CK390" s="10"/>
      <c r="EF390" s="20"/>
      <c r="FD390" s="21"/>
      <c r="FE390" s="21"/>
      <c r="FN390" s="22"/>
      <c r="FO390" s="22"/>
      <c r="FZ390" s="23"/>
      <c r="GA390" s="23"/>
      <c r="JD390" s="26"/>
      <c r="JE390" s="26"/>
      <c r="JF390" s="27"/>
      <c r="JG390" s="27"/>
      <c r="KL390" s="28"/>
      <c r="KP390" s="28"/>
      <c r="KT390" s="28"/>
      <c r="KX390" s="28"/>
      <c r="LB390" s="28"/>
      <c r="LF390" s="28"/>
      <c r="LJ390" s="28"/>
    </row>
    <row r="391" spans="1:322" ht="13.2">
      <c r="A391" s="42"/>
      <c r="B391" s="42"/>
      <c r="C391" s="42"/>
      <c r="D391" s="52"/>
      <c r="E391" s="52"/>
      <c r="O391" s="43"/>
      <c r="AL391" s="44"/>
      <c r="AM391" s="44"/>
      <c r="AN391" s="44"/>
      <c r="AO391" s="44"/>
      <c r="AP391" s="44"/>
      <c r="AQ391" s="44"/>
      <c r="AR391" s="44"/>
      <c r="AS391" s="44"/>
      <c r="AT391" s="45"/>
      <c r="AY391" s="45"/>
      <c r="BH391" s="45"/>
      <c r="BK391" s="45"/>
      <c r="BT391" s="45"/>
      <c r="BU391" s="45"/>
      <c r="CK391" s="10"/>
      <c r="EF391" s="20"/>
      <c r="FD391" s="21"/>
      <c r="FE391" s="21"/>
      <c r="FN391" s="22"/>
      <c r="FO391" s="22"/>
      <c r="FZ391" s="23"/>
      <c r="GA391" s="23"/>
      <c r="JD391" s="26"/>
      <c r="JE391" s="26"/>
      <c r="JF391" s="27"/>
      <c r="JG391" s="27"/>
      <c r="KL391" s="28"/>
      <c r="KP391" s="28"/>
      <c r="KT391" s="28"/>
      <c r="KX391" s="28"/>
      <c r="LB391" s="28"/>
      <c r="LF391" s="28"/>
      <c r="LJ391" s="28"/>
    </row>
    <row r="392" spans="1:322" ht="13.2">
      <c r="A392" s="42"/>
      <c r="B392" s="42"/>
      <c r="C392" s="42"/>
      <c r="D392" s="52"/>
      <c r="E392" s="52"/>
      <c r="O392" s="43"/>
      <c r="AL392" s="44"/>
      <c r="AM392" s="44"/>
      <c r="AN392" s="44"/>
      <c r="AO392" s="44"/>
      <c r="AP392" s="44"/>
      <c r="AQ392" s="44"/>
      <c r="AR392" s="44"/>
      <c r="AS392" s="44"/>
      <c r="AT392" s="45"/>
      <c r="AY392" s="45"/>
      <c r="BH392" s="45"/>
      <c r="BK392" s="45"/>
      <c r="BT392" s="45"/>
      <c r="BU392" s="45"/>
      <c r="CK392" s="10"/>
      <c r="EF392" s="20"/>
      <c r="FD392" s="21"/>
      <c r="FE392" s="21"/>
      <c r="FN392" s="22"/>
      <c r="FO392" s="22"/>
      <c r="FZ392" s="23"/>
      <c r="GA392" s="23"/>
      <c r="JD392" s="26"/>
      <c r="JE392" s="26"/>
      <c r="JF392" s="27"/>
      <c r="JG392" s="27"/>
      <c r="KL392" s="28"/>
      <c r="KP392" s="28"/>
      <c r="KT392" s="28"/>
      <c r="KX392" s="28"/>
      <c r="LB392" s="28"/>
      <c r="LF392" s="28"/>
      <c r="LJ392" s="28"/>
    </row>
    <row r="393" spans="1:322" ht="13.2">
      <c r="A393" s="42"/>
      <c r="B393" s="42"/>
      <c r="C393" s="42"/>
      <c r="D393" s="52"/>
      <c r="E393" s="52"/>
      <c r="O393" s="43"/>
      <c r="AL393" s="44"/>
      <c r="AM393" s="44"/>
      <c r="AN393" s="44"/>
      <c r="AO393" s="44"/>
      <c r="AP393" s="44"/>
      <c r="AQ393" s="44"/>
      <c r="AR393" s="44"/>
      <c r="AS393" s="44"/>
      <c r="AT393" s="45"/>
      <c r="AY393" s="45"/>
      <c r="BH393" s="45"/>
      <c r="BK393" s="45"/>
      <c r="BT393" s="45"/>
      <c r="BU393" s="45"/>
      <c r="CK393" s="10"/>
      <c r="EF393" s="20"/>
      <c r="FD393" s="21"/>
      <c r="FE393" s="21"/>
      <c r="FN393" s="22"/>
      <c r="FO393" s="22"/>
      <c r="FZ393" s="23"/>
      <c r="GA393" s="23"/>
      <c r="JD393" s="26"/>
      <c r="JE393" s="26"/>
      <c r="JF393" s="27"/>
      <c r="JG393" s="27"/>
      <c r="KL393" s="28"/>
      <c r="KP393" s="28"/>
      <c r="KT393" s="28"/>
      <c r="KX393" s="28"/>
      <c r="LB393" s="28"/>
      <c r="LF393" s="28"/>
      <c r="LJ393" s="28"/>
    </row>
    <row r="394" spans="1:322" ht="13.2">
      <c r="A394" s="42"/>
      <c r="B394" s="42"/>
      <c r="C394" s="42"/>
      <c r="D394" s="52"/>
      <c r="E394" s="52"/>
      <c r="O394" s="43"/>
      <c r="AL394" s="44"/>
      <c r="AM394" s="44"/>
      <c r="AN394" s="44"/>
      <c r="AO394" s="44"/>
      <c r="AP394" s="44"/>
      <c r="AQ394" s="44"/>
      <c r="AR394" s="44"/>
      <c r="AS394" s="44"/>
      <c r="AT394" s="45"/>
      <c r="AY394" s="45"/>
      <c r="BH394" s="45"/>
      <c r="BK394" s="45"/>
      <c r="BT394" s="45"/>
      <c r="BU394" s="45"/>
      <c r="CK394" s="10"/>
      <c r="EF394" s="20"/>
      <c r="FD394" s="21"/>
      <c r="FE394" s="21"/>
      <c r="FN394" s="22"/>
      <c r="FO394" s="22"/>
      <c r="FZ394" s="23"/>
      <c r="GA394" s="23"/>
      <c r="JD394" s="26"/>
      <c r="JE394" s="26"/>
      <c r="JF394" s="27"/>
      <c r="JG394" s="27"/>
      <c r="KL394" s="28"/>
      <c r="KP394" s="28"/>
      <c r="KT394" s="28"/>
      <c r="KX394" s="28"/>
      <c r="LB394" s="28"/>
      <c r="LF394" s="28"/>
      <c r="LJ394" s="28"/>
    </row>
    <row r="395" spans="1:322" ht="13.2">
      <c r="A395" s="42"/>
      <c r="B395" s="42"/>
      <c r="C395" s="42"/>
      <c r="D395" s="52"/>
      <c r="E395" s="52"/>
      <c r="O395" s="43"/>
      <c r="AL395" s="44"/>
      <c r="AM395" s="44"/>
      <c r="AN395" s="44"/>
      <c r="AO395" s="44"/>
      <c r="AP395" s="44"/>
      <c r="AQ395" s="44"/>
      <c r="AR395" s="44"/>
      <c r="AS395" s="44"/>
      <c r="AT395" s="45"/>
      <c r="AY395" s="45"/>
      <c r="BH395" s="45"/>
      <c r="BK395" s="45"/>
      <c r="BT395" s="45"/>
      <c r="BU395" s="45"/>
      <c r="CK395" s="10"/>
      <c r="EF395" s="20"/>
      <c r="FD395" s="21"/>
      <c r="FE395" s="21"/>
      <c r="FN395" s="22"/>
      <c r="FO395" s="22"/>
      <c r="FZ395" s="23"/>
      <c r="GA395" s="23"/>
      <c r="JD395" s="26"/>
      <c r="JE395" s="26"/>
      <c r="JF395" s="27"/>
      <c r="JG395" s="27"/>
      <c r="KL395" s="28"/>
      <c r="KP395" s="28"/>
      <c r="KT395" s="28"/>
      <c r="KX395" s="28"/>
      <c r="LB395" s="28"/>
      <c r="LF395" s="28"/>
      <c r="LJ395" s="28"/>
    </row>
    <row r="396" spans="1:322" ht="13.2">
      <c r="A396" s="42"/>
      <c r="B396" s="42"/>
      <c r="C396" s="42"/>
      <c r="D396" s="52"/>
      <c r="E396" s="52"/>
      <c r="O396" s="43"/>
      <c r="AL396" s="44"/>
      <c r="AM396" s="44"/>
      <c r="AN396" s="44"/>
      <c r="AO396" s="44"/>
      <c r="AP396" s="44"/>
      <c r="AQ396" s="44"/>
      <c r="AR396" s="44"/>
      <c r="AS396" s="44"/>
      <c r="AT396" s="45"/>
      <c r="AY396" s="45"/>
      <c r="BH396" s="45"/>
      <c r="BK396" s="45"/>
      <c r="BT396" s="45"/>
      <c r="BU396" s="45"/>
      <c r="CK396" s="10"/>
      <c r="EF396" s="20"/>
      <c r="FD396" s="21"/>
      <c r="FE396" s="21"/>
      <c r="FN396" s="22"/>
      <c r="FO396" s="22"/>
      <c r="FZ396" s="23"/>
      <c r="GA396" s="23"/>
      <c r="JD396" s="26"/>
      <c r="JE396" s="26"/>
      <c r="JF396" s="27"/>
      <c r="JG396" s="27"/>
      <c r="KL396" s="28"/>
      <c r="KP396" s="28"/>
      <c r="KT396" s="28"/>
      <c r="KX396" s="28"/>
      <c r="LB396" s="28"/>
      <c r="LF396" s="28"/>
      <c r="LJ396" s="28"/>
    </row>
    <row r="397" spans="1:322" ht="13.2">
      <c r="A397" s="42"/>
      <c r="B397" s="42"/>
      <c r="C397" s="42"/>
      <c r="D397" s="52"/>
      <c r="E397" s="52"/>
      <c r="O397" s="43"/>
      <c r="AL397" s="44"/>
      <c r="AM397" s="44"/>
      <c r="AN397" s="44"/>
      <c r="AO397" s="44"/>
      <c r="AP397" s="44"/>
      <c r="AQ397" s="44"/>
      <c r="AR397" s="44"/>
      <c r="AS397" s="44"/>
      <c r="AT397" s="45"/>
      <c r="AY397" s="45"/>
      <c r="BH397" s="45"/>
      <c r="BK397" s="45"/>
      <c r="BT397" s="45"/>
      <c r="BU397" s="45"/>
      <c r="CK397" s="10"/>
      <c r="EF397" s="20"/>
      <c r="FD397" s="21"/>
      <c r="FE397" s="21"/>
      <c r="FN397" s="22"/>
      <c r="FO397" s="22"/>
      <c r="FZ397" s="23"/>
      <c r="GA397" s="23"/>
      <c r="JD397" s="26"/>
      <c r="JE397" s="26"/>
      <c r="JF397" s="27"/>
      <c r="JG397" s="27"/>
      <c r="KL397" s="28"/>
      <c r="KP397" s="28"/>
      <c r="KT397" s="28"/>
      <c r="KX397" s="28"/>
      <c r="LB397" s="28"/>
      <c r="LF397" s="28"/>
      <c r="LJ397" s="28"/>
    </row>
    <row r="398" spans="1:322" ht="13.2">
      <c r="A398" s="42"/>
      <c r="B398" s="42"/>
      <c r="C398" s="42"/>
      <c r="D398" s="52"/>
      <c r="E398" s="52"/>
      <c r="O398" s="43"/>
      <c r="AL398" s="44"/>
      <c r="AM398" s="44"/>
      <c r="AN398" s="44"/>
      <c r="AO398" s="44"/>
      <c r="AP398" s="44"/>
      <c r="AQ398" s="44"/>
      <c r="AR398" s="44"/>
      <c r="AS398" s="44"/>
      <c r="AT398" s="45"/>
      <c r="AY398" s="45"/>
      <c r="BH398" s="45"/>
      <c r="BK398" s="45"/>
      <c r="BT398" s="45"/>
      <c r="BU398" s="45"/>
      <c r="CK398" s="10"/>
      <c r="EF398" s="20"/>
      <c r="FD398" s="21"/>
      <c r="FE398" s="21"/>
      <c r="FN398" s="22"/>
      <c r="FO398" s="22"/>
      <c r="FZ398" s="23"/>
      <c r="GA398" s="23"/>
      <c r="JD398" s="26"/>
      <c r="JE398" s="26"/>
      <c r="JF398" s="27"/>
      <c r="JG398" s="27"/>
      <c r="KL398" s="28"/>
      <c r="KP398" s="28"/>
      <c r="KT398" s="28"/>
      <c r="KX398" s="28"/>
      <c r="LB398" s="28"/>
      <c r="LF398" s="28"/>
      <c r="LJ398" s="28"/>
    </row>
    <row r="399" spans="1:322" ht="13.2">
      <c r="A399" s="42"/>
      <c r="B399" s="42"/>
      <c r="C399" s="42"/>
      <c r="D399" s="52"/>
      <c r="E399" s="52"/>
      <c r="O399" s="43"/>
      <c r="AL399" s="44"/>
      <c r="AM399" s="44"/>
      <c r="AN399" s="44"/>
      <c r="AO399" s="44"/>
      <c r="AP399" s="44"/>
      <c r="AQ399" s="44"/>
      <c r="AR399" s="44"/>
      <c r="AS399" s="44"/>
      <c r="AT399" s="45"/>
      <c r="AY399" s="45"/>
      <c r="BH399" s="45"/>
      <c r="BK399" s="45"/>
      <c r="BT399" s="45"/>
      <c r="BU399" s="45"/>
      <c r="CK399" s="10"/>
      <c r="EF399" s="20"/>
      <c r="FD399" s="21"/>
      <c r="FE399" s="21"/>
      <c r="FN399" s="22"/>
      <c r="FO399" s="22"/>
      <c r="FZ399" s="23"/>
      <c r="GA399" s="23"/>
      <c r="JD399" s="26"/>
      <c r="JE399" s="26"/>
      <c r="JF399" s="27"/>
      <c r="JG399" s="27"/>
      <c r="KL399" s="28"/>
      <c r="KP399" s="28"/>
      <c r="KT399" s="28"/>
      <c r="KX399" s="28"/>
      <c r="LB399" s="28"/>
      <c r="LF399" s="28"/>
      <c r="LJ399" s="28"/>
    </row>
    <row r="400" spans="1:322" ht="13.2">
      <c r="A400" s="42"/>
      <c r="B400" s="42"/>
      <c r="C400" s="42"/>
      <c r="D400" s="52"/>
      <c r="E400" s="52"/>
      <c r="O400" s="43"/>
      <c r="AL400" s="44"/>
      <c r="AM400" s="44"/>
      <c r="AN400" s="44"/>
      <c r="AO400" s="44"/>
      <c r="AP400" s="44"/>
      <c r="AQ400" s="44"/>
      <c r="AR400" s="44"/>
      <c r="AS400" s="44"/>
      <c r="AT400" s="45"/>
      <c r="AY400" s="45"/>
      <c r="BH400" s="45"/>
      <c r="BK400" s="45"/>
      <c r="BT400" s="45"/>
      <c r="BU400" s="45"/>
      <c r="CK400" s="10"/>
      <c r="EF400" s="20"/>
      <c r="FD400" s="21"/>
      <c r="FE400" s="21"/>
      <c r="FN400" s="22"/>
      <c r="FO400" s="22"/>
      <c r="FZ400" s="23"/>
      <c r="GA400" s="23"/>
      <c r="JD400" s="26"/>
      <c r="JE400" s="26"/>
      <c r="JF400" s="27"/>
      <c r="JG400" s="27"/>
      <c r="KL400" s="28"/>
      <c r="KP400" s="28"/>
      <c r="KT400" s="28"/>
      <c r="KX400" s="28"/>
      <c r="LB400" s="28"/>
      <c r="LF400" s="28"/>
      <c r="LJ400" s="28"/>
    </row>
    <row r="401" spans="1:322" ht="13.2">
      <c r="A401" s="42"/>
      <c r="B401" s="42"/>
      <c r="C401" s="42"/>
      <c r="D401" s="52"/>
      <c r="E401" s="52"/>
      <c r="O401" s="43"/>
      <c r="AL401" s="44"/>
      <c r="AM401" s="44"/>
      <c r="AN401" s="44"/>
      <c r="AO401" s="44"/>
      <c r="AP401" s="44"/>
      <c r="AQ401" s="44"/>
      <c r="AR401" s="44"/>
      <c r="AS401" s="44"/>
      <c r="AT401" s="45"/>
      <c r="AY401" s="45"/>
      <c r="BH401" s="45"/>
      <c r="BK401" s="45"/>
      <c r="BT401" s="45"/>
      <c r="BU401" s="45"/>
      <c r="CK401" s="10"/>
      <c r="EF401" s="20"/>
      <c r="FD401" s="21"/>
      <c r="FE401" s="21"/>
      <c r="FN401" s="22"/>
      <c r="FO401" s="22"/>
      <c r="FZ401" s="23"/>
      <c r="GA401" s="23"/>
      <c r="JD401" s="26"/>
      <c r="JE401" s="26"/>
      <c r="JF401" s="27"/>
      <c r="JG401" s="27"/>
      <c r="KL401" s="28"/>
      <c r="KP401" s="28"/>
      <c r="KT401" s="28"/>
      <c r="KX401" s="28"/>
      <c r="LB401" s="28"/>
      <c r="LF401" s="28"/>
      <c r="LJ401" s="28"/>
    </row>
    <row r="402" spans="1:322" ht="13.2">
      <c r="A402" s="42"/>
      <c r="B402" s="42"/>
      <c r="C402" s="42"/>
      <c r="D402" s="52"/>
      <c r="E402" s="52"/>
      <c r="O402" s="43"/>
      <c r="AL402" s="44"/>
      <c r="AM402" s="44"/>
      <c r="AN402" s="44"/>
      <c r="AO402" s="44"/>
      <c r="AP402" s="44"/>
      <c r="AQ402" s="44"/>
      <c r="AR402" s="44"/>
      <c r="AS402" s="44"/>
      <c r="AT402" s="45"/>
      <c r="AY402" s="45"/>
      <c r="BH402" s="45"/>
      <c r="BK402" s="45"/>
      <c r="BT402" s="45"/>
      <c r="BU402" s="45"/>
      <c r="CK402" s="10"/>
      <c r="EF402" s="20"/>
      <c r="FD402" s="21"/>
      <c r="FE402" s="21"/>
      <c r="FN402" s="22"/>
      <c r="FO402" s="22"/>
      <c r="FZ402" s="23"/>
      <c r="GA402" s="23"/>
      <c r="JD402" s="26"/>
      <c r="JE402" s="26"/>
      <c r="JF402" s="27"/>
      <c r="JG402" s="27"/>
      <c r="KL402" s="28"/>
      <c r="KP402" s="28"/>
      <c r="KT402" s="28"/>
      <c r="KX402" s="28"/>
      <c r="LB402" s="28"/>
      <c r="LF402" s="28"/>
      <c r="LJ402" s="28"/>
    </row>
    <row r="403" spans="1:322" ht="13.2">
      <c r="A403" s="42"/>
      <c r="B403" s="42"/>
      <c r="C403" s="42"/>
      <c r="D403" s="52"/>
      <c r="E403" s="52"/>
      <c r="O403" s="43"/>
      <c r="AL403" s="44"/>
      <c r="AM403" s="44"/>
      <c r="AN403" s="44"/>
      <c r="AO403" s="44"/>
      <c r="AP403" s="44"/>
      <c r="AQ403" s="44"/>
      <c r="AR403" s="44"/>
      <c r="AS403" s="44"/>
      <c r="AT403" s="45"/>
      <c r="AY403" s="45"/>
      <c r="BH403" s="45"/>
      <c r="BK403" s="45"/>
      <c r="BT403" s="45"/>
      <c r="BU403" s="45"/>
      <c r="CK403" s="10"/>
      <c r="EF403" s="20"/>
      <c r="FD403" s="21"/>
      <c r="FE403" s="21"/>
      <c r="FN403" s="22"/>
      <c r="FO403" s="22"/>
      <c r="FZ403" s="23"/>
      <c r="GA403" s="23"/>
      <c r="JD403" s="26"/>
      <c r="JE403" s="26"/>
      <c r="JF403" s="27"/>
      <c r="JG403" s="27"/>
      <c r="KL403" s="28"/>
      <c r="KP403" s="28"/>
      <c r="KT403" s="28"/>
      <c r="KX403" s="28"/>
      <c r="LB403" s="28"/>
      <c r="LF403" s="28"/>
      <c r="LJ403" s="28"/>
    </row>
    <row r="404" spans="1:322" ht="13.2">
      <c r="A404" s="42"/>
      <c r="B404" s="42"/>
      <c r="C404" s="42"/>
      <c r="D404" s="52"/>
      <c r="E404" s="52"/>
      <c r="O404" s="43"/>
      <c r="AL404" s="44"/>
      <c r="AM404" s="44"/>
      <c r="AN404" s="44"/>
      <c r="AO404" s="44"/>
      <c r="AP404" s="44"/>
      <c r="AQ404" s="44"/>
      <c r="AR404" s="44"/>
      <c r="AS404" s="44"/>
      <c r="AT404" s="45"/>
      <c r="AY404" s="45"/>
      <c r="BH404" s="45"/>
      <c r="BK404" s="45"/>
      <c r="BT404" s="45"/>
      <c r="BU404" s="45"/>
      <c r="CK404" s="10"/>
      <c r="EF404" s="20"/>
      <c r="FD404" s="21"/>
      <c r="FE404" s="21"/>
      <c r="FN404" s="22"/>
      <c r="FO404" s="22"/>
      <c r="FZ404" s="23"/>
      <c r="GA404" s="23"/>
      <c r="JD404" s="26"/>
      <c r="JE404" s="26"/>
      <c r="JF404" s="27"/>
      <c r="JG404" s="27"/>
      <c r="KL404" s="28"/>
      <c r="KP404" s="28"/>
      <c r="KT404" s="28"/>
      <c r="KX404" s="28"/>
      <c r="LB404" s="28"/>
      <c r="LF404" s="28"/>
      <c r="LJ404" s="28"/>
    </row>
    <row r="405" spans="1:322" ht="13.2">
      <c r="A405" s="42"/>
      <c r="B405" s="42"/>
      <c r="C405" s="42"/>
      <c r="D405" s="52"/>
      <c r="E405" s="52"/>
      <c r="O405" s="43"/>
      <c r="AL405" s="44"/>
      <c r="AM405" s="44"/>
      <c r="AN405" s="44"/>
      <c r="AO405" s="44"/>
      <c r="AP405" s="44"/>
      <c r="AQ405" s="44"/>
      <c r="AR405" s="44"/>
      <c r="AS405" s="44"/>
      <c r="AT405" s="45"/>
      <c r="AY405" s="45"/>
      <c r="BH405" s="45"/>
      <c r="BK405" s="45"/>
      <c r="BT405" s="45"/>
      <c r="BU405" s="45"/>
      <c r="CK405" s="10"/>
      <c r="EF405" s="20"/>
      <c r="FD405" s="21"/>
      <c r="FE405" s="21"/>
      <c r="FN405" s="22"/>
      <c r="FO405" s="22"/>
      <c r="FZ405" s="23"/>
      <c r="GA405" s="23"/>
      <c r="JD405" s="26"/>
      <c r="JE405" s="26"/>
      <c r="JF405" s="27"/>
      <c r="JG405" s="27"/>
      <c r="KL405" s="28"/>
      <c r="KP405" s="28"/>
      <c r="KT405" s="28"/>
      <c r="KX405" s="28"/>
      <c r="LB405" s="28"/>
      <c r="LF405" s="28"/>
      <c r="LJ405" s="28"/>
    </row>
    <row r="406" spans="1:322" ht="13.2">
      <c r="A406" s="42"/>
      <c r="B406" s="42"/>
      <c r="C406" s="42"/>
      <c r="D406" s="52"/>
      <c r="E406" s="52"/>
      <c r="O406" s="43"/>
      <c r="AL406" s="44"/>
      <c r="AM406" s="44"/>
      <c r="AN406" s="44"/>
      <c r="AO406" s="44"/>
      <c r="AP406" s="44"/>
      <c r="AQ406" s="44"/>
      <c r="AR406" s="44"/>
      <c r="AS406" s="44"/>
      <c r="AT406" s="45"/>
      <c r="AY406" s="45"/>
      <c r="BH406" s="45"/>
      <c r="BK406" s="45"/>
      <c r="BT406" s="45"/>
      <c r="BU406" s="45"/>
      <c r="CK406" s="10"/>
      <c r="EF406" s="20"/>
      <c r="FD406" s="21"/>
      <c r="FE406" s="21"/>
      <c r="FN406" s="22"/>
      <c r="FO406" s="22"/>
      <c r="FZ406" s="23"/>
      <c r="GA406" s="23"/>
      <c r="JD406" s="26"/>
      <c r="JE406" s="26"/>
      <c r="JF406" s="27"/>
      <c r="JG406" s="27"/>
      <c r="KL406" s="28"/>
      <c r="KP406" s="28"/>
      <c r="KT406" s="28"/>
      <c r="KX406" s="28"/>
      <c r="LB406" s="28"/>
      <c r="LF406" s="28"/>
      <c r="LJ406" s="28"/>
    </row>
    <row r="407" spans="1:322" ht="13.2">
      <c r="A407" s="42"/>
      <c r="B407" s="42"/>
      <c r="C407" s="42"/>
      <c r="D407" s="52"/>
      <c r="E407" s="52"/>
      <c r="O407" s="43"/>
      <c r="AL407" s="44"/>
      <c r="AM407" s="44"/>
      <c r="AN407" s="44"/>
      <c r="AO407" s="44"/>
      <c r="AP407" s="44"/>
      <c r="AQ407" s="44"/>
      <c r="AR407" s="44"/>
      <c r="AS407" s="44"/>
      <c r="AT407" s="45"/>
      <c r="AY407" s="45"/>
      <c r="BH407" s="45"/>
      <c r="BK407" s="45"/>
      <c r="BT407" s="45"/>
      <c r="BU407" s="45"/>
      <c r="CK407" s="10"/>
      <c r="EF407" s="20"/>
      <c r="FD407" s="21"/>
      <c r="FE407" s="21"/>
      <c r="FN407" s="22"/>
      <c r="FO407" s="22"/>
      <c r="FZ407" s="23"/>
      <c r="GA407" s="23"/>
      <c r="JD407" s="26"/>
      <c r="JE407" s="26"/>
      <c r="JF407" s="27"/>
      <c r="JG407" s="27"/>
      <c r="KL407" s="28"/>
      <c r="KP407" s="28"/>
      <c r="KT407" s="28"/>
      <c r="KX407" s="28"/>
      <c r="LB407" s="28"/>
      <c r="LF407" s="28"/>
      <c r="LJ407" s="28"/>
    </row>
    <row r="408" spans="1:322" ht="13.2">
      <c r="A408" s="42"/>
      <c r="B408" s="42"/>
      <c r="C408" s="42"/>
      <c r="D408" s="52"/>
      <c r="E408" s="52"/>
      <c r="O408" s="43"/>
      <c r="AL408" s="44"/>
      <c r="AM408" s="44"/>
      <c r="AN408" s="44"/>
      <c r="AO408" s="44"/>
      <c r="AP408" s="44"/>
      <c r="AQ408" s="44"/>
      <c r="AR408" s="44"/>
      <c r="AS408" s="44"/>
      <c r="AT408" s="45"/>
      <c r="AY408" s="45"/>
      <c r="BH408" s="45"/>
      <c r="BK408" s="45"/>
      <c r="BT408" s="45"/>
      <c r="BU408" s="45"/>
      <c r="CK408" s="10"/>
      <c r="EF408" s="20"/>
      <c r="FD408" s="21"/>
      <c r="FE408" s="21"/>
      <c r="FN408" s="22"/>
      <c r="FO408" s="22"/>
      <c r="FZ408" s="23"/>
      <c r="GA408" s="23"/>
      <c r="JD408" s="26"/>
      <c r="JE408" s="26"/>
      <c r="JF408" s="27"/>
      <c r="JG408" s="27"/>
      <c r="KL408" s="28"/>
      <c r="KP408" s="28"/>
      <c r="KT408" s="28"/>
      <c r="KX408" s="28"/>
      <c r="LB408" s="28"/>
      <c r="LF408" s="28"/>
      <c r="LJ408" s="28"/>
    </row>
    <row r="409" spans="1:322" ht="13.2">
      <c r="A409" s="42"/>
      <c r="B409" s="42"/>
      <c r="C409" s="42"/>
      <c r="D409" s="52"/>
      <c r="E409" s="52"/>
      <c r="O409" s="43"/>
      <c r="AL409" s="44"/>
      <c r="AM409" s="44"/>
      <c r="AN409" s="44"/>
      <c r="AO409" s="44"/>
      <c r="AP409" s="44"/>
      <c r="AQ409" s="44"/>
      <c r="AR409" s="44"/>
      <c r="AS409" s="44"/>
      <c r="AT409" s="45"/>
      <c r="AY409" s="45"/>
      <c r="BH409" s="45"/>
      <c r="BK409" s="45"/>
      <c r="BT409" s="45"/>
      <c r="BU409" s="45"/>
      <c r="CK409" s="10"/>
      <c r="EF409" s="20"/>
      <c r="FD409" s="21"/>
      <c r="FE409" s="21"/>
      <c r="FN409" s="22"/>
      <c r="FO409" s="22"/>
      <c r="FZ409" s="23"/>
      <c r="GA409" s="23"/>
      <c r="JD409" s="26"/>
      <c r="JE409" s="26"/>
      <c r="JF409" s="27"/>
      <c r="JG409" s="27"/>
      <c r="KL409" s="28"/>
      <c r="KP409" s="28"/>
      <c r="KT409" s="28"/>
      <c r="KX409" s="28"/>
      <c r="LB409" s="28"/>
      <c r="LF409" s="28"/>
      <c r="LJ409" s="28"/>
    </row>
    <row r="410" spans="1:322" ht="13.2">
      <c r="A410" s="42"/>
      <c r="B410" s="42"/>
      <c r="C410" s="42"/>
      <c r="D410" s="52"/>
      <c r="E410" s="52"/>
      <c r="O410" s="43"/>
      <c r="AL410" s="44"/>
      <c r="AM410" s="44"/>
      <c r="AN410" s="44"/>
      <c r="AO410" s="44"/>
      <c r="AP410" s="44"/>
      <c r="AQ410" s="44"/>
      <c r="AR410" s="44"/>
      <c r="AS410" s="44"/>
      <c r="AT410" s="45"/>
      <c r="AY410" s="45"/>
      <c r="BH410" s="45"/>
      <c r="BK410" s="45"/>
      <c r="BT410" s="45"/>
      <c r="BU410" s="45"/>
      <c r="CK410" s="10"/>
      <c r="EF410" s="20"/>
      <c r="FD410" s="21"/>
      <c r="FE410" s="21"/>
      <c r="FN410" s="22"/>
      <c r="FO410" s="22"/>
      <c r="FZ410" s="23"/>
      <c r="GA410" s="23"/>
      <c r="JD410" s="26"/>
      <c r="JE410" s="26"/>
      <c r="JF410" s="27"/>
      <c r="JG410" s="27"/>
      <c r="KL410" s="28"/>
      <c r="KP410" s="28"/>
      <c r="KT410" s="28"/>
      <c r="KX410" s="28"/>
      <c r="LB410" s="28"/>
      <c r="LF410" s="28"/>
      <c r="LJ410" s="28"/>
    </row>
    <row r="411" spans="1:322" ht="13.2">
      <c r="A411" s="42"/>
      <c r="B411" s="42"/>
      <c r="C411" s="42"/>
      <c r="D411" s="52"/>
      <c r="E411" s="52"/>
      <c r="O411" s="43"/>
      <c r="AL411" s="44"/>
      <c r="AM411" s="44"/>
      <c r="AN411" s="44"/>
      <c r="AO411" s="44"/>
      <c r="AP411" s="44"/>
      <c r="AQ411" s="44"/>
      <c r="AR411" s="44"/>
      <c r="AS411" s="44"/>
      <c r="AT411" s="45"/>
      <c r="AY411" s="45"/>
      <c r="BH411" s="45"/>
      <c r="BK411" s="45"/>
      <c r="BT411" s="45"/>
      <c r="BU411" s="45"/>
      <c r="CK411" s="10"/>
      <c r="EF411" s="20"/>
      <c r="FD411" s="21"/>
      <c r="FE411" s="21"/>
      <c r="FN411" s="22"/>
      <c r="FO411" s="22"/>
      <c r="FZ411" s="23"/>
      <c r="GA411" s="23"/>
      <c r="JD411" s="26"/>
      <c r="JE411" s="26"/>
      <c r="JF411" s="27"/>
      <c r="JG411" s="27"/>
      <c r="KL411" s="28"/>
      <c r="KP411" s="28"/>
      <c r="KT411" s="28"/>
      <c r="KX411" s="28"/>
      <c r="LB411" s="28"/>
      <c r="LF411" s="28"/>
      <c r="LJ411" s="28"/>
    </row>
    <row r="412" spans="1:322" ht="13.2">
      <c r="A412" s="42"/>
      <c r="B412" s="42"/>
      <c r="C412" s="42"/>
      <c r="D412" s="52"/>
      <c r="E412" s="52"/>
      <c r="O412" s="43"/>
      <c r="AL412" s="44"/>
      <c r="AM412" s="44"/>
      <c r="AN412" s="44"/>
      <c r="AO412" s="44"/>
      <c r="AP412" s="44"/>
      <c r="AQ412" s="44"/>
      <c r="AR412" s="44"/>
      <c r="AS412" s="44"/>
      <c r="AT412" s="45"/>
      <c r="AY412" s="45"/>
      <c r="BH412" s="45"/>
      <c r="BK412" s="45"/>
      <c r="BT412" s="45"/>
      <c r="BU412" s="45"/>
      <c r="CK412" s="10"/>
      <c r="EF412" s="20"/>
      <c r="FD412" s="21"/>
      <c r="FE412" s="21"/>
      <c r="FN412" s="22"/>
      <c r="FO412" s="22"/>
      <c r="FZ412" s="23"/>
      <c r="GA412" s="23"/>
      <c r="JD412" s="26"/>
      <c r="JE412" s="26"/>
      <c r="JF412" s="27"/>
      <c r="JG412" s="27"/>
      <c r="KL412" s="28"/>
      <c r="KP412" s="28"/>
      <c r="KT412" s="28"/>
      <c r="KX412" s="28"/>
      <c r="LB412" s="28"/>
      <c r="LF412" s="28"/>
      <c r="LJ412" s="28"/>
    </row>
    <row r="413" spans="1:322" ht="13.2">
      <c r="A413" s="42"/>
      <c r="B413" s="42"/>
      <c r="C413" s="42"/>
      <c r="D413" s="52"/>
      <c r="E413" s="52"/>
      <c r="O413" s="43"/>
      <c r="AL413" s="44"/>
      <c r="AM413" s="44"/>
      <c r="AN413" s="44"/>
      <c r="AO413" s="44"/>
      <c r="AP413" s="44"/>
      <c r="AQ413" s="44"/>
      <c r="AR413" s="44"/>
      <c r="AS413" s="44"/>
      <c r="AT413" s="45"/>
      <c r="AY413" s="45"/>
      <c r="BH413" s="45"/>
      <c r="BK413" s="45"/>
      <c r="BT413" s="45"/>
      <c r="BU413" s="45"/>
      <c r="CK413" s="10"/>
      <c r="EF413" s="20"/>
      <c r="FD413" s="21"/>
      <c r="FE413" s="21"/>
      <c r="FN413" s="22"/>
      <c r="FO413" s="22"/>
      <c r="FZ413" s="23"/>
      <c r="GA413" s="23"/>
      <c r="JD413" s="26"/>
      <c r="JE413" s="26"/>
      <c r="JF413" s="27"/>
      <c r="JG413" s="27"/>
      <c r="KL413" s="28"/>
      <c r="KP413" s="28"/>
      <c r="KT413" s="28"/>
      <c r="KX413" s="28"/>
      <c r="LB413" s="28"/>
      <c r="LF413" s="28"/>
      <c r="LJ413" s="28"/>
    </row>
    <row r="414" spans="1:322" ht="13.2">
      <c r="A414" s="42"/>
      <c r="B414" s="42"/>
      <c r="C414" s="42"/>
      <c r="D414" s="52"/>
      <c r="E414" s="52"/>
      <c r="O414" s="43"/>
      <c r="AL414" s="44"/>
      <c r="AM414" s="44"/>
      <c r="AN414" s="44"/>
      <c r="AO414" s="44"/>
      <c r="AP414" s="44"/>
      <c r="AQ414" s="44"/>
      <c r="AR414" s="44"/>
      <c r="AS414" s="44"/>
      <c r="AT414" s="45"/>
      <c r="AY414" s="45"/>
      <c r="BH414" s="45"/>
      <c r="BK414" s="45"/>
      <c r="BT414" s="45"/>
      <c r="BU414" s="45"/>
      <c r="CK414" s="10"/>
      <c r="EF414" s="20"/>
      <c r="FD414" s="21"/>
      <c r="FE414" s="21"/>
      <c r="FN414" s="22"/>
      <c r="FO414" s="22"/>
      <c r="FZ414" s="23"/>
      <c r="GA414" s="23"/>
      <c r="JD414" s="26"/>
      <c r="JE414" s="26"/>
      <c r="JF414" s="27"/>
      <c r="JG414" s="27"/>
      <c r="KL414" s="28"/>
      <c r="KP414" s="28"/>
      <c r="KT414" s="28"/>
      <c r="KX414" s="28"/>
      <c r="LB414" s="28"/>
      <c r="LF414" s="28"/>
      <c r="LJ414" s="28"/>
    </row>
    <row r="415" spans="1:322" ht="13.2">
      <c r="A415" s="42"/>
      <c r="B415" s="42"/>
      <c r="C415" s="42"/>
      <c r="D415" s="52"/>
      <c r="E415" s="52"/>
      <c r="O415" s="43"/>
      <c r="AL415" s="44"/>
      <c r="AM415" s="44"/>
      <c r="AN415" s="44"/>
      <c r="AO415" s="44"/>
      <c r="AP415" s="44"/>
      <c r="AQ415" s="44"/>
      <c r="AR415" s="44"/>
      <c r="AS415" s="44"/>
      <c r="AT415" s="45"/>
      <c r="AY415" s="45"/>
      <c r="BH415" s="45"/>
      <c r="BK415" s="45"/>
      <c r="BT415" s="45"/>
      <c r="BU415" s="45"/>
      <c r="CK415" s="10"/>
      <c r="EF415" s="20"/>
      <c r="FD415" s="21"/>
      <c r="FE415" s="21"/>
      <c r="FN415" s="22"/>
      <c r="FO415" s="22"/>
      <c r="FZ415" s="23"/>
      <c r="GA415" s="23"/>
      <c r="JD415" s="26"/>
      <c r="JE415" s="26"/>
      <c r="JF415" s="27"/>
      <c r="JG415" s="27"/>
      <c r="KL415" s="28"/>
      <c r="KP415" s="28"/>
      <c r="KT415" s="28"/>
      <c r="KX415" s="28"/>
      <c r="LB415" s="28"/>
      <c r="LF415" s="28"/>
      <c r="LJ415" s="28"/>
    </row>
    <row r="416" spans="1:322" ht="13.2">
      <c r="A416" s="42"/>
      <c r="B416" s="42"/>
      <c r="C416" s="42"/>
      <c r="D416" s="52"/>
      <c r="E416" s="52"/>
      <c r="O416" s="43"/>
      <c r="AL416" s="44"/>
      <c r="AM416" s="44"/>
      <c r="AN416" s="44"/>
      <c r="AO416" s="44"/>
      <c r="AP416" s="44"/>
      <c r="AQ416" s="44"/>
      <c r="AR416" s="44"/>
      <c r="AS416" s="44"/>
      <c r="AT416" s="45"/>
      <c r="AY416" s="45"/>
      <c r="BH416" s="45"/>
      <c r="BK416" s="45"/>
      <c r="BT416" s="45"/>
      <c r="BU416" s="45"/>
      <c r="CK416" s="10"/>
      <c r="EF416" s="20"/>
      <c r="FD416" s="21"/>
      <c r="FE416" s="21"/>
      <c r="FN416" s="22"/>
      <c r="FO416" s="22"/>
      <c r="FZ416" s="23"/>
      <c r="GA416" s="23"/>
      <c r="JD416" s="26"/>
      <c r="JE416" s="26"/>
      <c r="JF416" s="27"/>
      <c r="JG416" s="27"/>
      <c r="KL416" s="28"/>
      <c r="KP416" s="28"/>
      <c r="KT416" s="28"/>
      <c r="KX416" s="28"/>
      <c r="LB416" s="28"/>
      <c r="LF416" s="28"/>
      <c r="LJ416" s="28"/>
    </row>
    <row r="417" spans="1:322" ht="13.2">
      <c r="A417" s="42"/>
      <c r="B417" s="42"/>
      <c r="C417" s="42"/>
      <c r="D417" s="52"/>
      <c r="E417" s="52"/>
      <c r="O417" s="43"/>
      <c r="AL417" s="44"/>
      <c r="AM417" s="44"/>
      <c r="AN417" s="44"/>
      <c r="AO417" s="44"/>
      <c r="AP417" s="44"/>
      <c r="AQ417" s="44"/>
      <c r="AR417" s="44"/>
      <c r="AS417" s="44"/>
      <c r="AT417" s="45"/>
      <c r="AY417" s="45"/>
      <c r="BH417" s="45"/>
      <c r="BK417" s="45"/>
      <c r="BT417" s="45"/>
      <c r="BU417" s="45"/>
      <c r="CK417" s="10"/>
      <c r="EF417" s="20"/>
      <c r="FD417" s="21"/>
      <c r="FE417" s="21"/>
      <c r="FN417" s="22"/>
      <c r="FO417" s="22"/>
      <c r="FZ417" s="23"/>
      <c r="GA417" s="23"/>
      <c r="JD417" s="26"/>
      <c r="JE417" s="26"/>
      <c r="JF417" s="27"/>
      <c r="JG417" s="27"/>
      <c r="KL417" s="28"/>
      <c r="KP417" s="28"/>
      <c r="KT417" s="28"/>
      <c r="KX417" s="28"/>
      <c r="LB417" s="28"/>
      <c r="LF417" s="28"/>
      <c r="LJ417" s="28"/>
    </row>
    <row r="418" spans="1:322" ht="13.2">
      <c r="A418" s="42"/>
      <c r="B418" s="42"/>
      <c r="C418" s="42"/>
      <c r="D418" s="52"/>
      <c r="E418" s="52"/>
      <c r="O418" s="43"/>
      <c r="AL418" s="44"/>
      <c r="AM418" s="44"/>
      <c r="AN418" s="44"/>
      <c r="AO418" s="44"/>
      <c r="AP418" s="44"/>
      <c r="AQ418" s="44"/>
      <c r="AR418" s="44"/>
      <c r="AS418" s="44"/>
      <c r="AT418" s="45"/>
      <c r="AY418" s="45"/>
      <c r="BH418" s="45"/>
      <c r="BK418" s="45"/>
      <c r="BT418" s="45"/>
      <c r="BU418" s="45"/>
      <c r="CK418" s="10"/>
      <c r="EF418" s="20"/>
      <c r="FD418" s="21"/>
      <c r="FE418" s="21"/>
      <c r="FN418" s="22"/>
      <c r="FO418" s="22"/>
      <c r="FZ418" s="23"/>
      <c r="GA418" s="23"/>
      <c r="JD418" s="26"/>
      <c r="JE418" s="26"/>
      <c r="JF418" s="27"/>
      <c r="JG418" s="27"/>
      <c r="KL418" s="28"/>
      <c r="KP418" s="28"/>
      <c r="KT418" s="28"/>
      <c r="KX418" s="28"/>
      <c r="LB418" s="28"/>
      <c r="LF418" s="28"/>
      <c r="LJ418" s="28"/>
    </row>
    <row r="419" spans="1:322" ht="13.2">
      <c r="A419" s="42"/>
      <c r="B419" s="42"/>
      <c r="C419" s="42"/>
      <c r="D419" s="52"/>
      <c r="E419" s="52"/>
      <c r="O419" s="43"/>
      <c r="AL419" s="44"/>
      <c r="AM419" s="44"/>
      <c r="AN419" s="44"/>
      <c r="AO419" s="44"/>
      <c r="AP419" s="44"/>
      <c r="AQ419" s="44"/>
      <c r="AR419" s="44"/>
      <c r="AS419" s="44"/>
      <c r="AT419" s="45"/>
      <c r="AY419" s="45"/>
      <c r="BH419" s="45"/>
      <c r="BK419" s="45"/>
      <c r="BT419" s="45"/>
      <c r="BU419" s="45"/>
      <c r="CK419" s="10"/>
      <c r="EF419" s="20"/>
      <c r="FD419" s="21"/>
      <c r="FE419" s="21"/>
      <c r="FN419" s="22"/>
      <c r="FO419" s="22"/>
      <c r="FZ419" s="23"/>
      <c r="GA419" s="23"/>
      <c r="JD419" s="26"/>
      <c r="JE419" s="26"/>
      <c r="JF419" s="27"/>
      <c r="JG419" s="27"/>
      <c r="KL419" s="28"/>
      <c r="KP419" s="28"/>
      <c r="KT419" s="28"/>
      <c r="KX419" s="28"/>
      <c r="LB419" s="28"/>
      <c r="LF419" s="28"/>
      <c r="LJ419" s="28"/>
    </row>
    <row r="420" spans="1:322" ht="13.2">
      <c r="A420" s="42"/>
      <c r="B420" s="42"/>
      <c r="C420" s="42"/>
      <c r="D420" s="52"/>
      <c r="E420" s="52"/>
      <c r="O420" s="43"/>
      <c r="AL420" s="44"/>
      <c r="AM420" s="44"/>
      <c r="AN420" s="44"/>
      <c r="AO420" s="44"/>
      <c r="AP420" s="44"/>
      <c r="AQ420" s="44"/>
      <c r="AR420" s="44"/>
      <c r="AS420" s="44"/>
      <c r="AT420" s="45"/>
      <c r="AY420" s="45"/>
      <c r="BH420" s="45"/>
      <c r="BK420" s="45"/>
      <c r="BT420" s="45"/>
      <c r="BU420" s="45"/>
      <c r="CK420" s="10"/>
      <c r="EF420" s="20"/>
      <c r="FD420" s="21"/>
      <c r="FE420" s="21"/>
      <c r="FN420" s="22"/>
      <c r="FO420" s="22"/>
      <c r="FZ420" s="23"/>
      <c r="GA420" s="23"/>
      <c r="JD420" s="26"/>
      <c r="JE420" s="26"/>
      <c r="JF420" s="27"/>
      <c r="JG420" s="27"/>
      <c r="KL420" s="28"/>
      <c r="KP420" s="28"/>
      <c r="KT420" s="28"/>
      <c r="KX420" s="28"/>
      <c r="LB420" s="28"/>
      <c r="LF420" s="28"/>
      <c r="LJ420" s="28"/>
    </row>
    <row r="421" spans="1:322" ht="13.2">
      <c r="A421" s="42"/>
      <c r="B421" s="42"/>
      <c r="C421" s="42"/>
      <c r="D421" s="52"/>
      <c r="E421" s="52"/>
      <c r="O421" s="43"/>
      <c r="AL421" s="44"/>
      <c r="AM421" s="44"/>
      <c r="AN421" s="44"/>
      <c r="AO421" s="44"/>
      <c r="AP421" s="44"/>
      <c r="AQ421" s="44"/>
      <c r="AR421" s="44"/>
      <c r="AS421" s="44"/>
      <c r="AT421" s="45"/>
      <c r="AY421" s="45"/>
      <c r="BH421" s="45"/>
      <c r="BK421" s="45"/>
      <c r="BT421" s="45"/>
      <c r="BU421" s="45"/>
      <c r="CK421" s="10"/>
      <c r="EF421" s="20"/>
      <c r="FD421" s="21"/>
      <c r="FE421" s="21"/>
      <c r="FN421" s="22"/>
      <c r="FO421" s="22"/>
      <c r="FZ421" s="23"/>
      <c r="GA421" s="23"/>
      <c r="JD421" s="26"/>
      <c r="JE421" s="26"/>
      <c r="JF421" s="27"/>
      <c r="JG421" s="27"/>
      <c r="KL421" s="28"/>
      <c r="KP421" s="28"/>
      <c r="KT421" s="28"/>
      <c r="KX421" s="28"/>
      <c r="LB421" s="28"/>
      <c r="LF421" s="28"/>
      <c r="LJ421" s="28"/>
    </row>
    <row r="422" spans="1:322" ht="13.2">
      <c r="A422" s="42"/>
      <c r="B422" s="42"/>
      <c r="C422" s="42"/>
      <c r="D422" s="52"/>
      <c r="E422" s="52"/>
      <c r="O422" s="43"/>
      <c r="AL422" s="44"/>
      <c r="AM422" s="44"/>
      <c r="AN422" s="44"/>
      <c r="AO422" s="44"/>
      <c r="AP422" s="44"/>
      <c r="AQ422" s="44"/>
      <c r="AR422" s="44"/>
      <c r="AS422" s="44"/>
      <c r="AT422" s="45"/>
      <c r="AY422" s="45"/>
      <c r="BH422" s="45"/>
      <c r="BK422" s="45"/>
      <c r="BT422" s="45"/>
      <c r="BU422" s="45"/>
      <c r="CK422" s="10"/>
      <c r="EF422" s="20"/>
      <c r="FD422" s="21"/>
      <c r="FE422" s="21"/>
      <c r="FN422" s="22"/>
      <c r="FO422" s="22"/>
      <c r="FZ422" s="23"/>
      <c r="GA422" s="23"/>
      <c r="JD422" s="26"/>
      <c r="JE422" s="26"/>
      <c r="JF422" s="27"/>
      <c r="JG422" s="27"/>
      <c r="KL422" s="28"/>
      <c r="KP422" s="28"/>
      <c r="KT422" s="28"/>
      <c r="KX422" s="28"/>
      <c r="LB422" s="28"/>
      <c r="LF422" s="28"/>
      <c r="LJ422" s="28"/>
    </row>
    <row r="423" spans="1:322" ht="13.2">
      <c r="A423" s="42"/>
      <c r="B423" s="42"/>
      <c r="C423" s="42"/>
      <c r="D423" s="52"/>
      <c r="E423" s="52"/>
      <c r="O423" s="43"/>
      <c r="AL423" s="44"/>
      <c r="AM423" s="44"/>
      <c r="AN423" s="44"/>
      <c r="AO423" s="44"/>
      <c r="AP423" s="44"/>
      <c r="AQ423" s="44"/>
      <c r="AR423" s="44"/>
      <c r="AS423" s="44"/>
      <c r="AT423" s="45"/>
      <c r="AY423" s="45"/>
      <c r="BH423" s="45"/>
      <c r="BK423" s="45"/>
      <c r="BT423" s="45"/>
      <c r="BU423" s="45"/>
      <c r="CK423" s="10"/>
      <c r="EF423" s="20"/>
      <c r="FD423" s="21"/>
      <c r="FE423" s="21"/>
      <c r="FN423" s="22"/>
      <c r="FO423" s="22"/>
      <c r="FZ423" s="23"/>
      <c r="GA423" s="23"/>
      <c r="JD423" s="26"/>
      <c r="JE423" s="26"/>
      <c r="JF423" s="27"/>
      <c r="JG423" s="27"/>
      <c r="KL423" s="28"/>
      <c r="KP423" s="28"/>
      <c r="KT423" s="28"/>
      <c r="KX423" s="28"/>
      <c r="LB423" s="28"/>
      <c r="LF423" s="28"/>
      <c r="LJ423" s="28"/>
    </row>
    <row r="424" spans="1:322" ht="13.2">
      <c r="A424" s="42"/>
      <c r="B424" s="42"/>
      <c r="C424" s="42"/>
      <c r="D424" s="52"/>
      <c r="E424" s="52"/>
      <c r="O424" s="43"/>
      <c r="AL424" s="44"/>
      <c r="AM424" s="44"/>
      <c r="AN424" s="44"/>
      <c r="AO424" s="44"/>
      <c r="AP424" s="44"/>
      <c r="AQ424" s="44"/>
      <c r="AR424" s="44"/>
      <c r="AS424" s="44"/>
      <c r="AT424" s="45"/>
      <c r="AY424" s="45"/>
      <c r="BH424" s="45"/>
      <c r="BK424" s="45"/>
      <c r="BT424" s="45"/>
      <c r="BU424" s="45"/>
      <c r="CK424" s="10"/>
      <c r="EF424" s="20"/>
      <c r="FD424" s="21"/>
      <c r="FE424" s="21"/>
      <c r="FN424" s="22"/>
      <c r="FO424" s="22"/>
      <c r="FZ424" s="23"/>
      <c r="GA424" s="23"/>
      <c r="JD424" s="26"/>
      <c r="JE424" s="26"/>
      <c r="JF424" s="27"/>
      <c r="JG424" s="27"/>
      <c r="KL424" s="28"/>
      <c r="KP424" s="28"/>
      <c r="KT424" s="28"/>
      <c r="KX424" s="28"/>
      <c r="LB424" s="28"/>
      <c r="LF424" s="28"/>
      <c r="LJ424" s="28"/>
    </row>
    <row r="425" spans="1:322" ht="13.2">
      <c r="A425" s="42"/>
      <c r="B425" s="42"/>
      <c r="C425" s="42"/>
      <c r="D425" s="52"/>
      <c r="E425" s="52"/>
      <c r="O425" s="43"/>
      <c r="AL425" s="44"/>
      <c r="AM425" s="44"/>
      <c r="AN425" s="44"/>
      <c r="AO425" s="44"/>
      <c r="AP425" s="44"/>
      <c r="AQ425" s="44"/>
      <c r="AR425" s="44"/>
      <c r="AS425" s="44"/>
      <c r="AT425" s="45"/>
      <c r="AY425" s="45"/>
      <c r="BH425" s="45"/>
      <c r="BK425" s="45"/>
      <c r="BT425" s="45"/>
      <c r="BU425" s="45"/>
      <c r="CK425" s="10"/>
      <c r="EF425" s="20"/>
      <c r="FD425" s="21"/>
      <c r="FE425" s="21"/>
      <c r="FN425" s="22"/>
      <c r="FO425" s="22"/>
      <c r="FZ425" s="23"/>
      <c r="GA425" s="23"/>
      <c r="JD425" s="26"/>
      <c r="JE425" s="26"/>
      <c r="JF425" s="27"/>
      <c r="JG425" s="27"/>
      <c r="KL425" s="28"/>
      <c r="KP425" s="28"/>
      <c r="KT425" s="28"/>
      <c r="KX425" s="28"/>
      <c r="LB425" s="28"/>
      <c r="LF425" s="28"/>
      <c r="LJ425" s="28"/>
    </row>
    <row r="426" spans="1:322" ht="13.2">
      <c r="A426" s="42"/>
      <c r="B426" s="42"/>
      <c r="C426" s="42"/>
      <c r="D426" s="52"/>
      <c r="E426" s="52"/>
      <c r="O426" s="43"/>
      <c r="AL426" s="44"/>
      <c r="AM426" s="44"/>
      <c r="AN426" s="44"/>
      <c r="AO426" s="44"/>
      <c r="AP426" s="44"/>
      <c r="AQ426" s="44"/>
      <c r="AR426" s="44"/>
      <c r="AS426" s="44"/>
      <c r="AT426" s="45"/>
      <c r="AY426" s="45"/>
      <c r="BH426" s="45"/>
      <c r="BK426" s="45"/>
      <c r="BT426" s="45"/>
      <c r="BU426" s="45"/>
      <c r="CK426" s="10"/>
      <c r="EF426" s="20"/>
      <c r="FD426" s="21"/>
      <c r="FE426" s="21"/>
      <c r="FN426" s="22"/>
      <c r="FO426" s="22"/>
      <c r="FZ426" s="23"/>
      <c r="GA426" s="23"/>
      <c r="JD426" s="26"/>
      <c r="JE426" s="26"/>
      <c r="JF426" s="27"/>
      <c r="JG426" s="27"/>
      <c r="KL426" s="28"/>
      <c r="KP426" s="28"/>
      <c r="KT426" s="28"/>
      <c r="KX426" s="28"/>
      <c r="LB426" s="28"/>
      <c r="LF426" s="28"/>
      <c r="LJ426" s="28"/>
    </row>
    <row r="427" spans="1:322" ht="13.2">
      <c r="A427" s="42"/>
      <c r="B427" s="42"/>
      <c r="C427" s="42"/>
      <c r="D427" s="52"/>
      <c r="E427" s="52"/>
      <c r="O427" s="43"/>
      <c r="AL427" s="44"/>
      <c r="AM427" s="44"/>
      <c r="AN427" s="44"/>
      <c r="AO427" s="44"/>
      <c r="AP427" s="44"/>
      <c r="AQ427" s="44"/>
      <c r="AR427" s="44"/>
      <c r="AS427" s="44"/>
      <c r="AT427" s="45"/>
      <c r="AY427" s="45"/>
      <c r="BH427" s="45"/>
      <c r="BK427" s="45"/>
      <c r="BT427" s="45"/>
      <c r="BU427" s="45"/>
      <c r="CK427" s="10"/>
      <c r="EF427" s="20"/>
      <c r="FD427" s="21"/>
      <c r="FE427" s="21"/>
      <c r="FN427" s="22"/>
      <c r="FO427" s="22"/>
      <c r="FZ427" s="23"/>
      <c r="GA427" s="23"/>
      <c r="JD427" s="26"/>
      <c r="JE427" s="26"/>
      <c r="JF427" s="27"/>
      <c r="JG427" s="27"/>
      <c r="KL427" s="28"/>
      <c r="KP427" s="28"/>
      <c r="KT427" s="28"/>
      <c r="KX427" s="28"/>
      <c r="LB427" s="28"/>
      <c r="LF427" s="28"/>
      <c r="LJ427" s="28"/>
    </row>
    <row r="428" spans="1:322" ht="13.2">
      <c r="A428" s="42"/>
      <c r="B428" s="42"/>
      <c r="C428" s="42"/>
      <c r="D428" s="52"/>
      <c r="E428" s="52"/>
      <c r="O428" s="43"/>
      <c r="AL428" s="44"/>
      <c r="AM428" s="44"/>
      <c r="AN428" s="44"/>
      <c r="AO428" s="44"/>
      <c r="AP428" s="44"/>
      <c r="AQ428" s="44"/>
      <c r="AR428" s="44"/>
      <c r="AS428" s="44"/>
      <c r="AT428" s="45"/>
      <c r="AY428" s="45"/>
      <c r="BH428" s="45"/>
      <c r="BK428" s="45"/>
      <c r="BT428" s="45"/>
      <c r="BU428" s="45"/>
      <c r="CK428" s="10"/>
      <c r="EF428" s="20"/>
      <c r="FD428" s="21"/>
      <c r="FE428" s="21"/>
      <c r="FN428" s="22"/>
      <c r="FO428" s="22"/>
      <c r="FZ428" s="23"/>
      <c r="GA428" s="23"/>
      <c r="JD428" s="26"/>
      <c r="JE428" s="26"/>
      <c r="JF428" s="27"/>
      <c r="JG428" s="27"/>
      <c r="KL428" s="28"/>
      <c r="KP428" s="28"/>
      <c r="KT428" s="28"/>
      <c r="KX428" s="28"/>
      <c r="LB428" s="28"/>
      <c r="LF428" s="28"/>
      <c r="LJ428" s="28"/>
    </row>
    <row r="429" spans="1:322" ht="13.2">
      <c r="A429" s="42"/>
      <c r="B429" s="42"/>
      <c r="C429" s="42"/>
      <c r="D429" s="52"/>
      <c r="E429" s="52"/>
      <c r="O429" s="43"/>
      <c r="AL429" s="44"/>
      <c r="AM429" s="44"/>
      <c r="AN429" s="44"/>
      <c r="AO429" s="44"/>
      <c r="AP429" s="44"/>
      <c r="AQ429" s="44"/>
      <c r="AR429" s="44"/>
      <c r="AS429" s="44"/>
      <c r="AT429" s="45"/>
      <c r="AY429" s="45"/>
      <c r="BH429" s="45"/>
      <c r="BK429" s="45"/>
      <c r="BT429" s="45"/>
      <c r="BU429" s="45"/>
      <c r="CK429" s="10"/>
      <c r="EF429" s="20"/>
      <c r="FD429" s="21"/>
      <c r="FE429" s="21"/>
      <c r="FN429" s="22"/>
      <c r="FO429" s="22"/>
      <c r="FZ429" s="23"/>
      <c r="GA429" s="23"/>
      <c r="JD429" s="26"/>
      <c r="JE429" s="26"/>
      <c r="JF429" s="27"/>
      <c r="JG429" s="27"/>
      <c r="KL429" s="28"/>
      <c r="KP429" s="28"/>
      <c r="KT429" s="28"/>
      <c r="KX429" s="28"/>
      <c r="LB429" s="28"/>
      <c r="LF429" s="28"/>
      <c r="LJ429" s="28"/>
    </row>
    <row r="430" spans="1:322" ht="13.2">
      <c r="A430" s="42"/>
      <c r="B430" s="42"/>
      <c r="C430" s="42"/>
      <c r="D430" s="52"/>
      <c r="E430" s="52"/>
      <c r="O430" s="43"/>
      <c r="AL430" s="44"/>
      <c r="AM430" s="44"/>
      <c r="AN430" s="44"/>
      <c r="AO430" s="44"/>
      <c r="AP430" s="44"/>
      <c r="AQ430" s="44"/>
      <c r="AR430" s="44"/>
      <c r="AS430" s="44"/>
      <c r="AT430" s="45"/>
      <c r="AY430" s="45"/>
      <c r="BH430" s="45"/>
      <c r="BK430" s="45"/>
      <c r="BT430" s="45"/>
      <c r="BU430" s="45"/>
      <c r="CK430" s="10"/>
      <c r="EF430" s="20"/>
      <c r="FD430" s="21"/>
      <c r="FE430" s="21"/>
      <c r="FN430" s="22"/>
      <c r="FO430" s="22"/>
      <c r="FZ430" s="23"/>
      <c r="GA430" s="23"/>
      <c r="JD430" s="26"/>
      <c r="JE430" s="26"/>
      <c r="JF430" s="27"/>
      <c r="JG430" s="27"/>
      <c r="KL430" s="28"/>
      <c r="KP430" s="28"/>
      <c r="KT430" s="28"/>
      <c r="KX430" s="28"/>
      <c r="LB430" s="28"/>
      <c r="LF430" s="28"/>
      <c r="LJ430" s="28"/>
    </row>
    <row r="431" spans="1:322" ht="13.2">
      <c r="A431" s="42"/>
      <c r="B431" s="42"/>
      <c r="C431" s="42"/>
      <c r="D431" s="52"/>
      <c r="E431" s="52"/>
      <c r="O431" s="43"/>
      <c r="AL431" s="44"/>
      <c r="AM431" s="44"/>
      <c r="AN431" s="44"/>
      <c r="AO431" s="44"/>
      <c r="AP431" s="44"/>
      <c r="AQ431" s="44"/>
      <c r="AR431" s="44"/>
      <c r="AS431" s="44"/>
      <c r="AT431" s="45"/>
      <c r="AY431" s="45"/>
      <c r="BH431" s="45"/>
      <c r="BK431" s="45"/>
      <c r="BT431" s="45"/>
      <c r="BU431" s="45"/>
      <c r="CK431" s="10"/>
      <c r="EF431" s="20"/>
      <c r="FD431" s="21"/>
      <c r="FE431" s="21"/>
      <c r="FN431" s="22"/>
      <c r="FO431" s="22"/>
      <c r="FZ431" s="23"/>
      <c r="GA431" s="23"/>
      <c r="JD431" s="26"/>
      <c r="JE431" s="26"/>
      <c r="JF431" s="27"/>
      <c r="JG431" s="27"/>
      <c r="KL431" s="28"/>
      <c r="KP431" s="28"/>
      <c r="KT431" s="28"/>
      <c r="KX431" s="28"/>
      <c r="LB431" s="28"/>
      <c r="LF431" s="28"/>
      <c r="LJ431" s="28"/>
    </row>
    <row r="432" spans="1:322" ht="13.2">
      <c r="A432" s="42"/>
      <c r="B432" s="42"/>
      <c r="C432" s="42"/>
      <c r="D432" s="52"/>
      <c r="E432" s="52"/>
      <c r="O432" s="43"/>
      <c r="AL432" s="44"/>
      <c r="AM432" s="44"/>
      <c r="AN432" s="44"/>
      <c r="AO432" s="44"/>
      <c r="AP432" s="44"/>
      <c r="AQ432" s="44"/>
      <c r="AR432" s="44"/>
      <c r="AS432" s="44"/>
      <c r="AT432" s="45"/>
      <c r="AY432" s="45"/>
      <c r="BH432" s="45"/>
      <c r="BK432" s="45"/>
      <c r="BT432" s="45"/>
      <c r="BU432" s="45"/>
      <c r="CK432" s="10"/>
      <c r="EF432" s="20"/>
      <c r="FD432" s="21"/>
      <c r="FE432" s="21"/>
      <c r="FN432" s="22"/>
      <c r="FO432" s="22"/>
      <c r="FZ432" s="23"/>
      <c r="GA432" s="23"/>
      <c r="JD432" s="26"/>
      <c r="JE432" s="26"/>
      <c r="JF432" s="27"/>
      <c r="JG432" s="27"/>
      <c r="KL432" s="28"/>
      <c r="KP432" s="28"/>
      <c r="KT432" s="28"/>
      <c r="KX432" s="28"/>
      <c r="LB432" s="28"/>
      <c r="LF432" s="28"/>
      <c r="LJ432" s="28"/>
    </row>
    <row r="433" spans="1:322" ht="13.2">
      <c r="A433" s="42"/>
      <c r="B433" s="42"/>
      <c r="C433" s="42"/>
      <c r="D433" s="52"/>
      <c r="E433" s="52"/>
      <c r="O433" s="43"/>
      <c r="AL433" s="44"/>
      <c r="AM433" s="44"/>
      <c r="AN433" s="44"/>
      <c r="AO433" s="44"/>
      <c r="AP433" s="44"/>
      <c r="AQ433" s="44"/>
      <c r="AR433" s="44"/>
      <c r="AS433" s="44"/>
      <c r="AT433" s="45"/>
      <c r="AY433" s="45"/>
      <c r="BH433" s="45"/>
      <c r="BK433" s="45"/>
      <c r="BT433" s="45"/>
      <c r="BU433" s="45"/>
      <c r="CK433" s="10"/>
      <c r="EF433" s="20"/>
      <c r="FD433" s="21"/>
      <c r="FE433" s="21"/>
      <c r="FN433" s="22"/>
      <c r="FO433" s="22"/>
      <c r="FZ433" s="23"/>
      <c r="GA433" s="23"/>
      <c r="JD433" s="26"/>
      <c r="JE433" s="26"/>
      <c r="JF433" s="27"/>
      <c r="JG433" s="27"/>
      <c r="KL433" s="28"/>
      <c r="KP433" s="28"/>
      <c r="KT433" s="28"/>
      <c r="KX433" s="28"/>
      <c r="LB433" s="28"/>
      <c r="LF433" s="28"/>
      <c r="LJ433" s="28"/>
    </row>
    <row r="434" spans="1:322" ht="13.2">
      <c r="A434" s="42"/>
      <c r="B434" s="42"/>
      <c r="C434" s="42"/>
      <c r="D434" s="52"/>
      <c r="E434" s="52"/>
      <c r="O434" s="43"/>
      <c r="AL434" s="44"/>
      <c r="AM434" s="44"/>
      <c r="AN434" s="44"/>
      <c r="AO434" s="44"/>
      <c r="AP434" s="44"/>
      <c r="AQ434" s="44"/>
      <c r="AR434" s="44"/>
      <c r="AS434" s="44"/>
      <c r="AT434" s="45"/>
      <c r="AY434" s="45"/>
      <c r="BH434" s="45"/>
      <c r="BK434" s="45"/>
      <c r="BT434" s="45"/>
      <c r="BU434" s="45"/>
      <c r="CK434" s="10"/>
      <c r="EF434" s="20"/>
      <c r="FD434" s="21"/>
      <c r="FE434" s="21"/>
      <c r="FN434" s="22"/>
      <c r="FO434" s="22"/>
      <c r="FZ434" s="23"/>
      <c r="GA434" s="23"/>
      <c r="JD434" s="26"/>
      <c r="JE434" s="26"/>
      <c r="JF434" s="27"/>
      <c r="JG434" s="27"/>
      <c r="KL434" s="28"/>
      <c r="KP434" s="28"/>
      <c r="KT434" s="28"/>
      <c r="KX434" s="28"/>
      <c r="LB434" s="28"/>
      <c r="LF434" s="28"/>
      <c r="LJ434" s="28"/>
    </row>
    <row r="435" spans="1:322" ht="13.2">
      <c r="A435" s="42"/>
      <c r="B435" s="42"/>
      <c r="C435" s="42"/>
      <c r="D435" s="52"/>
      <c r="E435" s="52"/>
      <c r="O435" s="43"/>
      <c r="AL435" s="44"/>
      <c r="AM435" s="44"/>
      <c r="AN435" s="44"/>
      <c r="AO435" s="44"/>
      <c r="AP435" s="44"/>
      <c r="AQ435" s="44"/>
      <c r="AR435" s="44"/>
      <c r="AS435" s="44"/>
      <c r="AT435" s="45"/>
      <c r="AY435" s="45"/>
      <c r="BH435" s="45"/>
      <c r="BK435" s="45"/>
      <c r="BT435" s="45"/>
      <c r="BU435" s="45"/>
      <c r="CK435" s="10"/>
      <c r="EF435" s="20"/>
      <c r="FD435" s="21"/>
      <c r="FE435" s="21"/>
      <c r="FN435" s="22"/>
      <c r="FO435" s="22"/>
      <c r="FZ435" s="23"/>
      <c r="GA435" s="23"/>
      <c r="JD435" s="26"/>
      <c r="JE435" s="26"/>
      <c r="JF435" s="27"/>
      <c r="JG435" s="27"/>
      <c r="KL435" s="28"/>
      <c r="KP435" s="28"/>
      <c r="KT435" s="28"/>
      <c r="KX435" s="28"/>
      <c r="LB435" s="28"/>
      <c r="LF435" s="28"/>
      <c r="LJ435" s="28"/>
    </row>
    <row r="436" spans="1:322" ht="13.2">
      <c r="A436" s="42"/>
      <c r="B436" s="42"/>
      <c r="C436" s="42"/>
      <c r="D436" s="52"/>
      <c r="E436" s="52"/>
      <c r="O436" s="43"/>
      <c r="AL436" s="44"/>
      <c r="AM436" s="44"/>
      <c r="AN436" s="44"/>
      <c r="AO436" s="44"/>
      <c r="AP436" s="44"/>
      <c r="AQ436" s="44"/>
      <c r="AR436" s="44"/>
      <c r="AS436" s="44"/>
      <c r="AT436" s="45"/>
      <c r="AY436" s="45"/>
      <c r="BH436" s="45"/>
      <c r="BK436" s="45"/>
      <c r="BT436" s="45"/>
      <c r="BU436" s="45"/>
      <c r="CK436" s="10"/>
      <c r="EF436" s="20"/>
      <c r="FD436" s="21"/>
      <c r="FE436" s="21"/>
      <c r="FN436" s="22"/>
      <c r="FO436" s="22"/>
      <c r="FZ436" s="23"/>
      <c r="GA436" s="23"/>
      <c r="JD436" s="26"/>
      <c r="JE436" s="26"/>
      <c r="JF436" s="27"/>
      <c r="JG436" s="27"/>
      <c r="KL436" s="28"/>
      <c r="KP436" s="28"/>
      <c r="KT436" s="28"/>
      <c r="KX436" s="28"/>
      <c r="LB436" s="28"/>
      <c r="LF436" s="28"/>
      <c r="LJ436" s="28"/>
    </row>
    <row r="437" spans="1:322" ht="13.2">
      <c r="A437" s="42"/>
      <c r="B437" s="42"/>
      <c r="C437" s="42"/>
      <c r="D437" s="52"/>
      <c r="E437" s="52"/>
      <c r="O437" s="43"/>
      <c r="AL437" s="44"/>
      <c r="AM437" s="44"/>
      <c r="AN437" s="44"/>
      <c r="AO437" s="44"/>
      <c r="AP437" s="44"/>
      <c r="AQ437" s="44"/>
      <c r="AR437" s="44"/>
      <c r="AS437" s="44"/>
      <c r="AT437" s="45"/>
      <c r="AY437" s="45"/>
      <c r="BH437" s="45"/>
      <c r="BK437" s="45"/>
      <c r="BT437" s="45"/>
      <c r="BU437" s="45"/>
      <c r="CK437" s="10"/>
      <c r="EF437" s="20"/>
      <c r="FD437" s="21"/>
      <c r="FE437" s="21"/>
      <c r="FN437" s="22"/>
      <c r="FO437" s="22"/>
      <c r="FZ437" s="23"/>
      <c r="GA437" s="23"/>
      <c r="JD437" s="26"/>
      <c r="JE437" s="26"/>
      <c r="JF437" s="27"/>
      <c r="JG437" s="27"/>
      <c r="KL437" s="28"/>
      <c r="KP437" s="28"/>
      <c r="KT437" s="28"/>
      <c r="KX437" s="28"/>
      <c r="LB437" s="28"/>
      <c r="LF437" s="28"/>
      <c r="LJ437" s="28"/>
    </row>
    <row r="438" spans="1:322" ht="13.2">
      <c r="A438" s="42"/>
      <c r="B438" s="42"/>
      <c r="C438" s="42"/>
      <c r="D438" s="52"/>
      <c r="E438" s="52"/>
      <c r="O438" s="43"/>
      <c r="AL438" s="44"/>
      <c r="AM438" s="44"/>
      <c r="AN438" s="44"/>
      <c r="AO438" s="44"/>
      <c r="AP438" s="44"/>
      <c r="AQ438" s="44"/>
      <c r="AR438" s="44"/>
      <c r="AS438" s="44"/>
      <c r="AT438" s="45"/>
      <c r="AY438" s="45"/>
      <c r="BH438" s="45"/>
      <c r="BK438" s="45"/>
      <c r="BT438" s="45"/>
      <c r="BU438" s="45"/>
      <c r="CK438" s="10"/>
      <c r="EF438" s="20"/>
      <c r="FD438" s="21"/>
      <c r="FE438" s="21"/>
      <c r="FN438" s="22"/>
      <c r="FO438" s="22"/>
      <c r="FZ438" s="23"/>
      <c r="GA438" s="23"/>
      <c r="JD438" s="26"/>
      <c r="JE438" s="26"/>
      <c r="JF438" s="27"/>
      <c r="JG438" s="27"/>
      <c r="KL438" s="28"/>
      <c r="KP438" s="28"/>
      <c r="KT438" s="28"/>
      <c r="KX438" s="28"/>
      <c r="LB438" s="28"/>
      <c r="LF438" s="28"/>
      <c r="LJ438" s="28"/>
    </row>
    <row r="439" spans="1:322" ht="13.2">
      <c r="A439" s="42"/>
      <c r="B439" s="42"/>
      <c r="C439" s="42"/>
      <c r="D439" s="52"/>
      <c r="E439" s="52"/>
      <c r="O439" s="43"/>
      <c r="AL439" s="44"/>
      <c r="AM439" s="44"/>
      <c r="AN439" s="44"/>
      <c r="AO439" s="44"/>
      <c r="AP439" s="44"/>
      <c r="AQ439" s="44"/>
      <c r="AR439" s="44"/>
      <c r="AS439" s="44"/>
      <c r="AT439" s="45"/>
      <c r="AY439" s="45"/>
      <c r="BH439" s="45"/>
      <c r="BK439" s="45"/>
      <c r="BT439" s="45"/>
      <c r="BU439" s="45"/>
      <c r="CK439" s="10"/>
      <c r="EF439" s="20"/>
      <c r="FD439" s="21"/>
      <c r="FE439" s="21"/>
      <c r="FN439" s="22"/>
      <c r="FO439" s="22"/>
      <c r="FZ439" s="23"/>
      <c r="GA439" s="23"/>
      <c r="JD439" s="26"/>
      <c r="JE439" s="26"/>
      <c r="JF439" s="27"/>
      <c r="JG439" s="27"/>
      <c r="KL439" s="28"/>
      <c r="KP439" s="28"/>
      <c r="KT439" s="28"/>
      <c r="KX439" s="28"/>
      <c r="LB439" s="28"/>
      <c r="LF439" s="28"/>
      <c r="LJ439" s="28"/>
    </row>
    <row r="440" spans="1:322" ht="13.2">
      <c r="A440" s="42"/>
      <c r="B440" s="42"/>
      <c r="C440" s="42"/>
      <c r="D440" s="52"/>
      <c r="E440" s="52"/>
      <c r="O440" s="43"/>
      <c r="AL440" s="44"/>
      <c r="AM440" s="44"/>
      <c r="AN440" s="44"/>
      <c r="AO440" s="44"/>
      <c r="AP440" s="44"/>
      <c r="AQ440" s="44"/>
      <c r="AR440" s="44"/>
      <c r="AS440" s="44"/>
      <c r="AT440" s="45"/>
      <c r="AY440" s="45"/>
      <c r="BH440" s="45"/>
      <c r="BK440" s="45"/>
      <c r="BT440" s="45"/>
      <c r="BU440" s="45"/>
      <c r="CK440" s="10"/>
      <c r="EF440" s="20"/>
      <c r="FD440" s="21"/>
      <c r="FE440" s="21"/>
      <c r="FN440" s="22"/>
      <c r="FO440" s="22"/>
      <c r="FZ440" s="23"/>
      <c r="GA440" s="23"/>
      <c r="JD440" s="26"/>
      <c r="JE440" s="26"/>
      <c r="JF440" s="27"/>
      <c r="JG440" s="27"/>
      <c r="KL440" s="28"/>
      <c r="KP440" s="28"/>
      <c r="KT440" s="28"/>
      <c r="KX440" s="28"/>
      <c r="LB440" s="28"/>
      <c r="LF440" s="28"/>
      <c r="LJ440" s="28"/>
    </row>
    <row r="441" spans="1:322" ht="13.2">
      <c r="A441" s="42"/>
      <c r="B441" s="42"/>
      <c r="C441" s="42"/>
      <c r="D441" s="52"/>
      <c r="E441" s="52"/>
      <c r="O441" s="43"/>
      <c r="AL441" s="44"/>
      <c r="AM441" s="44"/>
      <c r="AN441" s="44"/>
      <c r="AO441" s="44"/>
      <c r="AP441" s="44"/>
      <c r="AQ441" s="44"/>
      <c r="AR441" s="44"/>
      <c r="AS441" s="44"/>
      <c r="AT441" s="45"/>
      <c r="AY441" s="45"/>
      <c r="BH441" s="45"/>
      <c r="BK441" s="45"/>
      <c r="BT441" s="45"/>
      <c r="BU441" s="45"/>
      <c r="CK441" s="10"/>
      <c r="EF441" s="20"/>
      <c r="FD441" s="21"/>
      <c r="FE441" s="21"/>
      <c r="FN441" s="22"/>
      <c r="FO441" s="22"/>
      <c r="FZ441" s="23"/>
      <c r="GA441" s="23"/>
      <c r="JD441" s="26"/>
      <c r="JE441" s="26"/>
      <c r="JF441" s="27"/>
      <c r="JG441" s="27"/>
      <c r="KL441" s="28"/>
      <c r="KP441" s="28"/>
      <c r="KT441" s="28"/>
      <c r="KX441" s="28"/>
      <c r="LB441" s="28"/>
      <c r="LF441" s="28"/>
      <c r="LJ441" s="28"/>
    </row>
    <row r="442" spans="1:322" ht="13.2">
      <c r="A442" s="42"/>
      <c r="B442" s="42"/>
      <c r="C442" s="42"/>
      <c r="D442" s="52"/>
      <c r="E442" s="52"/>
      <c r="O442" s="43"/>
      <c r="AL442" s="44"/>
      <c r="AM442" s="44"/>
      <c r="AN442" s="44"/>
      <c r="AO442" s="44"/>
      <c r="AP442" s="44"/>
      <c r="AQ442" s="44"/>
      <c r="AR442" s="44"/>
      <c r="AS442" s="44"/>
      <c r="AT442" s="45"/>
      <c r="AY442" s="45"/>
      <c r="BH442" s="45"/>
      <c r="BK442" s="45"/>
      <c r="BT442" s="45"/>
      <c r="BU442" s="45"/>
      <c r="CK442" s="10"/>
      <c r="EF442" s="20"/>
      <c r="FD442" s="21"/>
      <c r="FE442" s="21"/>
      <c r="FN442" s="22"/>
      <c r="FO442" s="22"/>
      <c r="FZ442" s="23"/>
      <c r="GA442" s="23"/>
      <c r="JD442" s="26"/>
      <c r="JE442" s="26"/>
      <c r="JF442" s="27"/>
      <c r="JG442" s="27"/>
      <c r="KL442" s="28"/>
      <c r="KP442" s="28"/>
      <c r="KT442" s="28"/>
      <c r="KX442" s="28"/>
      <c r="LB442" s="28"/>
      <c r="LF442" s="28"/>
      <c r="LJ442" s="28"/>
    </row>
    <row r="443" spans="1:322" ht="13.2">
      <c r="A443" s="42"/>
      <c r="B443" s="42"/>
      <c r="C443" s="42"/>
      <c r="D443" s="52"/>
      <c r="E443" s="52"/>
      <c r="O443" s="43"/>
      <c r="AL443" s="44"/>
      <c r="AM443" s="44"/>
      <c r="AN443" s="44"/>
      <c r="AO443" s="44"/>
      <c r="AP443" s="44"/>
      <c r="AQ443" s="44"/>
      <c r="AR443" s="44"/>
      <c r="AS443" s="44"/>
      <c r="AT443" s="45"/>
      <c r="AY443" s="45"/>
      <c r="BH443" s="45"/>
      <c r="BK443" s="45"/>
      <c r="BT443" s="45"/>
      <c r="BU443" s="45"/>
      <c r="CK443" s="10"/>
      <c r="EF443" s="20"/>
      <c r="FD443" s="21"/>
      <c r="FE443" s="21"/>
      <c r="FN443" s="22"/>
      <c r="FO443" s="22"/>
      <c r="FZ443" s="23"/>
      <c r="GA443" s="23"/>
      <c r="JD443" s="26"/>
      <c r="JE443" s="26"/>
      <c r="JF443" s="27"/>
      <c r="JG443" s="27"/>
      <c r="KL443" s="28"/>
      <c r="KP443" s="28"/>
      <c r="KT443" s="28"/>
      <c r="KX443" s="28"/>
      <c r="LB443" s="28"/>
      <c r="LF443" s="28"/>
      <c r="LJ443" s="28"/>
    </row>
    <row r="444" spans="1:322" ht="13.2">
      <c r="A444" s="42"/>
      <c r="B444" s="42"/>
      <c r="C444" s="42"/>
      <c r="D444" s="52"/>
      <c r="E444" s="52"/>
      <c r="O444" s="43"/>
      <c r="AL444" s="44"/>
      <c r="AM444" s="44"/>
      <c r="AN444" s="44"/>
      <c r="AO444" s="44"/>
      <c r="AP444" s="44"/>
      <c r="AQ444" s="44"/>
      <c r="AR444" s="44"/>
      <c r="AS444" s="44"/>
      <c r="AT444" s="45"/>
      <c r="AY444" s="45"/>
      <c r="BH444" s="45"/>
      <c r="BK444" s="45"/>
      <c r="BT444" s="45"/>
      <c r="BU444" s="45"/>
      <c r="CK444" s="10"/>
      <c r="EF444" s="20"/>
      <c r="FD444" s="21"/>
      <c r="FE444" s="21"/>
      <c r="FN444" s="22"/>
      <c r="FO444" s="22"/>
      <c r="FZ444" s="23"/>
      <c r="GA444" s="23"/>
      <c r="JD444" s="26"/>
      <c r="JE444" s="26"/>
      <c r="JF444" s="27"/>
      <c r="JG444" s="27"/>
      <c r="KL444" s="28"/>
      <c r="KP444" s="28"/>
      <c r="KT444" s="28"/>
      <c r="KX444" s="28"/>
      <c r="LB444" s="28"/>
      <c r="LF444" s="28"/>
      <c r="LJ444" s="28"/>
    </row>
    <row r="445" spans="1:322" ht="13.2">
      <c r="A445" s="42"/>
      <c r="B445" s="42"/>
      <c r="C445" s="42"/>
      <c r="D445" s="52"/>
      <c r="E445" s="52"/>
      <c r="O445" s="43"/>
      <c r="AL445" s="44"/>
      <c r="AM445" s="44"/>
      <c r="AN445" s="44"/>
      <c r="AO445" s="44"/>
      <c r="AP445" s="44"/>
      <c r="AQ445" s="44"/>
      <c r="AR445" s="44"/>
      <c r="AS445" s="44"/>
      <c r="AT445" s="45"/>
      <c r="AY445" s="45"/>
      <c r="BH445" s="45"/>
      <c r="BK445" s="45"/>
      <c r="BT445" s="45"/>
      <c r="BU445" s="45"/>
      <c r="CK445" s="10"/>
      <c r="EF445" s="20"/>
      <c r="FD445" s="21"/>
      <c r="FE445" s="21"/>
      <c r="FN445" s="22"/>
      <c r="FO445" s="22"/>
      <c r="FZ445" s="23"/>
      <c r="GA445" s="23"/>
      <c r="JD445" s="26"/>
      <c r="JE445" s="26"/>
      <c r="JF445" s="27"/>
      <c r="JG445" s="27"/>
      <c r="KL445" s="28"/>
      <c r="KP445" s="28"/>
      <c r="KT445" s="28"/>
      <c r="KX445" s="28"/>
      <c r="LB445" s="28"/>
      <c r="LF445" s="28"/>
      <c r="LJ445" s="28"/>
    </row>
    <row r="446" spans="1:322" ht="13.2">
      <c r="A446" s="42"/>
      <c r="B446" s="42"/>
      <c r="C446" s="42"/>
      <c r="D446" s="52"/>
      <c r="E446" s="52"/>
      <c r="O446" s="43"/>
      <c r="AL446" s="44"/>
      <c r="AM446" s="44"/>
      <c r="AN446" s="44"/>
      <c r="AO446" s="44"/>
      <c r="AP446" s="44"/>
      <c r="AQ446" s="44"/>
      <c r="AR446" s="44"/>
      <c r="AS446" s="44"/>
      <c r="AT446" s="45"/>
      <c r="AY446" s="45"/>
      <c r="BH446" s="45"/>
      <c r="BK446" s="45"/>
      <c r="BT446" s="45"/>
      <c r="BU446" s="45"/>
      <c r="CK446" s="10"/>
      <c r="EF446" s="20"/>
      <c r="FD446" s="21"/>
      <c r="FE446" s="21"/>
      <c r="FN446" s="22"/>
      <c r="FO446" s="22"/>
      <c r="FZ446" s="23"/>
      <c r="GA446" s="23"/>
      <c r="JD446" s="26"/>
      <c r="JE446" s="26"/>
      <c r="JF446" s="27"/>
      <c r="JG446" s="27"/>
      <c r="KL446" s="28"/>
      <c r="KP446" s="28"/>
      <c r="KT446" s="28"/>
      <c r="KX446" s="28"/>
      <c r="LB446" s="28"/>
      <c r="LF446" s="28"/>
      <c r="LJ446" s="28"/>
    </row>
    <row r="447" spans="1:322" ht="13.2">
      <c r="A447" s="42"/>
      <c r="B447" s="42"/>
      <c r="C447" s="42"/>
      <c r="D447" s="52"/>
      <c r="E447" s="52"/>
      <c r="O447" s="43"/>
      <c r="AL447" s="44"/>
      <c r="AM447" s="44"/>
      <c r="AN447" s="44"/>
      <c r="AO447" s="44"/>
      <c r="AP447" s="44"/>
      <c r="AQ447" s="44"/>
      <c r="AR447" s="44"/>
      <c r="AS447" s="44"/>
      <c r="AT447" s="45"/>
      <c r="AY447" s="45"/>
      <c r="BH447" s="45"/>
      <c r="BK447" s="45"/>
      <c r="BT447" s="45"/>
      <c r="BU447" s="45"/>
      <c r="CK447" s="10"/>
      <c r="EF447" s="20"/>
      <c r="FD447" s="21"/>
      <c r="FE447" s="21"/>
      <c r="FN447" s="22"/>
      <c r="FO447" s="22"/>
      <c r="FZ447" s="23"/>
      <c r="GA447" s="23"/>
      <c r="JD447" s="26"/>
      <c r="JE447" s="26"/>
      <c r="JF447" s="27"/>
      <c r="JG447" s="27"/>
      <c r="KL447" s="28"/>
      <c r="KP447" s="28"/>
      <c r="KT447" s="28"/>
      <c r="KX447" s="28"/>
      <c r="LB447" s="28"/>
      <c r="LF447" s="28"/>
      <c r="LJ447" s="28"/>
    </row>
    <row r="448" spans="1:322" ht="13.2">
      <c r="A448" s="42"/>
      <c r="B448" s="42"/>
      <c r="C448" s="42"/>
      <c r="D448" s="52"/>
      <c r="E448" s="52"/>
      <c r="O448" s="43"/>
      <c r="AL448" s="44"/>
      <c r="AM448" s="44"/>
      <c r="AN448" s="44"/>
      <c r="AO448" s="44"/>
      <c r="AP448" s="44"/>
      <c r="AQ448" s="44"/>
      <c r="AR448" s="44"/>
      <c r="AS448" s="44"/>
      <c r="AT448" s="45"/>
      <c r="AY448" s="45"/>
      <c r="BH448" s="45"/>
      <c r="BK448" s="45"/>
      <c r="BT448" s="45"/>
      <c r="BU448" s="45"/>
      <c r="CK448" s="10"/>
      <c r="EF448" s="20"/>
      <c r="FD448" s="21"/>
      <c r="FE448" s="21"/>
      <c r="FN448" s="22"/>
      <c r="FO448" s="22"/>
      <c r="FZ448" s="23"/>
      <c r="GA448" s="23"/>
      <c r="JD448" s="26"/>
      <c r="JE448" s="26"/>
      <c r="JF448" s="27"/>
      <c r="JG448" s="27"/>
      <c r="KL448" s="28"/>
      <c r="KP448" s="28"/>
      <c r="KT448" s="28"/>
      <c r="KX448" s="28"/>
      <c r="LB448" s="28"/>
      <c r="LF448" s="28"/>
      <c r="LJ448" s="28"/>
    </row>
    <row r="449" spans="1:322" ht="13.2">
      <c r="A449" s="42"/>
      <c r="B449" s="42"/>
      <c r="C449" s="42"/>
      <c r="D449" s="52"/>
      <c r="E449" s="52"/>
      <c r="O449" s="43"/>
      <c r="AL449" s="44"/>
      <c r="AM449" s="44"/>
      <c r="AN449" s="44"/>
      <c r="AO449" s="44"/>
      <c r="AP449" s="44"/>
      <c r="AQ449" s="44"/>
      <c r="AR449" s="44"/>
      <c r="AS449" s="44"/>
      <c r="AT449" s="45"/>
      <c r="AY449" s="45"/>
      <c r="BH449" s="45"/>
      <c r="BK449" s="45"/>
      <c r="BT449" s="45"/>
      <c r="BU449" s="45"/>
      <c r="CK449" s="10"/>
      <c r="EF449" s="20"/>
      <c r="FD449" s="21"/>
      <c r="FE449" s="21"/>
      <c r="FN449" s="22"/>
      <c r="FO449" s="22"/>
      <c r="FZ449" s="23"/>
      <c r="GA449" s="23"/>
      <c r="JD449" s="26"/>
      <c r="JE449" s="26"/>
      <c r="JF449" s="27"/>
      <c r="JG449" s="27"/>
      <c r="KL449" s="28"/>
      <c r="KP449" s="28"/>
      <c r="KT449" s="28"/>
      <c r="KX449" s="28"/>
      <c r="LB449" s="28"/>
      <c r="LF449" s="28"/>
      <c r="LJ449" s="28"/>
    </row>
    <row r="450" spans="1:322" ht="13.2">
      <c r="A450" s="42"/>
      <c r="B450" s="42"/>
      <c r="C450" s="42"/>
      <c r="D450" s="52"/>
      <c r="E450" s="52"/>
      <c r="O450" s="43"/>
      <c r="AL450" s="44"/>
      <c r="AM450" s="44"/>
      <c r="AN450" s="44"/>
      <c r="AO450" s="44"/>
      <c r="AP450" s="44"/>
      <c r="AQ450" s="44"/>
      <c r="AR450" s="44"/>
      <c r="AS450" s="44"/>
      <c r="AT450" s="45"/>
      <c r="AY450" s="45"/>
      <c r="BH450" s="45"/>
      <c r="BK450" s="45"/>
      <c r="BT450" s="45"/>
      <c r="BU450" s="45"/>
      <c r="CK450" s="10"/>
      <c r="EF450" s="20"/>
      <c r="FD450" s="21"/>
      <c r="FE450" s="21"/>
      <c r="FN450" s="22"/>
      <c r="FO450" s="22"/>
      <c r="FZ450" s="23"/>
      <c r="GA450" s="23"/>
      <c r="JD450" s="26"/>
      <c r="JE450" s="26"/>
      <c r="JF450" s="27"/>
      <c r="JG450" s="27"/>
      <c r="KL450" s="28"/>
      <c r="KP450" s="28"/>
      <c r="KT450" s="28"/>
      <c r="KX450" s="28"/>
      <c r="LB450" s="28"/>
      <c r="LF450" s="28"/>
      <c r="LJ450" s="28"/>
    </row>
    <row r="451" spans="1:322" ht="13.2">
      <c r="A451" s="42"/>
      <c r="B451" s="42"/>
      <c r="C451" s="42"/>
      <c r="D451" s="52"/>
      <c r="E451" s="52"/>
      <c r="O451" s="43"/>
      <c r="AL451" s="44"/>
      <c r="AM451" s="44"/>
      <c r="AN451" s="44"/>
      <c r="AO451" s="44"/>
      <c r="AP451" s="44"/>
      <c r="AQ451" s="44"/>
      <c r="AR451" s="44"/>
      <c r="AS451" s="44"/>
      <c r="AT451" s="45"/>
      <c r="AY451" s="45"/>
      <c r="BH451" s="45"/>
      <c r="BK451" s="45"/>
      <c r="BT451" s="45"/>
      <c r="BU451" s="45"/>
      <c r="CK451" s="10"/>
      <c r="EF451" s="20"/>
      <c r="FD451" s="21"/>
      <c r="FE451" s="21"/>
      <c r="FN451" s="22"/>
      <c r="FO451" s="22"/>
      <c r="FZ451" s="23"/>
      <c r="GA451" s="23"/>
      <c r="JD451" s="26"/>
      <c r="JE451" s="26"/>
      <c r="JF451" s="27"/>
      <c r="JG451" s="27"/>
      <c r="KL451" s="28"/>
      <c r="KP451" s="28"/>
      <c r="KT451" s="28"/>
      <c r="KX451" s="28"/>
      <c r="LB451" s="28"/>
      <c r="LF451" s="28"/>
      <c r="LJ451" s="28"/>
    </row>
    <row r="452" spans="1:322" ht="13.2">
      <c r="A452" s="42"/>
      <c r="B452" s="42"/>
      <c r="C452" s="42"/>
      <c r="D452" s="52"/>
      <c r="E452" s="52"/>
      <c r="O452" s="43"/>
      <c r="AL452" s="44"/>
      <c r="AM452" s="44"/>
      <c r="AN452" s="44"/>
      <c r="AO452" s="44"/>
      <c r="AP452" s="44"/>
      <c r="AQ452" s="44"/>
      <c r="AR452" s="44"/>
      <c r="AS452" s="44"/>
      <c r="AT452" s="45"/>
      <c r="AY452" s="45"/>
      <c r="BH452" s="45"/>
      <c r="BK452" s="45"/>
      <c r="BT452" s="45"/>
      <c r="BU452" s="45"/>
      <c r="CK452" s="10"/>
      <c r="EF452" s="20"/>
      <c r="FD452" s="21"/>
      <c r="FE452" s="21"/>
      <c r="FN452" s="22"/>
      <c r="FO452" s="22"/>
      <c r="FZ452" s="23"/>
      <c r="GA452" s="23"/>
      <c r="JD452" s="26"/>
      <c r="JE452" s="26"/>
      <c r="JF452" s="27"/>
      <c r="JG452" s="27"/>
      <c r="KL452" s="28"/>
      <c r="KP452" s="28"/>
      <c r="KT452" s="28"/>
      <c r="KX452" s="28"/>
      <c r="LB452" s="28"/>
      <c r="LF452" s="28"/>
      <c r="LJ452" s="28"/>
    </row>
    <row r="453" spans="1:322" ht="13.2">
      <c r="A453" s="42"/>
      <c r="B453" s="42"/>
      <c r="C453" s="42"/>
      <c r="D453" s="52"/>
      <c r="E453" s="52"/>
      <c r="O453" s="43"/>
      <c r="AL453" s="44"/>
      <c r="AM453" s="44"/>
      <c r="AN453" s="44"/>
      <c r="AO453" s="44"/>
      <c r="AP453" s="44"/>
      <c r="AQ453" s="44"/>
      <c r="AR453" s="44"/>
      <c r="AS453" s="44"/>
      <c r="AT453" s="45"/>
      <c r="AY453" s="45"/>
      <c r="BH453" s="45"/>
      <c r="BK453" s="45"/>
      <c r="BT453" s="45"/>
      <c r="BU453" s="45"/>
      <c r="CK453" s="10"/>
      <c r="EF453" s="20"/>
      <c r="FD453" s="21"/>
      <c r="FE453" s="21"/>
      <c r="FN453" s="22"/>
      <c r="FO453" s="22"/>
      <c r="FZ453" s="23"/>
      <c r="GA453" s="23"/>
      <c r="JD453" s="26"/>
      <c r="JE453" s="26"/>
      <c r="JF453" s="27"/>
      <c r="JG453" s="27"/>
      <c r="KL453" s="28"/>
      <c r="KP453" s="28"/>
      <c r="KT453" s="28"/>
      <c r="KX453" s="28"/>
      <c r="LB453" s="28"/>
      <c r="LF453" s="28"/>
      <c r="LJ453" s="28"/>
    </row>
    <row r="454" spans="1:322" ht="13.2">
      <c r="A454" s="42"/>
      <c r="B454" s="42"/>
      <c r="C454" s="42"/>
      <c r="D454" s="52"/>
      <c r="E454" s="52"/>
      <c r="O454" s="43"/>
      <c r="AL454" s="44"/>
      <c r="AM454" s="44"/>
      <c r="AN454" s="44"/>
      <c r="AO454" s="44"/>
      <c r="AP454" s="44"/>
      <c r="AQ454" s="44"/>
      <c r="AR454" s="44"/>
      <c r="AS454" s="44"/>
      <c r="AT454" s="45"/>
      <c r="AY454" s="45"/>
      <c r="BH454" s="45"/>
      <c r="BK454" s="45"/>
      <c r="BT454" s="45"/>
      <c r="BU454" s="45"/>
      <c r="CK454" s="10"/>
      <c r="EF454" s="20"/>
      <c r="FD454" s="21"/>
      <c r="FE454" s="21"/>
      <c r="FN454" s="22"/>
      <c r="FO454" s="22"/>
      <c r="FZ454" s="23"/>
      <c r="GA454" s="23"/>
      <c r="JD454" s="26"/>
      <c r="JE454" s="26"/>
      <c r="JF454" s="27"/>
      <c r="JG454" s="27"/>
      <c r="KL454" s="28"/>
      <c r="KP454" s="28"/>
      <c r="KT454" s="28"/>
      <c r="KX454" s="28"/>
      <c r="LB454" s="28"/>
      <c r="LF454" s="28"/>
      <c r="LJ454" s="28"/>
    </row>
    <row r="455" spans="1:322" ht="13.2">
      <c r="A455" s="42"/>
      <c r="B455" s="42"/>
      <c r="C455" s="42"/>
      <c r="D455" s="52"/>
      <c r="E455" s="52"/>
      <c r="O455" s="43"/>
      <c r="AL455" s="44"/>
      <c r="AM455" s="44"/>
      <c r="AN455" s="44"/>
      <c r="AO455" s="44"/>
      <c r="AP455" s="44"/>
      <c r="AQ455" s="44"/>
      <c r="AR455" s="44"/>
      <c r="AS455" s="44"/>
      <c r="AT455" s="45"/>
      <c r="AY455" s="45"/>
      <c r="BH455" s="45"/>
      <c r="BK455" s="45"/>
      <c r="BT455" s="45"/>
      <c r="BU455" s="45"/>
      <c r="CK455" s="10"/>
      <c r="EF455" s="20"/>
      <c r="FD455" s="21"/>
      <c r="FE455" s="21"/>
      <c r="FN455" s="22"/>
      <c r="FO455" s="22"/>
      <c r="FZ455" s="23"/>
      <c r="GA455" s="23"/>
      <c r="JD455" s="26"/>
      <c r="JE455" s="26"/>
      <c r="JF455" s="27"/>
      <c r="JG455" s="27"/>
      <c r="KL455" s="28"/>
      <c r="KP455" s="28"/>
      <c r="KT455" s="28"/>
      <c r="KX455" s="28"/>
      <c r="LB455" s="28"/>
      <c r="LF455" s="28"/>
      <c r="LJ455" s="28"/>
    </row>
    <row r="456" spans="1:322" ht="13.2">
      <c r="A456" s="42"/>
      <c r="B456" s="42"/>
      <c r="C456" s="42"/>
      <c r="D456" s="52"/>
      <c r="E456" s="52"/>
      <c r="O456" s="43"/>
      <c r="AL456" s="44"/>
      <c r="AM456" s="44"/>
      <c r="AN456" s="44"/>
      <c r="AO456" s="44"/>
      <c r="AP456" s="44"/>
      <c r="AQ456" s="44"/>
      <c r="AR456" s="44"/>
      <c r="AS456" s="44"/>
      <c r="AT456" s="45"/>
      <c r="AY456" s="45"/>
      <c r="BH456" s="45"/>
      <c r="BK456" s="45"/>
      <c r="BT456" s="45"/>
      <c r="BU456" s="45"/>
      <c r="CK456" s="10"/>
      <c r="EF456" s="20"/>
      <c r="FD456" s="21"/>
      <c r="FE456" s="21"/>
      <c r="FN456" s="22"/>
      <c r="FO456" s="22"/>
      <c r="FZ456" s="23"/>
      <c r="GA456" s="23"/>
      <c r="JD456" s="26"/>
      <c r="JE456" s="26"/>
      <c r="JF456" s="27"/>
      <c r="JG456" s="27"/>
      <c r="KL456" s="28"/>
      <c r="KP456" s="28"/>
      <c r="KT456" s="28"/>
      <c r="KX456" s="28"/>
      <c r="LB456" s="28"/>
      <c r="LF456" s="28"/>
      <c r="LJ456" s="28"/>
    </row>
    <row r="457" spans="1:322" ht="13.2">
      <c r="A457" s="42"/>
      <c r="B457" s="42"/>
      <c r="C457" s="42"/>
      <c r="D457" s="52"/>
      <c r="E457" s="52"/>
      <c r="O457" s="43"/>
      <c r="AL457" s="44"/>
      <c r="AM457" s="44"/>
      <c r="AN457" s="44"/>
      <c r="AO457" s="44"/>
      <c r="AP457" s="44"/>
      <c r="AQ457" s="44"/>
      <c r="AR457" s="44"/>
      <c r="AS457" s="44"/>
      <c r="AT457" s="45"/>
      <c r="AY457" s="45"/>
      <c r="BH457" s="45"/>
      <c r="BK457" s="45"/>
      <c r="BT457" s="45"/>
      <c r="BU457" s="45"/>
      <c r="CK457" s="10"/>
      <c r="EF457" s="20"/>
      <c r="FD457" s="21"/>
      <c r="FE457" s="21"/>
      <c r="FN457" s="22"/>
      <c r="FO457" s="22"/>
      <c r="FZ457" s="23"/>
      <c r="GA457" s="23"/>
      <c r="JD457" s="26"/>
      <c r="JE457" s="26"/>
      <c r="JF457" s="27"/>
      <c r="JG457" s="27"/>
      <c r="KL457" s="28"/>
      <c r="KP457" s="28"/>
      <c r="KT457" s="28"/>
      <c r="KX457" s="28"/>
      <c r="LB457" s="28"/>
      <c r="LF457" s="28"/>
      <c r="LJ457" s="28"/>
    </row>
    <row r="458" spans="1:322" ht="13.2">
      <c r="A458" s="42"/>
      <c r="B458" s="42"/>
      <c r="C458" s="42"/>
      <c r="D458" s="52"/>
      <c r="E458" s="52"/>
      <c r="O458" s="43"/>
      <c r="AL458" s="44"/>
      <c r="AM458" s="44"/>
      <c r="AN458" s="44"/>
      <c r="AO458" s="44"/>
      <c r="AP458" s="44"/>
      <c r="AQ458" s="44"/>
      <c r="AR458" s="44"/>
      <c r="AS458" s="44"/>
      <c r="AT458" s="45"/>
      <c r="AY458" s="45"/>
      <c r="BH458" s="45"/>
      <c r="BK458" s="45"/>
      <c r="BT458" s="45"/>
      <c r="BU458" s="45"/>
      <c r="CK458" s="10"/>
      <c r="EF458" s="20"/>
      <c r="FD458" s="21"/>
      <c r="FE458" s="21"/>
      <c r="FN458" s="22"/>
      <c r="FO458" s="22"/>
      <c r="FZ458" s="23"/>
      <c r="GA458" s="23"/>
      <c r="JD458" s="26"/>
      <c r="JE458" s="26"/>
      <c r="JF458" s="27"/>
      <c r="JG458" s="27"/>
      <c r="KL458" s="28"/>
      <c r="KP458" s="28"/>
      <c r="KT458" s="28"/>
      <c r="KX458" s="28"/>
      <c r="LB458" s="28"/>
      <c r="LF458" s="28"/>
      <c r="LJ458" s="28"/>
    </row>
    <row r="459" spans="1:322" ht="13.2">
      <c r="A459" s="42"/>
      <c r="B459" s="42"/>
      <c r="C459" s="42"/>
      <c r="D459" s="52"/>
      <c r="E459" s="52"/>
      <c r="O459" s="43"/>
      <c r="AL459" s="44"/>
      <c r="AM459" s="44"/>
      <c r="AN459" s="44"/>
      <c r="AO459" s="44"/>
      <c r="AP459" s="44"/>
      <c r="AQ459" s="44"/>
      <c r="AR459" s="44"/>
      <c r="AS459" s="44"/>
      <c r="AT459" s="45"/>
      <c r="AY459" s="45"/>
      <c r="BH459" s="45"/>
      <c r="BK459" s="45"/>
      <c r="BT459" s="45"/>
      <c r="BU459" s="45"/>
      <c r="CK459" s="10"/>
      <c r="EF459" s="20"/>
      <c r="FD459" s="21"/>
      <c r="FE459" s="21"/>
      <c r="FN459" s="22"/>
      <c r="FO459" s="22"/>
      <c r="FZ459" s="23"/>
      <c r="GA459" s="23"/>
      <c r="JD459" s="26"/>
      <c r="JE459" s="26"/>
      <c r="JF459" s="27"/>
      <c r="JG459" s="27"/>
      <c r="KL459" s="28"/>
      <c r="KP459" s="28"/>
      <c r="KT459" s="28"/>
      <c r="KX459" s="28"/>
      <c r="LB459" s="28"/>
      <c r="LF459" s="28"/>
      <c r="LJ459" s="28"/>
    </row>
    <row r="460" spans="1:322" ht="13.2">
      <c r="A460" s="42"/>
      <c r="B460" s="42"/>
      <c r="C460" s="42"/>
      <c r="D460" s="52"/>
      <c r="E460" s="52"/>
      <c r="O460" s="43"/>
      <c r="AL460" s="44"/>
      <c r="AM460" s="44"/>
      <c r="AN460" s="44"/>
      <c r="AO460" s="44"/>
      <c r="AP460" s="44"/>
      <c r="AQ460" s="44"/>
      <c r="AR460" s="44"/>
      <c r="AS460" s="44"/>
      <c r="AT460" s="45"/>
      <c r="AY460" s="45"/>
      <c r="BH460" s="45"/>
      <c r="BK460" s="45"/>
      <c r="BT460" s="45"/>
      <c r="BU460" s="45"/>
      <c r="CK460" s="10"/>
      <c r="EF460" s="20"/>
      <c r="FD460" s="21"/>
      <c r="FE460" s="21"/>
      <c r="FN460" s="22"/>
      <c r="FO460" s="22"/>
      <c r="FZ460" s="23"/>
      <c r="GA460" s="23"/>
      <c r="JD460" s="26"/>
      <c r="JE460" s="26"/>
      <c r="JF460" s="27"/>
      <c r="JG460" s="27"/>
      <c r="KL460" s="28"/>
      <c r="KP460" s="28"/>
      <c r="KT460" s="28"/>
      <c r="KX460" s="28"/>
      <c r="LB460" s="28"/>
      <c r="LF460" s="28"/>
      <c r="LJ460" s="28"/>
    </row>
    <row r="461" spans="1:322" ht="13.2">
      <c r="A461" s="42"/>
      <c r="B461" s="42"/>
      <c r="C461" s="42"/>
      <c r="D461" s="52"/>
      <c r="E461" s="52"/>
      <c r="O461" s="43"/>
      <c r="AL461" s="44"/>
      <c r="AM461" s="44"/>
      <c r="AN461" s="44"/>
      <c r="AO461" s="44"/>
      <c r="AP461" s="44"/>
      <c r="AQ461" s="44"/>
      <c r="AR461" s="44"/>
      <c r="AS461" s="44"/>
      <c r="AT461" s="45"/>
      <c r="AY461" s="45"/>
      <c r="BH461" s="45"/>
      <c r="BK461" s="45"/>
      <c r="BT461" s="45"/>
      <c r="BU461" s="45"/>
      <c r="CK461" s="10"/>
      <c r="EF461" s="20"/>
      <c r="FD461" s="21"/>
      <c r="FE461" s="21"/>
      <c r="FN461" s="22"/>
      <c r="FO461" s="22"/>
      <c r="FZ461" s="23"/>
      <c r="GA461" s="23"/>
      <c r="JD461" s="26"/>
      <c r="JE461" s="26"/>
      <c r="JF461" s="27"/>
      <c r="JG461" s="27"/>
      <c r="KL461" s="28"/>
      <c r="KP461" s="28"/>
      <c r="KT461" s="28"/>
      <c r="KX461" s="28"/>
      <c r="LB461" s="28"/>
      <c r="LF461" s="28"/>
      <c r="LJ461" s="28"/>
    </row>
    <row r="462" spans="1:322" ht="13.2">
      <c r="A462" s="42"/>
      <c r="B462" s="42"/>
      <c r="C462" s="42"/>
      <c r="D462" s="52"/>
      <c r="E462" s="52"/>
      <c r="O462" s="43"/>
      <c r="AL462" s="44"/>
      <c r="AM462" s="44"/>
      <c r="AN462" s="44"/>
      <c r="AO462" s="44"/>
      <c r="AP462" s="44"/>
      <c r="AQ462" s="44"/>
      <c r="AR462" s="44"/>
      <c r="AS462" s="44"/>
      <c r="AT462" s="45"/>
      <c r="AY462" s="45"/>
      <c r="BH462" s="45"/>
      <c r="BK462" s="45"/>
      <c r="BT462" s="45"/>
      <c r="BU462" s="45"/>
      <c r="CK462" s="10"/>
      <c r="EF462" s="20"/>
      <c r="FD462" s="21"/>
      <c r="FE462" s="21"/>
      <c r="FN462" s="22"/>
      <c r="FO462" s="22"/>
      <c r="FZ462" s="23"/>
      <c r="GA462" s="23"/>
      <c r="JD462" s="26"/>
      <c r="JE462" s="26"/>
      <c r="JF462" s="27"/>
      <c r="JG462" s="27"/>
      <c r="KL462" s="28"/>
      <c r="KP462" s="28"/>
      <c r="KT462" s="28"/>
      <c r="KX462" s="28"/>
      <c r="LB462" s="28"/>
      <c r="LF462" s="28"/>
      <c r="LJ462" s="28"/>
    </row>
    <row r="463" spans="1:322" ht="13.2">
      <c r="A463" s="42"/>
      <c r="B463" s="42"/>
      <c r="C463" s="42"/>
      <c r="D463" s="52"/>
      <c r="E463" s="52"/>
      <c r="O463" s="43"/>
      <c r="AL463" s="44"/>
      <c r="AM463" s="44"/>
      <c r="AN463" s="44"/>
      <c r="AO463" s="44"/>
      <c r="AP463" s="44"/>
      <c r="AQ463" s="44"/>
      <c r="AR463" s="44"/>
      <c r="AS463" s="44"/>
      <c r="AT463" s="45"/>
      <c r="AY463" s="45"/>
      <c r="BH463" s="45"/>
      <c r="BK463" s="45"/>
      <c r="BT463" s="45"/>
      <c r="BU463" s="45"/>
      <c r="CK463" s="10"/>
      <c r="EF463" s="20"/>
      <c r="FD463" s="21"/>
      <c r="FE463" s="21"/>
      <c r="FN463" s="22"/>
      <c r="FO463" s="22"/>
      <c r="FZ463" s="23"/>
      <c r="GA463" s="23"/>
      <c r="JD463" s="26"/>
      <c r="JE463" s="26"/>
      <c r="JF463" s="27"/>
      <c r="JG463" s="27"/>
      <c r="KL463" s="28"/>
      <c r="KP463" s="28"/>
      <c r="KT463" s="28"/>
      <c r="KX463" s="28"/>
      <c r="LB463" s="28"/>
      <c r="LF463" s="28"/>
      <c r="LJ463" s="28"/>
    </row>
    <row r="464" spans="1:322" ht="13.2">
      <c r="A464" s="42"/>
      <c r="B464" s="42"/>
      <c r="C464" s="42"/>
      <c r="D464" s="52"/>
      <c r="E464" s="52"/>
      <c r="O464" s="43"/>
      <c r="AL464" s="44"/>
      <c r="AM464" s="44"/>
      <c r="AN464" s="44"/>
      <c r="AO464" s="44"/>
      <c r="AP464" s="44"/>
      <c r="AQ464" s="44"/>
      <c r="AR464" s="44"/>
      <c r="AS464" s="44"/>
      <c r="AT464" s="45"/>
      <c r="AY464" s="45"/>
      <c r="BH464" s="45"/>
      <c r="BK464" s="45"/>
      <c r="BT464" s="45"/>
      <c r="BU464" s="45"/>
      <c r="CK464" s="10"/>
      <c r="EF464" s="20"/>
      <c r="FD464" s="21"/>
      <c r="FE464" s="21"/>
      <c r="FN464" s="22"/>
      <c r="FO464" s="22"/>
      <c r="FZ464" s="23"/>
      <c r="GA464" s="23"/>
      <c r="JD464" s="26"/>
      <c r="JE464" s="26"/>
      <c r="JF464" s="27"/>
      <c r="JG464" s="27"/>
      <c r="KL464" s="28"/>
      <c r="KP464" s="28"/>
      <c r="KT464" s="28"/>
      <c r="KX464" s="28"/>
      <c r="LB464" s="28"/>
      <c r="LF464" s="28"/>
      <c r="LJ464" s="28"/>
    </row>
    <row r="465" spans="1:322" ht="13.2">
      <c r="A465" s="42"/>
      <c r="B465" s="42"/>
      <c r="C465" s="42"/>
      <c r="D465" s="52"/>
      <c r="E465" s="52"/>
      <c r="O465" s="43"/>
      <c r="AL465" s="44"/>
      <c r="AM465" s="44"/>
      <c r="AN465" s="44"/>
      <c r="AO465" s="44"/>
      <c r="AP465" s="44"/>
      <c r="AQ465" s="44"/>
      <c r="AR465" s="44"/>
      <c r="AS465" s="44"/>
      <c r="AT465" s="45"/>
      <c r="AY465" s="45"/>
      <c r="BH465" s="45"/>
      <c r="BK465" s="45"/>
      <c r="BT465" s="45"/>
      <c r="BU465" s="45"/>
      <c r="CK465" s="10"/>
      <c r="EF465" s="20"/>
      <c r="FD465" s="21"/>
      <c r="FE465" s="21"/>
      <c r="FN465" s="22"/>
      <c r="FO465" s="22"/>
      <c r="FZ465" s="23"/>
      <c r="GA465" s="23"/>
      <c r="JD465" s="26"/>
      <c r="JE465" s="26"/>
      <c r="JF465" s="27"/>
      <c r="JG465" s="27"/>
      <c r="KL465" s="28"/>
      <c r="KP465" s="28"/>
      <c r="KT465" s="28"/>
      <c r="KX465" s="28"/>
      <c r="LB465" s="28"/>
      <c r="LF465" s="28"/>
      <c r="LJ465" s="28"/>
    </row>
    <row r="466" spans="1:322" ht="13.2">
      <c r="A466" s="42"/>
      <c r="B466" s="42"/>
      <c r="C466" s="42"/>
      <c r="D466" s="52"/>
      <c r="E466" s="52"/>
      <c r="O466" s="43"/>
      <c r="AL466" s="44"/>
      <c r="AM466" s="44"/>
      <c r="AN466" s="44"/>
      <c r="AO466" s="44"/>
      <c r="AP466" s="44"/>
      <c r="AQ466" s="44"/>
      <c r="AR466" s="44"/>
      <c r="AS466" s="44"/>
      <c r="AT466" s="45"/>
      <c r="AY466" s="45"/>
      <c r="BH466" s="45"/>
      <c r="BK466" s="45"/>
      <c r="BT466" s="45"/>
      <c r="BU466" s="45"/>
      <c r="CK466" s="10"/>
      <c r="EF466" s="20"/>
      <c r="FD466" s="21"/>
      <c r="FE466" s="21"/>
      <c r="FN466" s="22"/>
      <c r="FO466" s="22"/>
      <c r="FZ466" s="23"/>
      <c r="GA466" s="23"/>
      <c r="JD466" s="26"/>
      <c r="JE466" s="26"/>
      <c r="JF466" s="27"/>
      <c r="JG466" s="27"/>
      <c r="KL466" s="28"/>
      <c r="KP466" s="28"/>
      <c r="KT466" s="28"/>
      <c r="KX466" s="28"/>
      <c r="LB466" s="28"/>
      <c r="LF466" s="28"/>
      <c r="LJ466" s="28"/>
    </row>
    <row r="467" spans="1:322" ht="13.2">
      <c r="A467" s="42"/>
      <c r="B467" s="42"/>
      <c r="C467" s="42"/>
      <c r="D467" s="52"/>
      <c r="E467" s="52"/>
      <c r="O467" s="43"/>
      <c r="AL467" s="44"/>
      <c r="AM467" s="44"/>
      <c r="AN467" s="44"/>
      <c r="AO467" s="44"/>
      <c r="AP467" s="44"/>
      <c r="AQ467" s="44"/>
      <c r="AR467" s="44"/>
      <c r="AS467" s="44"/>
      <c r="AT467" s="45"/>
      <c r="AY467" s="45"/>
      <c r="BH467" s="45"/>
      <c r="BK467" s="45"/>
      <c r="BT467" s="45"/>
      <c r="BU467" s="45"/>
      <c r="CK467" s="10"/>
      <c r="EF467" s="20"/>
      <c r="FD467" s="21"/>
      <c r="FE467" s="21"/>
      <c r="FN467" s="22"/>
      <c r="FO467" s="22"/>
      <c r="FZ467" s="23"/>
      <c r="GA467" s="23"/>
      <c r="JD467" s="26"/>
      <c r="JE467" s="26"/>
      <c r="JF467" s="27"/>
      <c r="JG467" s="27"/>
      <c r="KL467" s="28"/>
      <c r="KP467" s="28"/>
      <c r="KT467" s="28"/>
      <c r="KX467" s="28"/>
      <c r="LB467" s="28"/>
      <c r="LF467" s="28"/>
      <c r="LJ467" s="28"/>
    </row>
    <row r="468" spans="1:322" ht="13.2">
      <c r="A468" s="42"/>
      <c r="B468" s="42"/>
      <c r="C468" s="42"/>
      <c r="D468" s="52"/>
      <c r="E468" s="52"/>
      <c r="O468" s="43"/>
      <c r="AL468" s="44"/>
      <c r="AM468" s="44"/>
      <c r="AN468" s="44"/>
      <c r="AO468" s="44"/>
      <c r="AP468" s="44"/>
      <c r="AQ468" s="44"/>
      <c r="AR468" s="44"/>
      <c r="AS468" s="44"/>
      <c r="AT468" s="45"/>
      <c r="AY468" s="45"/>
      <c r="BH468" s="45"/>
      <c r="BK468" s="45"/>
      <c r="BT468" s="45"/>
      <c r="BU468" s="45"/>
      <c r="CK468" s="10"/>
      <c r="EF468" s="20"/>
      <c r="FD468" s="21"/>
      <c r="FE468" s="21"/>
      <c r="FN468" s="22"/>
      <c r="FO468" s="22"/>
      <c r="FZ468" s="23"/>
      <c r="GA468" s="23"/>
      <c r="JD468" s="26"/>
      <c r="JE468" s="26"/>
      <c r="JF468" s="27"/>
      <c r="JG468" s="27"/>
      <c r="KL468" s="28"/>
      <c r="KP468" s="28"/>
      <c r="KT468" s="28"/>
      <c r="KX468" s="28"/>
      <c r="LB468" s="28"/>
      <c r="LF468" s="28"/>
      <c r="LJ468" s="28"/>
    </row>
    <row r="469" spans="1:322" ht="13.2">
      <c r="A469" s="42"/>
      <c r="B469" s="42"/>
      <c r="C469" s="42"/>
      <c r="D469" s="52"/>
      <c r="E469" s="52"/>
      <c r="O469" s="43"/>
      <c r="AL469" s="44"/>
      <c r="AM469" s="44"/>
      <c r="AN469" s="44"/>
      <c r="AO469" s="44"/>
      <c r="AP469" s="44"/>
      <c r="AQ469" s="44"/>
      <c r="AR469" s="44"/>
      <c r="AS469" s="44"/>
      <c r="AT469" s="45"/>
      <c r="AY469" s="45"/>
      <c r="BH469" s="45"/>
      <c r="BK469" s="45"/>
      <c r="BT469" s="45"/>
      <c r="BU469" s="45"/>
      <c r="CK469" s="10"/>
      <c r="EF469" s="20"/>
      <c r="FD469" s="21"/>
      <c r="FE469" s="21"/>
      <c r="FN469" s="22"/>
      <c r="FO469" s="22"/>
      <c r="FZ469" s="23"/>
      <c r="GA469" s="23"/>
      <c r="JD469" s="26"/>
      <c r="JE469" s="26"/>
      <c r="JF469" s="27"/>
      <c r="JG469" s="27"/>
      <c r="KL469" s="28"/>
      <c r="KP469" s="28"/>
      <c r="KT469" s="28"/>
      <c r="KX469" s="28"/>
      <c r="LB469" s="28"/>
      <c r="LF469" s="28"/>
      <c r="LJ469" s="28"/>
    </row>
    <row r="470" spans="1:322" ht="13.2">
      <c r="A470" s="42"/>
      <c r="B470" s="42"/>
      <c r="C470" s="42"/>
      <c r="D470" s="52"/>
      <c r="E470" s="52"/>
      <c r="O470" s="43"/>
      <c r="AL470" s="44"/>
      <c r="AM470" s="44"/>
      <c r="AN470" s="44"/>
      <c r="AO470" s="44"/>
      <c r="AP470" s="44"/>
      <c r="AQ470" s="44"/>
      <c r="AR470" s="44"/>
      <c r="AS470" s="44"/>
      <c r="AT470" s="45"/>
      <c r="AY470" s="45"/>
      <c r="BH470" s="45"/>
      <c r="BK470" s="45"/>
      <c r="BT470" s="45"/>
      <c r="BU470" s="45"/>
      <c r="CK470" s="10"/>
      <c r="EF470" s="20"/>
      <c r="FD470" s="21"/>
      <c r="FE470" s="21"/>
      <c r="FN470" s="22"/>
      <c r="FO470" s="22"/>
      <c r="FZ470" s="23"/>
      <c r="GA470" s="23"/>
      <c r="JD470" s="26"/>
      <c r="JE470" s="26"/>
      <c r="JF470" s="27"/>
      <c r="JG470" s="27"/>
      <c r="KL470" s="28"/>
      <c r="KP470" s="28"/>
      <c r="KT470" s="28"/>
      <c r="KX470" s="28"/>
      <c r="LB470" s="28"/>
      <c r="LF470" s="28"/>
      <c r="LJ470" s="28"/>
    </row>
    <row r="471" spans="1:322" ht="13.2">
      <c r="A471" s="42"/>
      <c r="B471" s="42"/>
      <c r="C471" s="42"/>
      <c r="D471" s="52"/>
      <c r="E471" s="52"/>
      <c r="O471" s="43"/>
      <c r="AL471" s="44"/>
      <c r="AM471" s="44"/>
      <c r="AN471" s="44"/>
      <c r="AO471" s="44"/>
      <c r="AP471" s="44"/>
      <c r="AQ471" s="44"/>
      <c r="AR471" s="44"/>
      <c r="AS471" s="44"/>
      <c r="AT471" s="45"/>
      <c r="AY471" s="45"/>
      <c r="BH471" s="45"/>
      <c r="BK471" s="45"/>
      <c r="BT471" s="45"/>
      <c r="BU471" s="45"/>
      <c r="CK471" s="10"/>
      <c r="EF471" s="20"/>
      <c r="FD471" s="21"/>
      <c r="FE471" s="21"/>
      <c r="FN471" s="22"/>
      <c r="FO471" s="22"/>
      <c r="FZ471" s="23"/>
      <c r="GA471" s="23"/>
      <c r="JD471" s="26"/>
      <c r="JE471" s="26"/>
      <c r="JF471" s="27"/>
      <c r="JG471" s="27"/>
      <c r="KL471" s="28"/>
      <c r="KP471" s="28"/>
      <c r="KT471" s="28"/>
      <c r="KX471" s="28"/>
      <c r="LB471" s="28"/>
      <c r="LF471" s="28"/>
      <c r="LJ471" s="28"/>
    </row>
    <row r="472" spans="1:322" ht="13.2">
      <c r="A472" s="42"/>
      <c r="B472" s="42"/>
      <c r="C472" s="42"/>
      <c r="D472" s="52"/>
      <c r="E472" s="52"/>
      <c r="O472" s="43"/>
      <c r="AL472" s="44"/>
      <c r="AM472" s="44"/>
      <c r="AN472" s="44"/>
      <c r="AO472" s="44"/>
      <c r="AP472" s="44"/>
      <c r="AQ472" s="44"/>
      <c r="AR472" s="44"/>
      <c r="AS472" s="44"/>
      <c r="AT472" s="45"/>
      <c r="AY472" s="45"/>
      <c r="BH472" s="45"/>
      <c r="BK472" s="45"/>
      <c r="BT472" s="45"/>
      <c r="BU472" s="45"/>
      <c r="CK472" s="10"/>
      <c r="EF472" s="20"/>
      <c r="FD472" s="21"/>
      <c r="FE472" s="21"/>
      <c r="FN472" s="22"/>
      <c r="FO472" s="22"/>
      <c r="FZ472" s="23"/>
      <c r="GA472" s="23"/>
      <c r="JD472" s="26"/>
      <c r="JE472" s="26"/>
      <c r="JF472" s="27"/>
      <c r="JG472" s="27"/>
      <c r="KL472" s="28"/>
      <c r="KP472" s="28"/>
      <c r="KT472" s="28"/>
      <c r="KX472" s="28"/>
      <c r="LB472" s="28"/>
      <c r="LF472" s="28"/>
      <c r="LJ472" s="28"/>
    </row>
    <row r="473" spans="1:322" ht="13.2">
      <c r="A473" s="42"/>
      <c r="B473" s="42"/>
      <c r="C473" s="42"/>
      <c r="D473" s="52"/>
      <c r="E473" s="52"/>
      <c r="O473" s="43"/>
      <c r="AL473" s="44"/>
      <c r="AM473" s="44"/>
      <c r="AN473" s="44"/>
      <c r="AO473" s="44"/>
      <c r="AP473" s="44"/>
      <c r="AQ473" s="44"/>
      <c r="AR473" s="44"/>
      <c r="AS473" s="44"/>
      <c r="AT473" s="45"/>
      <c r="AY473" s="45"/>
      <c r="BH473" s="45"/>
      <c r="BK473" s="45"/>
      <c r="BT473" s="45"/>
      <c r="BU473" s="45"/>
      <c r="CK473" s="10"/>
      <c r="EF473" s="20"/>
      <c r="FD473" s="21"/>
      <c r="FE473" s="21"/>
      <c r="FN473" s="22"/>
      <c r="FO473" s="22"/>
      <c r="FZ473" s="23"/>
      <c r="GA473" s="23"/>
      <c r="JD473" s="26"/>
      <c r="JE473" s="26"/>
      <c r="JF473" s="27"/>
      <c r="JG473" s="27"/>
      <c r="KL473" s="28"/>
      <c r="KP473" s="28"/>
      <c r="KT473" s="28"/>
      <c r="KX473" s="28"/>
      <c r="LB473" s="28"/>
      <c r="LF473" s="28"/>
      <c r="LJ473" s="28"/>
    </row>
    <row r="474" spans="1:322" ht="13.2">
      <c r="A474" s="42"/>
      <c r="B474" s="42"/>
      <c r="C474" s="42"/>
      <c r="D474" s="52"/>
      <c r="E474" s="52"/>
      <c r="O474" s="43"/>
      <c r="AL474" s="44"/>
      <c r="AM474" s="44"/>
      <c r="AN474" s="44"/>
      <c r="AO474" s="44"/>
      <c r="AP474" s="44"/>
      <c r="AQ474" s="44"/>
      <c r="AR474" s="44"/>
      <c r="AS474" s="44"/>
      <c r="AT474" s="45"/>
      <c r="AY474" s="45"/>
      <c r="BH474" s="45"/>
      <c r="BK474" s="45"/>
      <c r="BT474" s="45"/>
      <c r="BU474" s="45"/>
      <c r="CK474" s="10"/>
      <c r="EF474" s="20"/>
      <c r="FD474" s="21"/>
      <c r="FE474" s="21"/>
      <c r="FN474" s="22"/>
      <c r="FO474" s="22"/>
      <c r="FZ474" s="23"/>
      <c r="GA474" s="23"/>
      <c r="JD474" s="26"/>
      <c r="JE474" s="26"/>
      <c r="JF474" s="27"/>
      <c r="JG474" s="27"/>
      <c r="KL474" s="28"/>
      <c r="KP474" s="28"/>
      <c r="KT474" s="28"/>
      <c r="KX474" s="28"/>
      <c r="LB474" s="28"/>
      <c r="LF474" s="28"/>
      <c r="LJ474" s="28"/>
    </row>
    <row r="475" spans="1:322" ht="13.2">
      <c r="A475" s="42"/>
      <c r="B475" s="42"/>
      <c r="C475" s="42"/>
      <c r="D475" s="52"/>
      <c r="E475" s="52"/>
      <c r="O475" s="43"/>
      <c r="AL475" s="44"/>
      <c r="AM475" s="44"/>
      <c r="AN475" s="44"/>
      <c r="AO475" s="44"/>
      <c r="AP475" s="44"/>
      <c r="AQ475" s="44"/>
      <c r="AR475" s="44"/>
      <c r="AS475" s="44"/>
      <c r="AT475" s="45"/>
      <c r="AY475" s="45"/>
      <c r="BH475" s="45"/>
      <c r="BK475" s="45"/>
      <c r="BT475" s="45"/>
      <c r="BU475" s="45"/>
      <c r="CK475" s="10"/>
      <c r="EF475" s="20"/>
      <c r="FD475" s="21"/>
      <c r="FE475" s="21"/>
      <c r="FN475" s="22"/>
      <c r="FO475" s="22"/>
      <c r="FZ475" s="23"/>
      <c r="GA475" s="23"/>
      <c r="JD475" s="26"/>
      <c r="JE475" s="26"/>
      <c r="JF475" s="27"/>
      <c r="JG475" s="27"/>
      <c r="KL475" s="28"/>
      <c r="KP475" s="28"/>
      <c r="KT475" s="28"/>
      <c r="KX475" s="28"/>
      <c r="LB475" s="28"/>
      <c r="LF475" s="28"/>
      <c r="LJ475" s="28"/>
    </row>
    <row r="476" spans="1:322" ht="13.2">
      <c r="A476" s="42"/>
      <c r="B476" s="42"/>
      <c r="C476" s="42"/>
      <c r="D476" s="52"/>
      <c r="E476" s="52"/>
      <c r="O476" s="43"/>
      <c r="AL476" s="44"/>
      <c r="AM476" s="44"/>
      <c r="AN476" s="44"/>
      <c r="AO476" s="44"/>
      <c r="AP476" s="44"/>
      <c r="AQ476" s="44"/>
      <c r="AR476" s="44"/>
      <c r="AS476" s="44"/>
      <c r="AT476" s="45"/>
      <c r="AY476" s="45"/>
      <c r="BH476" s="45"/>
      <c r="BK476" s="45"/>
      <c r="BT476" s="45"/>
      <c r="BU476" s="45"/>
      <c r="CK476" s="10"/>
      <c r="EF476" s="20"/>
      <c r="FD476" s="21"/>
      <c r="FE476" s="21"/>
      <c r="FN476" s="22"/>
      <c r="FO476" s="22"/>
      <c r="FZ476" s="23"/>
      <c r="GA476" s="23"/>
      <c r="JD476" s="26"/>
      <c r="JE476" s="26"/>
      <c r="JF476" s="27"/>
      <c r="JG476" s="27"/>
      <c r="KL476" s="28"/>
      <c r="KP476" s="28"/>
      <c r="KT476" s="28"/>
      <c r="KX476" s="28"/>
      <c r="LB476" s="28"/>
      <c r="LF476" s="28"/>
      <c r="LJ476" s="28"/>
    </row>
    <row r="477" spans="1:322" ht="13.2">
      <c r="A477" s="42"/>
      <c r="B477" s="42"/>
      <c r="C477" s="42"/>
      <c r="D477" s="52"/>
      <c r="E477" s="52"/>
      <c r="O477" s="43"/>
      <c r="AL477" s="44"/>
      <c r="AM477" s="44"/>
      <c r="AN477" s="44"/>
      <c r="AO477" s="44"/>
      <c r="AP477" s="44"/>
      <c r="AQ477" s="44"/>
      <c r="AR477" s="44"/>
      <c r="AS477" s="44"/>
      <c r="AT477" s="45"/>
      <c r="AY477" s="45"/>
      <c r="BH477" s="45"/>
      <c r="BK477" s="45"/>
      <c r="BT477" s="45"/>
      <c r="BU477" s="45"/>
      <c r="CK477" s="10"/>
      <c r="EF477" s="20"/>
      <c r="FD477" s="21"/>
      <c r="FE477" s="21"/>
      <c r="FN477" s="22"/>
      <c r="FO477" s="22"/>
      <c r="FZ477" s="23"/>
      <c r="GA477" s="23"/>
      <c r="JD477" s="26"/>
      <c r="JE477" s="26"/>
      <c r="JF477" s="27"/>
      <c r="JG477" s="27"/>
      <c r="KL477" s="28"/>
      <c r="KP477" s="28"/>
      <c r="KT477" s="28"/>
      <c r="KX477" s="28"/>
      <c r="LB477" s="28"/>
      <c r="LF477" s="28"/>
      <c r="LJ477" s="28"/>
    </row>
    <row r="478" spans="1:322" ht="13.2">
      <c r="A478" s="42"/>
      <c r="B478" s="42"/>
      <c r="C478" s="42"/>
      <c r="D478" s="52"/>
      <c r="E478" s="52"/>
      <c r="O478" s="43"/>
      <c r="AL478" s="44"/>
      <c r="AM478" s="44"/>
      <c r="AN478" s="44"/>
      <c r="AO478" s="44"/>
      <c r="AP478" s="44"/>
      <c r="AQ478" s="44"/>
      <c r="AR478" s="44"/>
      <c r="AS478" s="44"/>
      <c r="AT478" s="45"/>
      <c r="AY478" s="45"/>
      <c r="BH478" s="45"/>
      <c r="BK478" s="45"/>
      <c r="BT478" s="45"/>
      <c r="BU478" s="45"/>
      <c r="CK478" s="10"/>
      <c r="EF478" s="20"/>
      <c r="FD478" s="21"/>
      <c r="FE478" s="21"/>
      <c r="FN478" s="22"/>
      <c r="FO478" s="22"/>
      <c r="FZ478" s="23"/>
      <c r="GA478" s="23"/>
      <c r="JD478" s="26"/>
      <c r="JE478" s="26"/>
      <c r="JF478" s="27"/>
      <c r="JG478" s="27"/>
      <c r="KL478" s="28"/>
      <c r="KP478" s="28"/>
      <c r="KT478" s="28"/>
      <c r="KX478" s="28"/>
      <c r="LB478" s="28"/>
      <c r="LF478" s="28"/>
      <c r="LJ478" s="28"/>
    </row>
    <row r="479" spans="1:322" ht="13.2">
      <c r="A479" s="42"/>
      <c r="B479" s="42"/>
      <c r="C479" s="42"/>
      <c r="D479" s="52"/>
      <c r="E479" s="52"/>
      <c r="O479" s="43"/>
      <c r="AL479" s="44"/>
      <c r="AM479" s="44"/>
      <c r="AN479" s="44"/>
      <c r="AO479" s="44"/>
      <c r="AP479" s="44"/>
      <c r="AQ479" s="44"/>
      <c r="AR479" s="44"/>
      <c r="AS479" s="44"/>
      <c r="AT479" s="45"/>
      <c r="AY479" s="45"/>
      <c r="BH479" s="45"/>
      <c r="BK479" s="45"/>
      <c r="BT479" s="45"/>
      <c r="BU479" s="45"/>
      <c r="CK479" s="10"/>
      <c r="EF479" s="20"/>
      <c r="FD479" s="21"/>
      <c r="FE479" s="21"/>
      <c r="FN479" s="22"/>
      <c r="FO479" s="22"/>
      <c r="FZ479" s="23"/>
      <c r="GA479" s="23"/>
      <c r="JD479" s="26"/>
      <c r="JE479" s="26"/>
      <c r="JF479" s="27"/>
      <c r="JG479" s="27"/>
      <c r="KL479" s="28"/>
      <c r="KP479" s="28"/>
      <c r="KT479" s="28"/>
      <c r="KX479" s="28"/>
      <c r="LB479" s="28"/>
      <c r="LF479" s="28"/>
      <c r="LJ479" s="28"/>
    </row>
    <row r="480" spans="1:322" ht="13.2">
      <c r="A480" s="42"/>
      <c r="B480" s="42"/>
      <c r="C480" s="42"/>
      <c r="D480" s="52"/>
      <c r="E480" s="52"/>
      <c r="O480" s="43"/>
      <c r="AL480" s="44"/>
      <c r="AM480" s="44"/>
      <c r="AN480" s="44"/>
      <c r="AO480" s="44"/>
      <c r="AP480" s="44"/>
      <c r="AQ480" s="44"/>
      <c r="AR480" s="44"/>
      <c r="AS480" s="44"/>
      <c r="AT480" s="45"/>
      <c r="AY480" s="45"/>
      <c r="BH480" s="45"/>
      <c r="BK480" s="45"/>
      <c r="BT480" s="45"/>
      <c r="BU480" s="45"/>
      <c r="CK480" s="10"/>
      <c r="EF480" s="20"/>
      <c r="FD480" s="21"/>
      <c r="FE480" s="21"/>
      <c r="FN480" s="22"/>
      <c r="FO480" s="22"/>
      <c r="FZ480" s="23"/>
      <c r="GA480" s="23"/>
      <c r="JD480" s="26"/>
      <c r="JE480" s="26"/>
      <c r="JF480" s="27"/>
      <c r="JG480" s="27"/>
      <c r="KL480" s="28"/>
      <c r="KP480" s="28"/>
      <c r="KT480" s="28"/>
      <c r="KX480" s="28"/>
      <c r="LB480" s="28"/>
      <c r="LF480" s="28"/>
      <c r="LJ480" s="28"/>
    </row>
    <row r="481" spans="1:322" ht="13.2">
      <c r="A481" s="42"/>
      <c r="B481" s="42"/>
      <c r="C481" s="42"/>
      <c r="D481" s="52"/>
      <c r="E481" s="52"/>
      <c r="O481" s="43"/>
      <c r="AL481" s="44"/>
      <c r="AM481" s="44"/>
      <c r="AN481" s="44"/>
      <c r="AO481" s="44"/>
      <c r="AP481" s="44"/>
      <c r="AQ481" s="44"/>
      <c r="AR481" s="44"/>
      <c r="AS481" s="44"/>
      <c r="AT481" s="45"/>
      <c r="AY481" s="45"/>
      <c r="BH481" s="45"/>
      <c r="BK481" s="45"/>
      <c r="BT481" s="45"/>
      <c r="BU481" s="45"/>
      <c r="CK481" s="10"/>
      <c r="EF481" s="20"/>
      <c r="FD481" s="21"/>
      <c r="FE481" s="21"/>
      <c r="FN481" s="22"/>
      <c r="FO481" s="22"/>
      <c r="FZ481" s="23"/>
      <c r="GA481" s="23"/>
      <c r="JD481" s="26"/>
      <c r="JE481" s="26"/>
      <c r="JF481" s="27"/>
      <c r="JG481" s="27"/>
      <c r="KL481" s="28"/>
      <c r="KP481" s="28"/>
      <c r="KT481" s="28"/>
      <c r="KX481" s="28"/>
      <c r="LB481" s="28"/>
      <c r="LF481" s="28"/>
      <c r="LJ481" s="28"/>
    </row>
    <row r="482" spans="1:322" ht="13.2">
      <c r="A482" s="42"/>
      <c r="B482" s="42"/>
      <c r="C482" s="42"/>
      <c r="D482" s="52"/>
      <c r="E482" s="52"/>
      <c r="O482" s="43"/>
      <c r="AL482" s="44"/>
      <c r="AM482" s="44"/>
      <c r="AN482" s="44"/>
      <c r="AO482" s="44"/>
      <c r="AP482" s="44"/>
      <c r="AQ482" s="44"/>
      <c r="AR482" s="44"/>
      <c r="AS482" s="44"/>
      <c r="AT482" s="45"/>
      <c r="AY482" s="45"/>
      <c r="BH482" s="45"/>
      <c r="BK482" s="45"/>
      <c r="BT482" s="45"/>
      <c r="BU482" s="45"/>
      <c r="CK482" s="10"/>
      <c r="EF482" s="20"/>
      <c r="FD482" s="21"/>
      <c r="FE482" s="21"/>
      <c r="FN482" s="22"/>
      <c r="FO482" s="22"/>
      <c r="FZ482" s="23"/>
      <c r="GA482" s="23"/>
      <c r="JD482" s="26"/>
      <c r="JE482" s="26"/>
      <c r="JF482" s="27"/>
      <c r="JG482" s="27"/>
      <c r="KL482" s="28"/>
      <c r="KP482" s="28"/>
      <c r="KT482" s="28"/>
      <c r="KX482" s="28"/>
      <c r="LB482" s="28"/>
      <c r="LF482" s="28"/>
      <c r="LJ482" s="28"/>
    </row>
    <row r="483" spans="1:322" ht="13.2">
      <c r="A483" s="42"/>
      <c r="B483" s="42"/>
      <c r="C483" s="42"/>
      <c r="D483" s="52"/>
      <c r="E483" s="52"/>
      <c r="O483" s="43"/>
      <c r="AL483" s="44"/>
      <c r="AM483" s="44"/>
      <c r="AN483" s="44"/>
      <c r="AO483" s="44"/>
      <c r="AP483" s="44"/>
      <c r="AQ483" s="44"/>
      <c r="AR483" s="44"/>
      <c r="AS483" s="44"/>
      <c r="AT483" s="45"/>
      <c r="AY483" s="45"/>
      <c r="BH483" s="45"/>
      <c r="BK483" s="45"/>
      <c r="BT483" s="45"/>
      <c r="BU483" s="45"/>
      <c r="CK483" s="10"/>
      <c r="EF483" s="20"/>
      <c r="FD483" s="21"/>
      <c r="FE483" s="21"/>
      <c r="FN483" s="22"/>
      <c r="FO483" s="22"/>
      <c r="FZ483" s="23"/>
      <c r="GA483" s="23"/>
      <c r="JD483" s="26"/>
      <c r="JE483" s="26"/>
      <c r="JF483" s="27"/>
      <c r="JG483" s="27"/>
      <c r="KL483" s="28"/>
      <c r="KP483" s="28"/>
      <c r="KT483" s="28"/>
      <c r="KX483" s="28"/>
      <c r="LB483" s="28"/>
      <c r="LF483" s="28"/>
      <c r="LJ483" s="28"/>
    </row>
    <row r="484" spans="1:322" ht="13.2">
      <c r="A484" s="42"/>
      <c r="B484" s="42"/>
      <c r="C484" s="42"/>
      <c r="D484" s="52"/>
      <c r="E484" s="52"/>
      <c r="O484" s="43"/>
      <c r="AL484" s="44"/>
      <c r="AM484" s="44"/>
      <c r="AN484" s="44"/>
      <c r="AO484" s="44"/>
      <c r="AP484" s="44"/>
      <c r="AQ484" s="44"/>
      <c r="AR484" s="44"/>
      <c r="AS484" s="44"/>
      <c r="AT484" s="45"/>
      <c r="AY484" s="45"/>
      <c r="BH484" s="45"/>
      <c r="BK484" s="45"/>
      <c r="BT484" s="45"/>
      <c r="BU484" s="45"/>
      <c r="CK484" s="10"/>
      <c r="EF484" s="20"/>
      <c r="FD484" s="21"/>
      <c r="FE484" s="21"/>
      <c r="FN484" s="22"/>
      <c r="FO484" s="22"/>
      <c r="FZ484" s="23"/>
      <c r="GA484" s="23"/>
      <c r="JD484" s="26"/>
      <c r="JE484" s="26"/>
      <c r="JF484" s="27"/>
      <c r="JG484" s="27"/>
      <c r="KL484" s="28"/>
      <c r="KP484" s="28"/>
      <c r="KT484" s="28"/>
      <c r="KX484" s="28"/>
      <c r="LB484" s="28"/>
      <c r="LF484" s="28"/>
      <c r="LJ484" s="28"/>
    </row>
    <row r="485" spans="1:322" ht="13.2">
      <c r="A485" s="42"/>
      <c r="B485" s="42"/>
      <c r="C485" s="42"/>
      <c r="D485" s="52"/>
      <c r="E485" s="52"/>
      <c r="O485" s="43"/>
      <c r="AL485" s="44"/>
      <c r="AM485" s="44"/>
      <c r="AN485" s="44"/>
      <c r="AO485" s="44"/>
      <c r="AP485" s="44"/>
      <c r="AQ485" s="44"/>
      <c r="AR485" s="44"/>
      <c r="AS485" s="44"/>
      <c r="AT485" s="45"/>
      <c r="AY485" s="45"/>
      <c r="BH485" s="45"/>
      <c r="BK485" s="45"/>
      <c r="BT485" s="45"/>
      <c r="BU485" s="45"/>
      <c r="CK485" s="10"/>
      <c r="EF485" s="20"/>
      <c r="FD485" s="21"/>
      <c r="FE485" s="21"/>
      <c r="FN485" s="22"/>
      <c r="FO485" s="22"/>
      <c r="FZ485" s="23"/>
      <c r="GA485" s="23"/>
      <c r="JD485" s="26"/>
      <c r="JE485" s="26"/>
      <c r="JF485" s="27"/>
      <c r="JG485" s="27"/>
      <c r="KL485" s="28"/>
      <c r="KP485" s="28"/>
      <c r="KT485" s="28"/>
      <c r="KX485" s="28"/>
      <c r="LB485" s="28"/>
      <c r="LF485" s="28"/>
      <c r="LJ485" s="28"/>
    </row>
    <row r="486" spans="1:322" ht="13.2">
      <c r="A486" s="42"/>
      <c r="B486" s="42"/>
      <c r="C486" s="42"/>
      <c r="D486" s="52"/>
      <c r="E486" s="52"/>
      <c r="O486" s="43"/>
      <c r="AL486" s="44"/>
      <c r="AM486" s="44"/>
      <c r="AN486" s="44"/>
      <c r="AO486" s="44"/>
      <c r="AP486" s="44"/>
      <c r="AQ486" s="44"/>
      <c r="AR486" s="44"/>
      <c r="AS486" s="44"/>
      <c r="AT486" s="45"/>
      <c r="AY486" s="45"/>
      <c r="BH486" s="45"/>
      <c r="BK486" s="45"/>
      <c r="BT486" s="45"/>
      <c r="BU486" s="45"/>
      <c r="CK486" s="10"/>
      <c r="EF486" s="20"/>
      <c r="FD486" s="21"/>
      <c r="FE486" s="21"/>
      <c r="FN486" s="22"/>
      <c r="FO486" s="22"/>
      <c r="FZ486" s="23"/>
      <c r="GA486" s="23"/>
      <c r="JD486" s="26"/>
      <c r="JE486" s="26"/>
      <c r="JF486" s="27"/>
      <c r="JG486" s="27"/>
      <c r="KL486" s="28"/>
      <c r="KP486" s="28"/>
      <c r="KT486" s="28"/>
      <c r="KX486" s="28"/>
      <c r="LB486" s="28"/>
      <c r="LF486" s="28"/>
      <c r="LJ486" s="28"/>
    </row>
    <row r="487" spans="1:322" ht="13.2">
      <c r="A487" s="42"/>
      <c r="B487" s="42"/>
      <c r="C487" s="42"/>
      <c r="D487" s="52"/>
      <c r="E487" s="52"/>
      <c r="O487" s="43"/>
      <c r="AL487" s="44"/>
      <c r="AM487" s="44"/>
      <c r="AN487" s="44"/>
      <c r="AO487" s="44"/>
      <c r="AP487" s="44"/>
      <c r="AQ487" s="44"/>
      <c r="AR487" s="44"/>
      <c r="AS487" s="44"/>
      <c r="AT487" s="45"/>
      <c r="AY487" s="45"/>
      <c r="BH487" s="45"/>
      <c r="BK487" s="45"/>
      <c r="BT487" s="45"/>
      <c r="BU487" s="45"/>
      <c r="CK487" s="10"/>
      <c r="EF487" s="20"/>
      <c r="FD487" s="21"/>
      <c r="FE487" s="21"/>
      <c r="FN487" s="22"/>
      <c r="FO487" s="22"/>
      <c r="FZ487" s="23"/>
      <c r="GA487" s="23"/>
      <c r="JD487" s="26"/>
      <c r="JE487" s="26"/>
      <c r="JF487" s="27"/>
      <c r="JG487" s="27"/>
      <c r="KL487" s="28"/>
      <c r="KP487" s="28"/>
      <c r="KT487" s="28"/>
      <c r="KX487" s="28"/>
      <c r="LB487" s="28"/>
      <c r="LF487" s="28"/>
      <c r="LJ487" s="28"/>
    </row>
    <row r="488" spans="1:322" ht="13.2">
      <c r="A488" s="42"/>
      <c r="B488" s="42"/>
      <c r="C488" s="42"/>
      <c r="D488" s="52"/>
      <c r="E488" s="52"/>
      <c r="O488" s="43"/>
      <c r="AL488" s="44"/>
      <c r="AM488" s="44"/>
      <c r="AN488" s="44"/>
      <c r="AO488" s="44"/>
      <c r="AP488" s="44"/>
      <c r="AQ488" s="44"/>
      <c r="AR488" s="44"/>
      <c r="AS488" s="44"/>
      <c r="AT488" s="45"/>
      <c r="AY488" s="45"/>
      <c r="BH488" s="45"/>
      <c r="BK488" s="45"/>
      <c r="BT488" s="45"/>
      <c r="BU488" s="45"/>
      <c r="CK488" s="10"/>
      <c r="EF488" s="20"/>
      <c r="FD488" s="21"/>
      <c r="FE488" s="21"/>
      <c r="FN488" s="22"/>
      <c r="FO488" s="22"/>
      <c r="FZ488" s="23"/>
      <c r="GA488" s="23"/>
      <c r="JD488" s="26"/>
      <c r="JE488" s="26"/>
      <c r="JF488" s="27"/>
      <c r="JG488" s="27"/>
      <c r="KL488" s="28"/>
      <c r="KP488" s="28"/>
      <c r="KT488" s="28"/>
      <c r="KX488" s="28"/>
      <c r="LB488" s="28"/>
      <c r="LF488" s="28"/>
      <c r="LJ488" s="28"/>
    </row>
    <row r="489" spans="1:322" ht="13.2">
      <c r="A489" s="42"/>
      <c r="B489" s="42"/>
      <c r="C489" s="42"/>
      <c r="D489" s="52"/>
      <c r="E489" s="52"/>
      <c r="O489" s="43"/>
      <c r="AL489" s="44"/>
      <c r="AM489" s="44"/>
      <c r="AN489" s="44"/>
      <c r="AO489" s="44"/>
      <c r="AP489" s="44"/>
      <c r="AQ489" s="44"/>
      <c r="AR489" s="44"/>
      <c r="AS489" s="44"/>
      <c r="AT489" s="45"/>
      <c r="AY489" s="45"/>
      <c r="BH489" s="45"/>
      <c r="BK489" s="45"/>
      <c r="BT489" s="45"/>
      <c r="BU489" s="45"/>
      <c r="CK489" s="10"/>
      <c r="EF489" s="20"/>
      <c r="FD489" s="21"/>
      <c r="FE489" s="21"/>
      <c r="FN489" s="22"/>
      <c r="FO489" s="22"/>
      <c r="FZ489" s="23"/>
      <c r="GA489" s="23"/>
      <c r="JD489" s="26"/>
      <c r="JE489" s="26"/>
      <c r="JF489" s="27"/>
      <c r="JG489" s="27"/>
      <c r="KL489" s="28"/>
      <c r="KP489" s="28"/>
      <c r="KT489" s="28"/>
      <c r="KX489" s="28"/>
      <c r="LB489" s="28"/>
      <c r="LF489" s="28"/>
      <c r="LJ489" s="28"/>
    </row>
    <row r="490" spans="1:322" ht="13.2">
      <c r="A490" s="42"/>
      <c r="B490" s="42"/>
      <c r="C490" s="42"/>
      <c r="D490" s="52"/>
      <c r="E490" s="52"/>
      <c r="O490" s="43"/>
      <c r="AL490" s="44"/>
      <c r="AM490" s="44"/>
      <c r="AN490" s="44"/>
      <c r="AO490" s="44"/>
      <c r="AP490" s="44"/>
      <c r="AQ490" s="44"/>
      <c r="AR490" s="44"/>
      <c r="AS490" s="44"/>
      <c r="AT490" s="45"/>
      <c r="AY490" s="45"/>
      <c r="BH490" s="45"/>
      <c r="BK490" s="45"/>
      <c r="BT490" s="45"/>
      <c r="BU490" s="45"/>
      <c r="CK490" s="10"/>
      <c r="EF490" s="20"/>
      <c r="FD490" s="21"/>
      <c r="FE490" s="21"/>
      <c r="FN490" s="22"/>
      <c r="FO490" s="22"/>
      <c r="FZ490" s="23"/>
      <c r="GA490" s="23"/>
      <c r="JD490" s="26"/>
      <c r="JE490" s="26"/>
      <c r="JF490" s="27"/>
      <c r="JG490" s="27"/>
      <c r="KL490" s="28"/>
      <c r="KP490" s="28"/>
      <c r="KT490" s="28"/>
      <c r="KX490" s="28"/>
      <c r="LB490" s="28"/>
      <c r="LF490" s="28"/>
      <c r="LJ490" s="28"/>
    </row>
    <row r="491" spans="1:322" ht="13.2">
      <c r="A491" s="42"/>
      <c r="B491" s="42"/>
      <c r="C491" s="42"/>
      <c r="D491" s="52"/>
      <c r="E491" s="52"/>
      <c r="O491" s="43"/>
      <c r="AL491" s="44"/>
      <c r="AM491" s="44"/>
      <c r="AN491" s="44"/>
      <c r="AO491" s="44"/>
      <c r="AP491" s="44"/>
      <c r="AQ491" s="44"/>
      <c r="AR491" s="44"/>
      <c r="AS491" s="44"/>
      <c r="AT491" s="45"/>
      <c r="AY491" s="45"/>
      <c r="BH491" s="45"/>
      <c r="BK491" s="45"/>
      <c r="BT491" s="45"/>
      <c r="BU491" s="45"/>
      <c r="CK491" s="10"/>
      <c r="EF491" s="20"/>
      <c r="FD491" s="21"/>
      <c r="FE491" s="21"/>
      <c r="FN491" s="22"/>
      <c r="FO491" s="22"/>
      <c r="FZ491" s="23"/>
      <c r="GA491" s="23"/>
      <c r="JD491" s="26"/>
      <c r="JE491" s="26"/>
      <c r="JF491" s="27"/>
      <c r="JG491" s="27"/>
      <c r="KL491" s="28"/>
      <c r="KP491" s="28"/>
      <c r="KT491" s="28"/>
      <c r="KX491" s="28"/>
      <c r="LB491" s="28"/>
      <c r="LF491" s="28"/>
      <c r="LJ491" s="28"/>
    </row>
    <row r="492" spans="1:322" ht="13.2">
      <c r="A492" s="42"/>
      <c r="B492" s="42"/>
      <c r="C492" s="42"/>
      <c r="D492" s="52"/>
      <c r="E492" s="52"/>
      <c r="O492" s="43"/>
      <c r="AL492" s="44"/>
      <c r="AM492" s="44"/>
      <c r="AN492" s="44"/>
      <c r="AO492" s="44"/>
      <c r="AP492" s="44"/>
      <c r="AQ492" s="44"/>
      <c r="AR492" s="44"/>
      <c r="AS492" s="44"/>
      <c r="AT492" s="45"/>
      <c r="AY492" s="45"/>
      <c r="BH492" s="45"/>
      <c r="BK492" s="45"/>
      <c r="BT492" s="45"/>
      <c r="BU492" s="45"/>
      <c r="CK492" s="10"/>
      <c r="EF492" s="20"/>
      <c r="FD492" s="21"/>
      <c r="FE492" s="21"/>
      <c r="FN492" s="22"/>
      <c r="FO492" s="22"/>
      <c r="FZ492" s="23"/>
      <c r="GA492" s="23"/>
      <c r="JD492" s="26"/>
      <c r="JE492" s="26"/>
      <c r="JF492" s="27"/>
      <c r="JG492" s="27"/>
      <c r="KL492" s="28"/>
      <c r="KP492" s="28"/>
      <c r="KT492" s="28"/>
      <c r="KX492" s="28"/>
      <c r="LB492" s="28"/>
      <c r="LF492" s="28"/>
      <c r="LJ492" s="28"/>
    </row>
    <row r="493" spans="1:322" ht="13.2">
      <c r="A493" s="42"/>
      <c r="B493" s="42"/>
      <c r="C493" s="42"/>
      <c r="D493" s="52"/>
      <c r="E493" s="52"/>
      <c r="O493" s="43"/>
      <c r="AL493" s="44"/>
      <c r="AM493" s="44"/>
      <c r="AN493" s="44"/>
      <c r="AO493" s="44"/>
      <c r="AP493" s="44"/>
      <c r="AQ493" s="44"/>
      <c r="AR493" s="44"/>
      <c r="AS493" s="44"/>
      <c r="AT493" s="45"/>
      <c r="AY493" s="45"/>
      <c r="BH493" s="45"/>
      <c r="BK493" s="45"/>
      <c r="BT493" s="45"/>
      <c r="BU493" s="45"/>
      <c r="CK493" s="10"/>
      <c r="EF493" s="20"/>
      <c r="FD493" s="21"/>
      <c r="FE493" s="21"/>
      <c r="FN493" s="22"/>
      <c r="FO493" s="22"/>
      <c r="FZ493" s="23"/>
      <c r="GA493" s="23"/>
      <c r="JD493" s="26"/>
      <c r="JE493" s="26"/>
      <c r="JF493" s="27"/>
      <c r="JG493" s="27"/>
      <c r="KL493" s="28"/>
      <c r="KP493" s="28"/>
      <c r="KT493" s="28"/>
      <c r="KX493" s="28"/>
      <c r="LB493" s="28"/>
      <c r="LF493" s="28"/>
      <c r="LJ493" s="28"/>
    </row>
    <row r="494" spans="1:322" ht="13.2">
      <c r="A494" s="42"/>
      <c r="B494" s="42"/>
      <c r="C494" s="42"/>
      <c r="D494" s="52"/>
      <c r="E494" s="52"/>
      <c r="O494" s="43"/>
      <c r="AL494" s="44"/>
      <c r="AM494" s="44"/>
      <c r="AN494" s="44"/>
      <c r="AO494" s="44"/>
      <c r="AP494" s="44"/>
      <c r="AQ494" s="44"/>
      <c r="AR494" s="44"/>
      <c r="AS494" s="44"/>
      <c r="AT494" s="45"/>
      <c r="AY494" s="45"/>
      <c r="BH494" s="45"/>
      <c r="BK494" s="45"/>
      <c r="BT494" s="45"/>
      <c r="BU494" s="45"/>
      <c r="CK494" s="10"/>
      <c r="EF494" s="20"/>
      <c r="FD494" s="21"/>
      <c r="FE494" s="21"/>
      <c r="FN494" s="22"/>
      <c r="FO494" s="22"/>
      <c r="FZ494" s="23"/>
      <c r="GA494" s="23"/>
      <c r="JD494" s="26"/>
      <c r="JE494" s="26"/>
      <c r="JF494" s="27"/>
      <c r="JG494" s="27"/>
      <c r="KL494" s="28"/>
      <c r="KP494" s="28"/>
      <c r="KT494" s="28"/>
      <c r="KX494" s="28"/>
      <c r="LB494" s="28"/>
      <c r="LF494" s="28"/>
      <c r="LJ494" s="28"/>
    </row>
    <row r="495" spans="1:322" ht="13.2">
      <c r="A495" s="42"/>
      <c r="B495" s="42"/>
      <c r="C495" s="42"/>
      <c r="D495" s="52"/>
      <c r="E495" s="52"/>
      <c r="O495" s="43"/>
      <c r="AL495" s="44"/>
      <c r="AM495" s="44"/>
      <c r="AN495" s="44"/>
      <c r="AO495" s="44"/>
      <c r="AP495" s="44"/>
      <c r="AQ495" s="44"/>
      <c r="AR495" s="44"/>
      <c r="AS495" s="44"/>
      <c r="AT495" s="45"/>
      <c r="AY495" s="45"/>
      <c r="BH495" s="45"/>
      <c r="BK495" s="45"/>
      <c r="BT495" s="45"/>
      <c r="BU495" s="45"/>
      <c r="CK495" s="10"/>
      <c r="EF495" s="20"/>
      <c r="FD495" s="21"/>
      <c r="FE495" s="21"/>
      <c r="FN495" s="22"/>
      <c r="FO495" s="22"/>
      <c r="FZ495" s="23"/>
      <c r="GA495" s="23"/>
      <c r="JD495" s="26"/>
      <c r="JE495" s="26"/>
      <c r="JF495" s="27"/>
      <c r="JG495" s="27"/>
      <c r="KL495" s="28"/>
      <c r="KP495" s="28"/>
      <c r="KT495" s="28"/>
      <c r="KX495" s="28"/>
      <c r="LB495" s="28"/>
      <c r="LF495" s="28"/>
      <c r="LJ495" s="28"/>
    </row>
    <row r="496" spans="1:322" ht="13.2">
      <c r="A496" s="42"/>
      <c r="B496" s="42"/>
      <c r="C496" s="42"/>
      <c r="D496" s="52"/>
      <c r="E496" s="52"/>
      <c r="O496" s="43"/>
      <c r="AL496" s="44"/>
      <c r="AM496" s="44"/>
      <c r="AN496" s="44"/>
      <c r="AO496" s="44"/>
      <c r="AP496" s="44"/>
      <c r="AQ496" s="44"/>
      <c r="AR496" s="44"/>
      <c r="AS496" s="44"/>
      <c r="AT496" s="45"/>
      <c r="AY496" s="45"/>
      <c r="BH496" s="45"/>
      <c r="BK496" s="45"/>
      <c r="BT496" s="45"/>
      <c r="BU496" s="45"/>
      <c r="CK496" s="10"/>
      <c r="EF496" s="20"/>
      <c r="FD496" s="21"/>
      <c r="FE496" s="21"/>
      <c r="FN496" s="22"/>
      <c r="FO496" s="22"/>
      <c r="FZ496" s="23"/>
      <c r="GA496" s="23"/>
      <c r="JD496" s="26"/>
      <c r="JE496" s="26"/>
      <c r="JF496" s="27"/>
      <c r="JG496" s="27"/>
      <c r="KL496" s="28"/>
      <c r="KP496" s="28"/>
      <c r="KT496" s="28"/>
      <c r="KX496" s="28"/>
      <c r="LB496" s="28"/>
      <c r="LF496" s="28"/>
      <c r="LJ496" s="28"/>
    </row>
    <row r="497" spans="1:322" ht="13.2">
      <c r="A497" s="42"/>
      <c r="B497" s="42"/>
      <c r="C497" s="42"/>
      <c r="D497" s="52"/>
      <c r="E497" s="52"/>
      <c r="O497" s="43"/>
      <c r="AL497" s="44"/>
      <c r="AM497" s="44"/>
      <c r="AN497" s="44"/>
      <c r="AO497" s="44"/>
      <c r="AP497" s="44"/>
      <c r="AQ497" s="44"/>
      <c r="AR497" s="44"/>
      <c r="AS497" s="44"/>
      <c r="AT497" s="45"/>
      <c r="AY497" s="45"/>
      <c r="BH497" s="45"/>
      <c r="BK497" s="45"/>
      <c r="BT497" s="45"/>
      <c r="BU497" s="45"/>
      <c r="CK497" s="10"/>
      <c r="EF497" s="20"/>
      <c r="FD497" s="21"/>
      <c r="FE497" s="21"/>
      <c r="FN497" s="22"/>
      <c r="FO497" s="22"/>
      <c r="FZ497" s="23"/>
      <c r="GA497" s="23"/>
      <c r="JD497" s="26"/>
      <c r="JE497" s="26"/>
      <c r="JF497" s="27"/>
      <c r="JG497" s="27"/>
      <c r="KL497" s="28"/>
      <c r="KP497" s="28"/>
      <c r="KT497" s="28"/>
      <c r="KX497" s="28"/>
      <c r="LB497" s="28"/>
      <c r="LF497" s="28"/>
      <c r="LJ497" s="28"/>
    </row>
    <row r="498" spans="1:322" ht="13.2">
      <c r="A498" s="42"/>
      <c r="B498" s="42"/>
      <c r="C498" s="42"/>
      <c r="D498" s="52"/>
      <c r="E498" s="52"/>
      <c r="O498" s="43"/>
      <c r="AL498" s="44"/>
      <c r="AM498" s="44"/>
      <c r="AN498" s="44"/>
      <c r="AO498" s="44"/>
      <c r="AP498" s="44"/>
      <c r="AQ498" s="44"/>
      <c r="AR498" s="44"/>
      <c r="AS498" s="44"/>
      <c r="AT498" s="45"/>
      <c r="AY498" s="45"/>
      <c r="BH498" s="45"/>
      <c r="BK498" s="45"/>
      <c r="BT498" s="45"/>
      <c r="BU498" s="45"/>
      <c r="CK498" s="10"/>
      <c r="EF498" s="20"/>
      <c r="FD498" s="21"/>
      <c r="FE498" s="21"/>
      <c r="FN498" s="22"/>
      <c r="FO498" s="22"/>
      <c r="FZ498" s="23"/>
      <c r="GA498" s="23"/>
      <c r="JD498" s="26"/>
      <c r="JE498" s="26"/>
      <c r="JF498" s="27"/>
      <c r="JG498" s="27"/>
      <c r="KL498" s="28"/>
      <c r="KP498" s="28"/>
      <c r="KT498" s="28"/>
      <c r="KX498" s="28"/>
      <c r="LB498" s="28"/>
      <c r="LF498" s="28"/>
      <c r="LJ498" s="28"/>
    </row>
    <row r="499" spans="1:322" ht="13.2">
      <c r="A499" s="42"/>
      <c r="B499" s="42"/>
      <c r="C499" s="42"/>
      <c r="D499" s="52"/>
      <c r="E499" s="52"/>
      <c r="O499" s="43"/>
      <c r="AL499" s="44"/>
      <c r="AM499" s="44"/>
      <c r="AN499" s="44"/>
      <c r="AO499" s="44"/>
      <c r="AP499" s="44"/>
      <c r="AQ499" s="44"/>
      <c r="AR499" s="44"/>
      <c r="AS499" s="44"/>
      <c r="AT499" s="45"/>
      <c r="AY499" s="45"/>
      <c r="BH499" s="45"/>
      <c r="BK499" s="45"/>
      <c r="BT499" s="45"/>
      <c r="BU499" s="45"/>
      <c r="CK499" s="10"/>
      <c r="EF499" s="20"/>
      <c r="FD499" s="21"/>
      <c r="FE499" s="21"/>
      <c r="FN499" s="22"/>
      <c r="FO499" s="22"/>
      <c r="FZ499" s="23"/>
      <c r="GA499" s="23"/>
      <c r="JD499" s="26"/>
      <c r="JE499" s="26"/>
      <c r="JF499" s="27"/>
      <c r="JG499" s="27"/>
      <c r="KL499" s="28"/>
      <c r="KP499" s="28"/>
      <c r="KT499" s="28"/>
      <c r="KX499" s="28"/>
      <c r="LB499" s="28"/>
      <c r="LF499" s="28"/>
      <c r="LJ499" s="28"/>
    </row>
    <row r="500" spans="1:322" ht="13.2">
      <c r="A500" s="42"/>
      <c r="B500" s="42"/>
      <c r="C500" s="42"/>
      <c r="D500" s="52"/>
      <c r="E500" s="52"/>
      <c r="O500" s="43"/>
      <c r="AL500" s="44"/>
      <c r="AM500" s="44"/>
      <c r="AN500" s="44"/>
      <c r="AO500" s="44"/>
      <c r="AP500" s="44"/>
      <c r="AQ500" s="44"/>
      <c r="AR500" s="44"/>
      <c r="AS500" s="44"/>
      <c r="AT500" s="45"/>
      <c r="AY500" s="45"/>
      <c r="BH500" s="45"/>
      <c r="BK500" s="45"/>
      <c r="BT500" s="45"/>
      <c r="BU500" s="45"/>
      <c r="CK500" s="10"/>
      <c r="EF500" s="20"/>
      <c r="FD500" s="21"/>
      <c r="FE500" s="21"/>
      <c r="FN500" s="22"/>
      <c r="FO500" s="22"/>
      <c r="FZ500" s="23"/>
      <c r="GA500" s="23"/>
      <c r="JD500" s="26"/>
      <c r="JE500" s="26"/>
      <c r="JF500" s="27"/>
      <c r="JG500" s="27"/>
      <c r="KL500" s="28"/>
      <c r="KP500" s="28"/>
      <c r="KT500" s="28"/>
      <c r="KX500" s="28"/>
      <c r="LB500" s="28"/>
      <c r="LF500" s="28"/>
      <c r="LJ500" s="28"/>
    </row>
    <row r="501" spans="1:322" ht="13.2">
      <c r="A501" s="42"/>
      <c r="B501" s="42"/>
      <c r="C501" s="42"/>
      <c r="D501" s="52"/>
      <c r="E501" s="52"/>
      <c r="O501" s="43"/>
      <c r="AL501" s="44"/>
      <c r="AM501" s="44"/>
      <c r="AN501" s="44"/>
      <c r="AO501" s="44"/>
      <c r="AP501" s="44"/>
      <c r="AQ501" s="44"/>
      <c r="AR501" s="44"/>
      <c r="AS501" s="44"/>
      <c r="AT501" s="45"/>
      <c r="AY501" s="45"/>
      <c r="BH501" s="45"/>
      <c r="BK501" s="45"/>
      <c r="BT501" s="45"/>
      <c r="BU501" s="45"/>
      <c r="CK501" s="10"/>
      <c r="EF501" s="20"/>
      <c r="FD501" s="21"/>
      <c r="FE501" s="21"/>
      <c r="FN501" s="22"/>
      <c r="FO501" s="22"/>
      <c r="FZ501" s="23"/>
      <c r="GA501" s="23"/>
      <c r="JD501" s="26"/>
      <c r="JE501" s="26"/>
      <c r="JF501" s="27"/>
      <c r="JG501" s="27"/>
      <c r="KL501" s="28"/>
      <c r="KP501" s="28"/>
      <c r="KT501" s="28"/>
      <c r="KX501" s="28"/>
      <c r="LB501" s="28"/>
      <c r="LF501" s="28"/>
      <c r="LJ501" s="28"/>
    </row>
    <row r="502" spans="1:322" ht="13.2">
      <c r="A502" s="42"/>
      <c r="B502" s="42"/>
      <c r="C502" s="42"/>
      <c r="D502" s="52"/>
      <c r="E502" s="52"/>
      <c r="O502" s="43"/>
      <c r="AL502" s="44"/>
      <c r="AM502" s="44"/>
      <c r="AN502" s="44"/>
      <c r="AO502" s="44"/>
      <c r="AP502" s="44"/>
      <c r="AQ502" s="44"/>
      <c r="AR502" s="44"/>
      <c r="AS502" s="44"/>
      <c r="AT502" s="45"/>
      <c r="AY502" s="45"/>
      <c r="BH502" s="45"/>
      <c r="BK502" s="45"/>
      <c r="BT502" s="45"/>
      <c r="BU502" s="45"/>
      <c r="CK502" s="10"/>
      <c r="EF502" s="20"/>
      <c r="FD502" s="21"/>
      <c r="FE502" s="21"/>
      <c r="FN502" s="22"/>
      <c r="FO502" s="22"/>
      <c r="FZ502" s="23"/>
      <c r="GA502" s="23"/>
      <c r="JD502" s="26"/>
      <c r="JE502" s="26"/>
      <c r="JF502" s="27"/>
      <c r="JG502" s="27"/>
      <c r="KL502" s="28"/>
      <c r="KP502" s="28"/>
      <c r="KT502" s="28"/>
      <c r="KX502" s="28"/>
      <c r="LB502" s="28"/>
      <c r="LF502" s="28"/>
      <c r="LJ502" s="28"/>
    </row>
    <row r="503" spans="1:322" ht="13.2">
      <c r="A503" s="42"/>
      <c r="B503" s="42"/>
      <c r="C503" s="42"/>
      <c r="D503" s="52"/>
      <c r="E503" s="52"/>
      <c r="O503" s="43"/>
      <c r="AL503" s="44"/>
      <c r="AM503" s="44"/>
      <c r="AN503" s="44"/>
      <c r="AO503" s="44"/>
      <c r="AP503" s="44"/>
      <c r="AQ503" s="44"/>
      <c r="AR503" s="44"/>
      <c r="AS503" s="44"/>
      <c r="AT503" s="45"/>
      <c r="AY503" s="45"/>
      <c r="BH503" s="45"/>
      <c r="BK503" s="45"/>
      <c r="BT503" s="45"/>
      <c r="BU503" s="45"/>
      <c r="CK503" s="10"/>
      <c r="EF503" s="20"/>
      <c r="FD503" s="21"/>
      <c r="FE503" s="21"/>
      <c r="FN503" s="22"/>
      <c r="FO503" s="22"/>
      <c r="FZ503" s="23"/>
      <c r="GA503" s="23"/>
      <c r="JD503" s="26"/>
      <c r="JE503" s="26"/>
      <c r="JF503" s="27"/>
      <c r="JG503" s="27"/>
      <c r="KL503" s="28"/>
      <c r="KP503" s="28"/>
      <c r="KT503" s="28"/>
      <c r="KX503" s="28"/>
      <c r="LB503" s="28"/>
      <c r="LF503" s="28"/>
      <c r="LJ503" s="28"/>
    </row>
    <row r="504" spans="1:322" ht="13.2">
      <c r="A504" s="42"/>
      <c r="B504" s="42"/>
      <c r="C504" s="42"/>
      <c r="D504" s="52"/>
      <c r="E504" s="52"/>
      <c r="O504" s="43"/>
      <c r="AL504" s="44"/>
      <c r="AM504" s="44"/>
      <c r="AN504" s="44"/>
      <c r="AO504" s="44"/>
      <c r="AP504" s="44"/>
      <c r="AQ504" s="44"/>
      <c r="AR504" s="44"/>
      <c r="AS504" s="44"/>
      <c r="AT504" s="45"/>
      <c r="AY504" s="45"/>
      <c r="BH504" s="45"/>
      <c r="BK504" s="45"/>
      <c r="BT504" s="45"/>
      <c r="BU504" s="45"/>
      <c r="CK504" s="10"/>
      <c r="EF504" s="20"/>
      <c r="FD504" s="21"/>
      <c r="FE504" s="21"/>
      <c r="FN504" s="22"/>
      <c r="FO504" s="22"/>
      <c r="FZ504" s="23"/>
      <c r="GA504" s="23"/>
      <c r="JD504" s="26"/>
      <c r="JE504" s="26"/>
      <c r="JF504" s="27"/>
      <c r="JG504" s="27"/>
      <c r="KL504" s="28"/>
      <c r="KP504" s="28"/>
      <c r="KT504" s="28"/>
      <c r="KX504" s="28"/>
      <c r="LB504" s="28"/>
      <c r="LF504" s="28"/>
      <c r="LJ504" s="28"/>
    </row>
    <row r="505" spans="1:322" ht="13.2">
      <c r="A505" s="42"/>
      <c r="B505" s="42"/>
      <c r="C505" s="42"/>
      <c r="D505" s="52"/>
      <c r="E505" s="52"/>
      <c r="O505" s="43"/>
      <c r="AL505" s="44"/>
      <c r="AM505" s="44"/>
      <c r="AN505" s="44"/>
      <c r="AO505" s="44"/>
      <c r="AP505" s="44"/>
      <c r="AQ505" s="44"/>
      <c r="AR505" s="44"/>
      <c r="AS505" s="44"/>
      <c r="AT505" s="45"/>
      <c r="AY505" s="45"/>
      <c r="BH505" s="45"/>
      <c r="BK505" s="45"/>
      <c r="BT505" s="45"/>
      <c r="BU505" s="45"/>
      <c r="CK505" s="10"/>
      <c r="EF505" s="20"/>
      <c r="FD505" s="21"/>
      <c r="FE505" s="21"/>
      <c r="FN505" s="22"/>
      <c r="FO505" s="22"/>
      <c r="FZ505" s="23"/>
      <c r="GA505" s="23"/>
      <c r="JD505" s="26"/>
      <c r="JE505" s="26"/>
      <c r="JF505" s="27"/>
      <c r="JG505" s="27"/>
      <c r="KL505" s="28"/>
      <c r="KP505" s="28"/>
      <c r="KT505" s="28"/>
      <c r="KX505" s="28"/>
      <c r="LB505" s="28"/>
      <c r="LF505" s="28"/>
      <c r="LJ505" s="28"/>
    </row>
    <row r="506" spans="1:322" ht="13.2">
      <c r="A506" s="42"/>
      <c r="B506" s="42"/>
      <c r="C506" s="42"/>
      <c r="D506" s="52"/>
      <c r="E506" s="52"/>
      <c r="O506" s="43"/>
      <c r="AL506" s="44"/>
      <c r="AM506" s="44"/>
      <c r="AN506" s="44"/>
      <c r="AO506" s="44"/>
      <c r="AP506" s="44"/>
      <c r="AQ506" s="44"/>
      <c r="AR506" s="44"/>
      <c r="AS506" s="44"/>
      <c r="AT506" s="45"/>
      <c r="AY506" s="45"/>
      <c r="BH506" s="45"/>
      <c r="BK506" s="45"/>
      <c r="BT506" s="45"/>
      <c r="BU506" s="45"/>
      <c r="CK506" s="10"/>
      <c r="EF506" s="20"/>
      <c r="FD506" s="21"/>
      <c r="FE506" s="21"/>
      <c r="FN506" s="22"/>
      <c r="FO506" s="22"/>
      <c r="FZ506" s="23"/>
      <c r="GA506" s="23"/>
      <c r="JD506" s="26"/>
      <c r="JE506" s="26"/>
      <c r="JF506" s="27"/>
      <c r="JG506" s="27"/>
      <c r="KL506" s="28"/>
      <c r="KP506" s="28"/>
      <c r="KT506" s="28"/>
      <c r="KX506" s="28"/>
      <c r="LB506" s="28"/>
      <c r="LF506" s="28"/>
      <c r="LJ506" s="28"/>
    </row>
    <row r="507" spans="1:322" ht="13.2">
      <c r="A507" s="42"/>
      <c r="B507" s="42"/>
      <c r="C507" s="42"/>
      <c r="D507" s="52"/>
      <c r="E507" s="52"/>
      <c r="O507" s="43"/>
      <c r="AL507" s="44"/>
      <c r="AM507" s="44"/>
      <c r="AN507" s="44"/>
      <c r="AO507" s="44"/>
      <c r="AP507" s="44"/>
      <c r="AQ507" s="44"/>
      <c r="AR507" s="44"/>
      <c r="AS507" s="44"/>
      <c r="AT507" s="45"/>
      <c r="AY507" s="45"/>
      <c r="BH507" s="45"/>
      <c r="BK507" s="45"/>
      <c r="BT507" s="45"/>
      <c r="BU507" s="45"/>
      <c r="CK507" s="10"/>
      <c r="EF507" s="20"/>
      <c r="FD507" s="21"/>
      <c r="FE507" s="21"/>
      <c r="FN507" s="22"/>
      <c r="FO507" s="22"/>
      <c r="FZ507" s="23"/>
      <c r="GA507" s="23"/>
      <c r="JD507" s="26"/>
      <c r="JE507" s="26"/>
      <c r="JF507" s="27"/>
      <c r="JG507" s="27"/>
      <c r="KL507" s="28"/>
      <c r="KP507" s="28"/>
      <c r="KT507" s="28"/>
      <c r="KX507" s="28"/>
      <c r="LB507" s="28"/>
      <c r="LF507" s="28"/>
      <c r="LJ507" s="28"/>
    </row>
    <row r="508" spans="1:322" ht="13.2">
      <c r="A508" s="42"/>
      <c r="B508" s="42"/>
      <c r="C508" s="42"/>
      <c r="D508" s="52"/>
      <c r="E508" s="52"/>
      <c r="O508" s="43"/>
      <c r="AL508" s="44"/>
      <c r="AM508" s="44"/>
      <c r="AN508" s="44"/>
      <c r="AO508" s="44"/>
      <c r="AP508" s="44"/>
      <c r="AQ508" s="44"/>
      <c r="AR508" s="44"/>
      <c r="AS508" s="44"/>
      <c r="AT508" s="45"/>
      <c r="AY508" s="45"/>
      <c r="BH508" s="45"/>
      <c r="BK508" s="45"/>
      <c r="BT508" s="45"/>
      <c r="BU508" s="45"/>
      <c r="CK508" s="10"/>
      <c r="EF508" s="20"/>
      <c r="FD508" s="21"/>
      <c r="FE508" s="21"/>
      <c r="FN508" s="22"/>
      <c r="FO508" s="22"/>
      <c r="FZ508" s="23"/>
      <c r="GA508" s="23"/>
      <c r="JD508" s="26"/>
      <c r="JE508" s="26"/>
      <c r="JF508" s="27"/>
      <c r="JG508" s="27"/>
      <c r="KL508" s="28"/>
      <c r="KP508" s="28"/>
      <c r="KT508" s="28"/>
      <c r="KX508" s="28"/>
      <c r="LB508" s="28"/>
      <c r="LF508" s="28"/>
      <c r="LJ508" s="28"/>
    </row>
    <row r="509" spans="1:322" ht="13.2">
      <c r="A509" s="42"/>
      <c r="B509" s="42"/>
      <c r="C509" s="42"/>
      <c r="D509" s="52"/>
      <c r="E509" s="52"/>
      <c r="O509" s="43"/>
      <c r="AL509" s="44"/>
      <c r="AM509" s="44"/>
      <c r="AN509" s="44"/>
      <c r="AO509" s="44"/>
      <c r="AP509" s="44"/>
      <c r="AQ509" s="44"/>
      <c r="AR509" s="44"/>
      <c r="AS509" s="44"/>
      <c r="AT509" s="45"/>
      <c r="AY509" s="45"/>
      <c r="BH509" s="45"/>
      <c r="BK509" s="45"/>
      <c r="BT509" s="45"/>
      <c r="BU509" s="45"/>
      <c r="CK509" s="10"/>
      <c r="EF509" s="20"/>
      <c r="FD509" s="21"/>
      <c r="FE509" s="21"/>
      <c r="FN509" s="22"/>
      <c r="FO509" s="22"/>
      <c r="FZ509" s="23"/>
      <c r="GA509" s="23"/>
      <c r="JD509" s="26"/>
      <c r="JE509" s="26"/>
      <c r="JF509" s="27"/>
      <c r="JG509" s="27"/>
      <c r="KL509" s="28"/>
      <c r="KP509" s="28"/>
      <c r="KT509" s="28"/>
      <c r="KX509" s="28"/>
      <c r="LB509" s="28"/>
      <c r="LF509" s="28"/>
      <c r="LJ509" s="28"/>
    </row>
    <row r="510" spans="1:322" ht="13.2">
      <c r="A510" s="42"/>
      <c r="B510" s="42"/>
      <c r="C510" s="42"/>
      <c r="D510" s="52"/>
      <c r="E510" s="52"/>
      <c r="O510" s="43"/>
      <c r="AL510" s="44"/>
      <c r="AM510" s="44"/>
      <c r="AN510" s="44"/>
      <c r="AO510" s="44"/>
      <c r="AP510" s="44"/>
      <c r="AQ510" s="44"/>
      <c r="AR510" s="44"/>
      <c r="AS510" s="44"/>
      <c r="AT510" s="45"/>
      <c r="AY510" s="45"/>
      <c r="BH510" s="45"/>
      <c r="BK510" s="45"/>
      <c r="BT510" s="45"/>
      <c r="BU510" s="45"/>
      <c r="CK510" s="10"/>
      <c r="EF510" s="20"/>
      <c r="FD510" s="21"/>
      <c r="FE510" s="21"/>
      <c r="FN510" s="22"/>
      <c r="FO510" s="22"/>
      <c r="FZ510" s="23"/>
      <c r="GA510" s="23"/>
      <c r="JD510" s="26"/>
      <c r="JE510" s="26"/>
      <c r="JF510" s="27"/>
      <c r="JG510" s="27"/>
      <c r="KL510" s="28"/>
      <c r="KP510" s="28"/>
      <c r="KT510" s="28"/>
      <c r="KX510" s="28"/>
      <c r="LB510" s="28"/>
      <c r="LF510" s="28"/>
      <c r="LJ510" s="28"/>
    </row>
    <row r="511" spans="1:322" ht="13.2">
      <c r="A511" s="42"/>
      <c r="B511" s="42"/>
      <c r="C511" s="42"/>
      <c r="D511" s="52"/>
      <c r="E511" s="52"/>
      <c r="O511" s="43"/>
      <c r="AL511" s="44"/>
      <c r="AM511" s="44"/>
      <c r="AN511" s="44"/>
      <c r="AO511" s="44"/>
      <c r="AP511" s="44"/>
      <c r="AQ511" s="44"/>
      <c r="AR511" s="44"/>
      <c r="AS511" s="44"/>
      <c r="AT511" s="45"/>
      <c r="AY511" s="45"/>
      <c r="BH511" s="45"/>
      <c r="BK511" s="45"/>
      <c r="BT511" s="45"/>
      <c r="BU511" s="45"/>
      <c r="CK511" s="10"/>
      <c r="EF511" s="20"/>
      <c r="FD511" s="21"/>
      <c r="FE511" s="21"/>
      <c r="FN511" s="22"/>
      <c r="FO511" s="22"/>
      <c r="FZ511" s="23"/>
      <c r="GA511" s="23"/>
      <c r="JD511" s="26"/>
      <c r="JE511" s="26"/>
      <c r="JF511" s="27"/>
      <c r="JG511" s="27"/>
      <c r="KL511" s="28"/>
      <c r="KP511" s="28"/>
      <c r="KT511" s="28"/>
      <c r="KX511" s="28"/>
      <c r="LB511" s="28"/>
      <c r="LF511" s="28"/>
      <c r="LJ511" s="28"/>
    </row>
    <row r="512" spans="1:322" ht="13.2">
      <c r="A512" s="42"/>
      <c r="B512" s="42"/>
      <c r="C512" s="42"/>
      <c r="D512" s="52"/>
      <c r="E512" s="52"/>
      <c r="O512" s="43"/>
      <c r="AL512" s="44"/>
      <c r="AM512" s="44"/>
      <c r="AN512" s="44"/>
      <c r="AO512" s="44"/>
      <c r="AP512" s="44"/>
      <c r="AQ512" s="44"/>
      <c r="AR512" s="44"/>
      <c r="AS512" s="44"/>
      <c r="AT512" s="45"/>
      <c r="AY512" s="45"/>
      <c r="BH512" s="45"/>
      <c r="BK512" s="45"/>
      <c r="BT512" s="45"/>
      <c r="BU512" s="45"/>
      <c r="CK512" s="10"/>
      <c r="EF512" s="20"/>
      <c r="FD512" s="21"/>
      <c r="FE512" s="21"/>
      <c r="FN512" s="22"/>
      <c r="FO512" s="22"/>
      <c r="FZ512" s="23"/>
      <c r="GA512" s="23"/>
      <c r="JD512" s="26"/>
      <c r="JE512" s="26"/>
      <c r="JF512" s="27"/>
      <c r="JG512" s="27"/>
      <c r="KL512" s="28"/>
      <c r="KP512" s="28"/>
      <c r="KT512" s="28"/>
      <c r="KX512" s="28"/>
      <c r="LB512" s="28"/>
      <c r="LF512" s="28"/>
      <c r="LJ512" s="28"/>
    </row>
    <row r="513" spans="1:322" ht="13.2">
      <c r="A513" s="42"/>
      <c r="B513" s="42"/>
      <c r="C513" s="42"/>
      <c r="D513" s="52"/>
      <c r="E513" s="52"/>
      <c r="O513" s="43"/>
      <c r="AL513" s="44"/>
      <c r="AM513" s="44"/>
      <c r="AN513" s="44"/>
      <c r="AO513" s="44"/>
      <c r="AP513" s="44"/>
      <c r="AQ513" s="44"/>
      <c r="AR513" s="44"/>
      <c r="AS513" s="44"/>
      <c r="AT513" s="45"/>
      <c r="AY513" s="45"/>
      <c r="BH513" s="45"/>
      <c r="BK513" s="45"/>
      <c r="BT513" s="45"/>
      <c r="BU513" s="45"/>
      <c r="CK513" s="10"/>
      <c r="EF513" s="20"/>
      <c r="FD513" s="21"/>
      <c r="FE513" s="21"/>
      <c r="FN513" s="22"/>
      <c r="FO513" s="22"/>
      <c r="FZ513" s="23"/>
      <c r="GA513" s="23"/>
      <c r="JD513" s="26"/>
      <c r="JE513" s="26"/>
      <c r="JF513" s="27"/>
      <c r="JG513" s="27"/>
      <c r="KL513" s="28"/>
      <c r="KP513" s="28"/>
      <c r="KT513" s="28"/>
      <c r="KX513" s="28"/>
      <c r="LB513" s="28"/>
      <c r="LF513" s="28"/>
      <c r="LJ513" s="28"/>
    </row>
    <row r="514" spans="1:322" ht="13.2">
      <c r="A514" s="42"/>
      <c r="B514" s="42"/>
      <c r="C514" s="42"/>
      <c r="D514" s="52"/>
      <c r="E514" s="52"/>
      <c r="O514" s="43"/>
      <c r="AL514" s="44"/>
      <c r="AM514" s="44"/>
      <c r="AN514" s="44"/>
      <c r="AO514" s="44"/>
      <c r="AP514" s="44"/>
      <c r="AQ514" s="44"/>
      <c r="AR514" s="44"/>
      <c r="AS514" s="44"/>
      <c r="AT514" s="45"/>
      <c r="AY514" s="45"/>
      <c r="BH514" s="45"/>
      <c r="BK514" s="45"/>
      <c r="BT514" s="45"/>
      <c r="BU514" s="45"/>
      <c r="CK514" s="10"/>
      <c r="EF514" s="20"/>
      <c r="FD514" s="21"/>
      <c r="FE514" s="21"/>
      <c r="FN514" s="22"/>
      <c r="FO514" s="22"/>
      <c r="FZ514" s="23"/>
      <c r="GA514" s="23"/>
      <c r="JD514" s="26"/>
      <c r="JE514" s="26"/>
      <c r="JF514" s="27"/>
      <c r="JG514" s="27"/>
      <c r="KL514" s="28"/>
      <c r="KP514" s="28"/>
      <c r="KT514" s="28"/>
      <c r="KX514" s="28"/>
      <c r="LB514" s="28"/>
      <c r="LF514" s="28"/>
      <c r="LJ514" s="28"/>
    </row>
    <row r="515" spans="1:322" ht="13.2">
      <c r="A515" s="42"/>
      <c r="B515" s="42"/>
      <c r="C515" s="42"/>
      <c r="D515" s="52"/>
      <c r="E515" s="52"/>
      <c r="O515" s="43"/>
      <c r="AL515" s="44"/>
      <c r="AM515" s="44"/>
      <c r="AN515" s="44"/>
      <c r="AO515" s="44"/>
      <c r="AP515" s="44"/>
      <c r="AQ515" s="44"/>
      <c r="AR515" s="44"/>
      <c r="AS515" s="44"/>
      <c r="AT515" s="45"/>
      <c r="AY515" s="45"/>
      <c r="BH515" s="45"/>
      <c r="BK515" s="45"/>
      <c r="BT515" s="45"/>
      <c r="BU515" s="45"/>
      <c r="CK515" s="10"/>
      <c r="EF515" s="20"/>
      <c r="FD515" s="21"/>
      <c r="FE515" s="21"/>
      <c r="FN515" s="22"/>
      <c r="FO515" s="22"/>
      <c r="FZ515" s="23"/>
      <c r="GA515" s="23"/>
      <c r="JD515" s="26"/>
      <c r="JE515" s="26"/>
      <c r="JF515" s="27"/>
      <c r="JG515" s="27"/>
      <c r="KL515" s="28"/>
      <c r="KP515" s="28"/>
      <c r="KT515" s="28"/>
      <c r="KX515" s="28"/>
      <c r="LB515" s="28"/>
      <c r="LF515" s="28"/>
      <c r="LJ515" s="28"/>
    </row>
    <row r="516" spans="1:322" ht="13.2">
      <c r="A516" s="42"/>
      <c r="B516" s="42"/>
      <c r="C516" s="42"/>
      <c r="D516" s="52"/>
      <c r="E516" s="52"/>
      <c r="O516" s="43"/>
      <c r="AL516" s="44"/>
      <c r="AM516" s="44"/>
      <c r="AN516" s="44"/>
      <c r="AO516" s="44"/>
      <c r="AP516" s="44"/>
      <c r="AQ516" s="44"/>
      <c r="AR516" s="44"/>
      <c r="AS516" s="44"/>
      <c r="AT516" s="45"/>
      <c r="AY516" s="45"/>
      <c r="BH516" s="45"/>
      <c r="BK516" s="45"/>
      <c r="BT516" s="45"/>
      <c r="BU516" s="45"/>
      <c r="CK516" s="10"/>
      <c r="EF516" s="20"/>
      <c r="FD516" s="21"/>
      <c r="FE516" s="21"/>
      <c r="FN516" s="22"/>
      <c r="FO516" s="22"/>
      <c r="FZ516" s="23"/>
      <c r="GA516" s="23"/>
      <c r="JD516" s="26"/>
      <c r="JE516" s="26"/>
      <c r="JF516" s="27"/>
      <c r="JG516" s="27"/>
      <c r="KL516" s="28"/>
      <c r="KP516" s="28"/>
      <c r="KT516" s="28"/>
      <c r="KX516" s="28"/>
      <c r="LB516" s="28"/>
      <c r="LF516" s="28"/>
      <c r="LJ516" s="28"/>
    </row>
    <row r="517" spans="1:322" ht="13.2">
      <c r="A517" s="42"/>
      <c r="B517" s="42"/>
      <c r="C517" s="42"/>
      <c r="D517" s="52"/>
      <c r="E517" s="52"/>
      <c r="O517" s="43"/>
      <c r="AL517" s="44"/>
      <c r="AM517" s="44"/>
      <c r="AN517" s="44"/>
      <c r="AO517" s="44"/>
      <c r="AP517" s="44"/>
      <c r="AQ517" s="44"/>
      <c r="AR517" s="44"/>
      <c r="AS517" s="44"/>
      <c r="AT517" s="45"/>
      <c r="AY517" s="45"/>
      <c r="BH517" s="45"/>
      <c r="BK517" s="45"/>
      <c r="BT517" s="45"/>
      <c r="BU517" s="45"/>
      <c r="CK517" s="10"/>
      <c r="EF517" s="20"/>
      <c r="FD517" s="21"/>
      <c r="FE517" s="21"/>
      <c r="FN517" s="22"/>
      <c r="FO517" s="22"/>
      <c r="FZ517" s="23"/>
      <c r="GA517" s="23"/>
      <c r="JD517" s="26"/>
      <c r="JE517" s="26"/>
      <c r="JF517" s="27"/>
      <c r="JG517" s="27"/>
      <c r="KL517" s="28"/>
      <c r="KP517" s="28"/>
      <c r="KT517" s="28"/>
      <c r="KX517" s="28"/>
      <c r="LB517" s="28"/>
      <c r="LF517" s="28"/>
      <c r="LJ517" s="28"/>
    </row>
    <row r="518" spans="1:322" ht="13.2">
      <c r="A518" s="42"/>
      <c r="B518" s="42"/>
      <c r="C518" s="42"/>
      <c r="D518" s="52"/>
      <c r="E518" s="52"/>
      <c r="O518" s="43"/>
      <c r="AL518" s="44"/>
      <c r="AM518" s="44"/>
      <c r="AN518" s="44"/>
      <c r="AO518" s="44"/>
      <c r="AP518" s="44"/>
      <c r="AQ518" s="44"/>
      <c r="AR518" s="44"/>
      <c r="AS518" s="44"/>
      <c r="AT518" s="45"/>
      <c r="AY518" s="45"/>
      <c r="BH518" s="45"/>
      <c r="BK518" s="45"/>
      <c r="BT518" s="45"/>
      <c r="BU518" s="45"/>
      <c r="CK518" s="10"/>
      <c r="EF518" s="20"/>
      <c r="FD518" s="21"/>
      <c r="FE518" s="21"/>
      <c r="FN518" s="22"/>
      <c r="FO518" s="22"/>
      <c r="FZ518" s="23"/>
      <c r="GA518" s="23"/>
      <c r="JD518" s="26"/>
      <c r="JE518" s="26"/>
      <c r="JF518" s="27"/>
      <c r="JG518" s="27"/>
      <c r="KL518" s="28"/>
      <c r="KP518" s="28"/>
      <c r="KT518" s="28"/>
      <c r="KX518" s="28"/>
      <c r="LB518" s="28"/>
      <c r="LF518" s="28"/>
      <c r="LJ518" s="28"/>
    </row>
    <row r="519" spans="1:322" ht="13.2">
      <c r="A519" s="42"/>
      <c r="B519" s="42"/>
      <c r="C519" s="42"/>
      <c r="D519" s="52"/>
      <c r="E519" s="52"/>
      <c r="O519" s="43"/>
      <c r="AL519" s="44"/>
      <c r="AM519" s="44"/>
      <c r="AN519" s="44"/>
      <c r="AO519" s="44"/>
      <c r="AP519" s="44"/>
      <c r="AQ519" s="44"/>
      <c r="AR519" s="44"/>
      <c r="AS519" s="44"/>
      <c r="AT519" s="45"/>
      <c r="AY519" s="45"/>
      <c r="BH519" s="45"/>
      <c r="BK519" s="45"/>
      <c r="BT519" s="45"/>
      <c r="BU519" s="45"/>
      <c r="CK519" s="10"/>
      <c r="EF519" s="20"/>
      <c r="FD519" s="21"/>
      <c r="FE519" s="21"/>
      <c r="FN519" s="22"/>
      <c r="FO519" s="22"/>
      <c r="FZ519" s="23"/>
      <c r="GA519" s="23"/>
      <c r="JD519" s="26"/>
      <c r="JE519" s="26"/>
      <c r="JF519" s="27"/>
      <c r="JG519" s="27"/>
      <c r="KL519" s="28"/>
      <c r="KP519" s="28"/>
      <c r="KT519" s="28"/>
      <c r="KX519" s="28"/>
      <c r="LB519" s="28"/>
      <c r="LF519" s="28"/>
      <c r="LJ519" s="28"/>
    </row>
    <row r="520" spans="1:322" ht="13.2">
      <c r="A520" s="42"/>
      <c r="B520" s="42"/>
      <c r="C520" s="42"/>
      <c r="D520" s="52"/>
      <c r="E520" s="52"/>
      <c r="O520" s="43"/>
      <c r="AL520" s="44"/>
      <c r="AM520" s="44"/>
      <c r="AN520" s="44"/>
      <c r="AO520" s="44"/>
      <c r="AP520" s="44"/>
      <c r="AQ520" s="44"/>
      <c r="AR520" s="44"/>
      <c r="AS520" s="44"/>
      <c r="AT520" s="45"/>
      <c r="AY520" s="45"/>
      <c r="BH520" s="45"/>
      <c r="BK520" s="45"/>
      <c r="BT520" s="45"/>
      <c r="BU520" s="45"/>
      <c r="CK520" s="10"/>
      <c r="EF520" s="20"/>
      <c r="FD520" s="21"/>
      <c r="FE520" s="21"/>
      <c r="FN520" s="22"/>
      <c r="FO520" s="22"/>
      <c r="FZ520" s="23"/>
      <c r="GA520" s="23"/>
      <c r="JD520" s="26"/>
      <c r="JE520" s="26"/>
      <c r="JF520" s="27"/>
      <c r="JG520" s="27"/>
      <c r="KL520" s="28"/>
      <c r="KP520" s="28"/>
      <c r="KT520" s="28"/>
      <c r="KX520" s="28"/>
      <c r="LB520" s="28"/>
      <c r="LF520" s="28"/>
      <c r="LJ520" s="28"/>
    </row>
    <row r="521" spans="1:322" ht="13.2">
      <c r="A521" s="42"/>
      <c r="B521" s="42"/>
      <c r="C521" s="42"/>
      <c r="D521" s="52"/>
      <c r="E521" s="52"/>
      <c r="O521" s="43"/>
      <c r="AL521" s="44"/>
      <c r="AM521" s="44"/>
      <c r="AN521" s="44"/>
      <c r="AO521" s="44"/>
      <c r="AP521" s="44"/>
      <c r="AQ521" s="44"/>
      <c r="AR521" s="44"/>
      <c r="AS521" s="44"/>
      <c r="AT521" s="45"/>
      <c r="AY521" s="45"/>
      <c r="BH521" s="45"/>
      <c r="BK521" s="45"/>
      <c r="BT521" s="45"/>
      <c r="BU521" s="45"/>
      <c r="CK521" s="10"/>
      <c r="EF521" s="20"/>
      <c r="FD521" s="21"/>
      <c r="FE521" s="21"/>
      <c r="FN521" s="22"/>
      <c r="FO521" s="22"/>
      <c r="FZ521" s="23"/>
      <c r="GA521" s="23"/>
      <c r="JD521" s="26"/>
      <c r="JE521" s="26"/>
      <c r="JF521" s="27"/>
      <c r="JG521" s="27"/>
      <c r="KL521" s="28"/>
      <c r="KP521" s="28"/>
      <c r="KT521" s="28"/>
      <c r="KX521" s="28"/>
      <c r="LB521" s="28"/>
      <c r="LF521" s="28"/>
      <c r="LJ521" s="28"/>
    </row>
    <row r="522" spans="1:322" ht="13.2">
      <c r="A522" s="42"/>
      <c r="B522" s="42"/>
      <c r="C522" s="42"/>
      <c r="D522" s="52"/>
      <c r="E522" s="52"/>
      <c r="O522" s="43"/>
      <c r="AL522" s="44"/>
      <c r="AM522" s="44"/>
      <c r="AN522" s="44"/>
      <c r="AO522" s="44"/>
      <c r="AP522" s="44"/>
      <c r="AQ522" s="44"/>
      <c r="AR522" s="44"/>
      <c r="AS522" s="44"/>
      <c r="AT522" s="45"/>
      <c r="AY522" s="45"/>
      <c r="BH522" s="45"/>
      <c r="BK522" s="45"/>
      <c r="BT522" s="45"/>
      <c r="BU522" s="45"/>
      <c r="CK522" s="10"/>
      <c r="EF522" s="20"/>
      <c r="FD522" s="21"/>
      <c r="FE522" s="21"/>
      <c r="FN522" s="22"/>
      <c r="FO522" s="22"/>
      <c r="FZ522" s="23"/>
      <c r="GA522" s="23"/>
      <c r="JD522" s="26"/>
      <c r="JE522" s="26"/>
      <c r="JF522" s="27"/>
      <c r="JG522" s="27"/>
      <c r="KL522" s="28"/>
      <c r="KP522" s="28"/>
      <c r="KT522" s="28"/>
      <c r="KX522" s="28"/>
      <c r="LB522" s="28"/>
      <c r="LF522" s="28"/>
      <c r="LJ522" s="28"/>
    </row>
    <row r="523" spans="1:322" ht="13.2">
      <c r="A523" s="42"/>
      <c r="B523" s="42"/>
      <c r="C523" s="42"/>
      <c r="D523" s="52"/>
      <c r="E523" s="52"/>
      <c r="O523" s="43"/>
      <c r="AL523" s="44"/>
      <c r="AM523" s="44"/>
      <c r="AN523" s="44"/>
      <c r="AO523" s="44"/>
      <c r="AP523" s="44"/>
      <c r="AQ523" s="44"/>
      <c r="AR523" s="44"/>
      <c r="AS523" s="44"/>
      <c r="AT523" s="45"/>
      <c r="AY523" s="45"/>
      <c r="BH523" s="45"/>
      <c r="BK523" s="45"/>
      <c r="BT523" s="45"/>
      <c r="BU523" s="45"/>
      <c r="CK523" s="10"/>
      <c r="EF523" s="20"/>
      <c r="FD523" s="21"/>
      <c r="FE523" s="21"/>
      <c r="FN523" s="22"/>
      <c r="FO523" s="22"/>
      <c r="FZ523" s="23"/>
      <c r="GA523" s="23"/>
      <c r="JD523" s="26"/>
      <c r="JE523" s="26"/>
      <c r="JF523" s="27"/>
      <c r="JG523" s="27"/>
      <c r="KL523" s="28"/>
      <c r="KP523" s="28"/>
      <c r="KT523" s="28"/>
      <c r="KX523" s="28"/>
      <c r="LB523" s="28"/>
      <c r="LF523" s="28"/>
      <c r="LJ523" s="28"/>
    </row>
    <row r="524" spans="1:322" ht="13.2">
      <c r="A524" s="42"/>
      <c r="B524" s="42"/>
      <c r="C524" s="42"/>
      <c r="D524" s="52"/>
      <c r="E524" s="52"/>
      <c r="O524" s="43"/>
      <c r="AL524" s="44"/>
      <c r="AM524" s="44"/>
      <c r="AN524" s="44"/>
      <c r="AO524" s="44"/>
      <c r="AP524" s="44"/>
      <c r="AQ524" s="44"/>
      <c r="AR524" s="44"/>
      <c r="AS524" s="44"/>
      <c r="AT524" s="45"/>
      <c r="AY524" s="45"/>
      <c r="BH524" s="45"/>
      <c r="BK524" s="45"/>
      <c r="BT524" s="45"/>
      <c r="BU524" s="45"/>
      <c r="CK524" s="10"/>
      <c r="EF524" s="20"/>
      <c r="FD524" s="21"/>
      <c r="FE524" s="21"/>
      <c r="FN524" s="22"/>
      <c r="FO524" s="22"/>
      <c r="FZ524" s="23"/>
      <c r="GA524" s="23"/>
      <c r="JD524" s="26"/>
      <c r="JE524" s="26"/>
      <c r="JF524" s="27"/>
      <c r="JG524" s="27"/>
      <c r="KL524" s="28"/>
      <c r="KP524" s="28"/>
      <c r="KT524" s="28"/>
      <c r="KX524" s="28"/>
      <c r="LB524" s="28"/>
      <c r="LF524" s="28"/>
      <c r="LJ524" s="28"/>
    </row>
    <row r="525" spans="1:322" ht="13.2">
      <c r="A525" s="42"/>
      <c r="B525" s="42"/>
      <c r="C525" s="42"/>
      <c r="D525" s="52"/>
      <c r="E525" s="52"/>
      <c r="O525" s="43"/>
      <c r="AL525" s="44"/>
      <c r="AM525" s="44"/>
      <c r="AN525" s="44"/>
      <c r="AO525" s="44"/>
      <c r="AP525" s="44"/>
      <c r="AQ525" s="44"/>
      <c r="AR525" s="44"/>
      <c r="AS525" s="44"/>
      <c r="AT525" s="45"/>
      <c r="AY525" s="45"/>
      <c r="BH525" s="45"/>
      <c r="BK525" s="45"/>
      <c r="BT525" s="45"/>
      <c r="BU525" s="45"/>
      <c r="CK525" s="10"/>
      <c r="EF525" s="20"/>
      <c r="FD525" s="21"/>
      <c r="FE525" s="21"/>
      <c r="FN525" s="22"/>
      <c r="FO525" s="22"/>
      <c r="FZ525" s="23"/>
      <c r="GA525" s="23"/>
      <c r="JD525" s="26"/>
      <c r="JE525" s="26"/>
      <c r="JF525" s="27"/>
      <c r="JG525" s="27"/>
      <c r="KL525" s="28"/>
      <c r="KP525" s="28"/>
      <c r="KT525" s="28"/>
      <c r="KX525" s="28"/>
      <c r="LB525" s="28"/>
      <c r="LF525" s="28"/>
      <c r="LJ525" s="28"/>
    </row>
    <row r="526" spans="1:322" ht="13.2">
      <c r="A526" s="42"/>
      <c r="B526" s="42"/>
      <c r="C526" s="42"/>
      <c r="D526" s="52"/>
      <c r="E526" s="52"/>
      <c r="O526" s="43"/>
      <c r="AL526" s="44"/>
      <c r="AM526" s="44"/>
      <c r="AN526" s="44"/>
      <c r="AO526" s="44"/>
      <c r="AP526" s="44"/>
      <c r="AQ526" s="44"/>
      <c r="AR526" s="44"/>
      <c r="AS526" s="44"/>
      <c r="AT526" s="45"/>
      <c r="AY526" s="45"/>
      <c r="BH526" s="45"/>
      <c r="BK526" s="45"/>
      <c r="BT526" s="45"/>
      <c r="BU526" s="45"/>
      <c r="CK526" s="10"/>
      <c r="EF526" s="20"/>
      <c r="FD526" s="21"/>
      <c r="FE526" s="21"/>
      <c r="FN526" s="22"/>
      <c r="FO526" s="22"/>
      <c r="FZ526" s="23"/>
      <c r="GA526" s="23"/>
      <c r="JD526" s="26"/>
      <c r="JE526" s="26"/>
      <c r="JF526" s="27"/>
      <c r="JG526" s="27"/>
      <c r="KL526" s="28"/>
      <c r="KP526" s="28"/>
      <c r="KT526" s="28"/>
      <c r="KX526" s="28"/>
      <c r="LB526" s="28"/>
      <c r="LF526" s="28"/>
      <c r="LJ526" s="28"/>
    </row>
    <row r="527" spans="1:322" ht="13.2">
      <c r="A527" s="42"/>
      <c r="B527" s="42"/>
      <c r="C527" s="42"/>
      <c r="D527" s="52"/>
      <c r="E527" s="52"/>
      <c r="O527" s="43"/>
      <c r="AL527" s="44"/>
      <c r="AM527" s="44"/>
      <c r="AN527" s="44"/>
      <c r="AO527" s="44"/>
      <c r="AP527" s="44"/>
      <c r="AQ527" s="44"/>
      <c r="AR527" s="44"/>
      <c r="AS527" s="44"/>
      <c r="AT527" s="45"/>
      <c r="AY527" s="45"/>
      <c r="BH527" s="45"/>
      <c r="BK527" s="45"/>
      <c r="BT527" s="45"/>
      <c r="BU527" s="45"/>
      <c r="CK527" s="10"/>
      <c r="EF527" s="20"/>
      <c r="FD527" s="21"/>
      <c r="FE527" s="21"/>
      <c r="FN527" s="22"/>
      <c r="FO527" s="22"/>
      <c r="FZ527" s="23"/>
      <c r="GA527" s="23"/>
      <c r="JD527" s="26"/>
      <c r="JE527" s="26"/>
      <c r="JF527" s="27"/>
      <c r="JG527" s="27"/>
      <c r="KL527" s="28"/>
      <c r="KP527" s="28"/>
      <c r="KT527" s="28"/>
      <c r="KX527" s="28"/>
      <c r="LB527" s="28"/>
      <c r="LF527" s="28"/>
      <c r="LJ527" s="28"/>
    </row>
    <row r="528" spans="1:322" ht="13.2">
      <c r="A528" s="42"/>
      <c r="B528" s="42"/>
      <c r="C528" s="42"/>
      <c r="D528" s="52"/>
      <c r="E528" s="52"/>
      <c r="O528" s="43"/>
      <c r="AL528" s="44"/>
      <c r="AM528" s="44"/>
      <c r="AN528" s="44"/>
      <c r="AO528" s="44"/>
      <c r="AP528" s="44"/>
      <c r="AQ528" s="44"/>
      <c r="AR528" s="44"/>
      <c r="AS528" s="44"/>
      <c r="AT528" s="45"/>
      <c r="AY528" s="45"/>
      <c r="BH528" s="45"/>
      <c r="BK528" s="45"/>
      <c r="BT528" s="45"/>
      <c r="BU528" s="45"/>
      <c r="CK528" s="10"/>
      <c r="EF528" s="20"/>
      <c r="FD528" s="21"/>
      <c r="FE528" s="21"/>
      <c r="FN528" s="22"/>
      <c r="FO528" s="22"/>
      <c r="FZ528" s="23"/>
      <c r="GA528" s="23"/>
      <c r="JD528" s="26"/>
      <c r="JE528" s="26"/>
      <c r="JF528" s="27"/>
      <c r="JG528" s="27"/>
      <c r="KL528" s="28"/>
      <c r="KP528" s="28"/>
      <c r="KT528" s="28"/>
      <c r="KX528" s="28"/>
      <c r="LB528" s="28"/>
      <c r="LF528" s="28"/>
      <c r="LJ528" s="28"/>
    </row>
    <row r="529" spans="1:322" ht="13.2">
      <c r="A529" s="42"/>
      <c r="B529" s="42"/>
      <c r="C529" s="42"/>
      <c r="D529" s="52"/>
      <c r="E529" s="52"/>
      <c r="O529" s="43"/>
      <c r="AL529" s="44"/>
      <c r="AM529" s="44"/>
      <c r="AN529" s="44"/>
      <c r="AO529" s="44"/>
      <c r="AP529" s="44"/>
      <c r="AQ529" s="44"/>
      <c r="AR529" s="44"/>
      <c r="AS529" s="44"/>
      <c r="AT529" s="45"/>
      <c r="AY529" s="45"/>
      <c r="BH529" s="45"/>
      <c r="BK529" s="45"/>
      <c r="BT529" s="45"/>
      <c r="BU529" s="45"/>
      <c r="CK529" s="10"/>
      <c r="EF529" s="20"/>
      <c r="FD529" s="21"/>
      <c r="FE529" s="21"/>
      <c r="FN529" s="22"/>
      <c r="FO529" s="22"/>
      <c r="FZ529" s="23"/>
      <c r="GA529" s="23"/>
      <c r="JD529" s="26"/>
      <c r="JE529" s="26"/>
      <c r="JF529" s="27"/>
      <c r="JG529" s="27"/>
      <c r="KL529" s="28"/>
      <c r="KP529" s="28"/>
      <c r="KT529" s="28"/>
      <c r="KX529" s="28"/>
      <c r="LB529" s="28"/>
      <c r="LF529" s="28"/>
      <c r="LJ529" s="28"/>
    </row>
    <row r="530" spans="1:322" ht="13.2">
      <c r="A530" s="42"/>
      <c r="B530" s="42"/>
      <c r="C530" s="42"/>
      <c r="D530" s="52"/>
      <c r="E530" s="52"/>
      <c r="O530" s="43"/>
      <c r="AL530" s="44"/>
      <c r="AM530" s="44"/>
      <c r="AN530" s="44"/>
      <c r="AO530" s="44"/>
      <c r="AP530" s="44"/>
      <c r="AQ530" s="44"/>
      <c r="AR530" s="44"/>
      <c r="AS530" s="44"/>
      <c r="AT530" s="45"/>
      <c r="AY530" s="45"/>
      <c r="BH530" s="45"/>
      <c r="BK530" s="45"/>
      <c r="BT530" s="45"/>
      <c r="BU530" s="45"/>
      <c r="CK530" s="10"/>
      <c r="EF530" s="20"/>
      <c r="FD530" s="21"/>
      <c r="FE530" s="21"/>
      <c r="FN530" s="22"/>
      <c r="FO530" s="22"/>
      <c r="FZ530" s="23"/>
      <c r="GA530" s="23"/>
      <c r="JD530" s="26"/>
      <c r="JE530" s="26"/>
      <c r="JF530" s="27"/>
      <c r="JG530" s="27"/>
      <c r="KL530" s="28"/>
      <c r="KP530" s="28"/>
      <c r="KT530" s="28"/>
      <c r="KX530" s="28"/>
      <c r="LB530" s="28"/>
      <c r="LF530" s="28"/>
      <c r="LJ530" s="28"/>
    </row>
    <row r="531" spans="1:322" ht="13.2">
      <c r="A531" s="42"/>
      <c r="B531" s="42"/>
      <c r="C531" s="42"/>
      <c r="D531" s="52"/>
      <c r="E531" s="52"/>
      <c r="O531" s="43"/>
      <c r="AL531" s="44"/>
      <c r="AM531" s="44"/>
      <c r="AN531" s="44"/>
      <c r="AO531" s="44"/>
      <c r="AP531" s="44"/>
      <c r="AQ531" s="44"/>
      <c r="AR531" s="44"/>
      <c r="AS531" s="44"/>
      <c r="AT531" s="45"/>
      <c r="AY531" s="45"/>
      <c r="BH531" s="45"/>
      <c r="BK531" s="45"/>
      <c r="BT531" s="45"/>
      <c r="BU531" s="45"/>
      <c r="CK531" s="10"/>
      <c r="EF531" s="20"/>
      <c r="FD531" s="21"/>
      <c r="FE531" s="21"/>
      <c r="FN531" s="22"/>
      <c r="FO531" s="22"/>
      <c r="FZ531" s="23"/>
      <c r="GA531" s="23"/>
      <c r="JD531" s="26"/>
      <c r="JE531" s="26"/>
      <c r="JF531" s="27"/>
      <c r="JG531" s="27"/>
      <c r="KL531" s="28"/>
      <c r="KP531" s="28"/>
      <c r="KT531" s="28"/>
      <c r="KX531" s="28"/>
      <c r="LB531" s="28"/>
      <c r="LF531" s="28"/>
      <c r="LJ531" s="28"/>
    </row>
    <row r="532" spans="1:322" ht="13.2">
      <c r="A532" s="42"/>
      <c r="B532" s="42"/>
      <c r="C532" s="42"/>
      <c r="D532" s="52"/>
      <c r="E532" s="52"/>
      <c r="O532" s="43"/>
      <c r="AL532" s="44"/>
      <c r="AM532" s="44"/>
      <c r="AN532" s="44"/>
      <c r="AO532" s="44"/>
      <c r="AP532" s="44"/>
      <c r="AQ532" s="44"/>
      <c r="AR532" s="44"/>
      <c r="AS532" s="44"/>
      <c r="AT532" s="45"/>
      <c r="AY532" s="45"/>
      <c r="BH532" s="45"/>
      <c r="BK532" s="45"/>
      <c r="BT532" s="45"/>
      <c r="BU532" s="45"/>
      <c r="CK532" s="10"/>
      <c r="EF532" s="20"/>
      <c r="FD532" s="21"/>
      <c r="FE532" s="21"/>
      <c r="FN532" s="22"/>
      <c r="FO532" s="22"/>
      <c r="FZ532" s="23"/>
      <c r="GA532" s="23"/>
      <c r="JD532" s="26"/>
      <c r="JE532" s="26"/>
      <c r="JF532" s="27"/>
      <c r="JG532" s="27"/>
      <c r="KL532" s="28"/>
      <c r="KP532" s="28"/>
      <c r="KT532" s="28"/>
      <c r="KX532" s="28"/>
      <c r="LB532" s="28"/>
      <c r="LF532" s="28"/>
      <c r="LJ532" s="28"/>
    </row>
    <row r="533" spans="1:322" ht="13.2">
      <c r="A533" s="42"/>
      <c r="B533" s="42"/>
      <c r="C533" s="42"/>
      <c r="D533" s="52"/>
      <c r="E533" s="52"/>
      <c r="O533" s="43"/>
      <c r="AL533" s="44"/>
      <c r="AM533" s="44"/>
      <c r="AN533" s="44"/>
      <c r="AO533" s="44"/>
      <c r="AP533" s="44"/>
      <c r="AQ533" s="44"/>
      <c r="AR533" s="44"/>
      <c r="AS533" s="44"/>
      <c r="AT533" s="45"/>
      <c r="AY533" s="45"/>
      <c r="BH533" s="45"/>
      <c r="BK533" s="45"/>
      <c r="BT533" s="45"/>
      <c r="BU533" s="45"/>
      <c r="CK533" s="10"/>
      <c r="EF533" s="20"/>
      <c r="FD533" s="21"/>
      <c r="FE533" s="21"/>
      <c r="FN533" s="22"/>
      <c r="FO533" s="22"/>
      <c r="FZ533" s="23"/>
      <c r="GA533" s="23"/>
      <c r="JD533" s="26"/>
      <c r="JE533" s="26"/>
      <c r="JF533" s="27"/>
      <c r="JG533" s="27"/>
      <c r="KL533" s="28"/>
      <c r="KP533" s="28"/>
      <c r="KT533" s="28"/>
      <c r="KX533" s="28"/>
      <c r="LB533" s="28"/>
      <c r="LF533" s="28"/>
      <c r="LJ533" s="28"/>
    </row>
    <row r="534" spans="1:322" ht="13.2">
      <c r="A534" s="42"/>
      <c r="B534" s="42"/>
      <c r="C534" s="42"/>
      <c r="D534" s="52"/>
      <c r="E534" s="52"/>
      <c r="O534" s="43"/>
      <c r="AL534" s="44"/>
      <c r="AM534" s="44"/>
      <c r="AN534" s="44"/>
      <c r="AO534" s="44"/>
      <c r="AP534" s="44"/>
      <c r="AQ534" s="44"/>
      <c r="AR534" s="44"/>
      <c r="AS534" s="44"/>
      <c r="AT534" s="45"/>
      <c r="AY534" s="45"/>
      <c r="BH534" s="45"/>
      <c r="BK534" s="45"/>
      <c r="BT534" s="45"/>
      <c r="BU534" s="45"/>
      <c r="CK534" s="10"/>
      <c r="EF534" s="20"/>
      <c r="FD534" s="21"/>
      <c r="FE534" s="21"/>
      <c r="FN534" s="22"/>
      <c r="FO534" s="22"/>
      <c r="FZ534" s="23"/>
      <c r="GA534" s="23"/>
      <c r="JD534" s="26"/>
      <c r="JE534" s="26"/>
      <c r="JF534" s="27"/>
      <c r="JG534" s="27"/>
      <c r="KL534" s="28"/>
      <c r="KP534" s="28"/>
      <c r="KT534" s="28"/>
      <c r="KX534" s="28"/>
      <c r="LB534" s="28"/>
      <c r="LF534" s="28"/>
      <c r="LJ534" s="28"/>
    </row>
    <row r="535" spans="1:322" ht="13.2">
      <c r="A535" s="42"/>
      <c r="B535" s="42"/>
      <c r="C535" s="42"/>
      <c r="D535" s="52"/>
      <c r="E535" s="52"/>
      <c r="O535" s="43"/>
      <c r="AL535" s="44"/>
      <c r="AM535" s="44"/>
      <c r="AN535" s="44"/>
      <c r="AO535" s="44"/>
      <c r="AP535" s="44"/>
      <c r="AQ535" s="44"/>
      <c r="AR535" s="44"/>
      <c r="AS535" s="44"/>
      <c r="AT535" s="45"/>
      <c r="AY535" s="45"/>
      <c r="BH535" s="45"/>
      <c r="BK535" s="45"/>
      <c r="BT535" s="45"/>
      <c r="BU535" s="45"/>
      <c r="CK535" s="10"/>
      <c r="EF535" s="20"/>
      <c r="FD535" s="21"/>
      <c r="FE535" s="21"/>
      <c r="FN535" s="22"/>
      <c r="FO535" s="22"/>
      <c r="FZ535" s="23"/>
      <c r="GA535" s="23"/>
      <c r="JD535" s="26"/>
      <c r="JE535" s="26"/>
      <c r="JF535" s="27"/>
      <c r="JG535" s="27"/>
      <c r="KL535" s="28"/>
      <c r="KP535" s="28"/>
      <c r="KT535" s="28"/>
      <c r="KX535" s="28"/>
      <c r="LB535" s="28"/>
      <c r="LF535" s="28"/>
      <c r="LJ535" s="28"/>
    </row>
    <row r="536" spans="1:322" ht="13.2">
      <c r="A536" s="42"/>
      <c r="B536" s="42"/>
      <c r="C536" s="42"/>
      <c r="D536" s="52"/>
      <c r="E536" s="52"/>
      <c r="O536" s="43"/>
      <c r="AL536" s="44"/>
      <c r="AM536" s="44"/>
      <c r="AN536" s="44"/>
      <c r="AO536" s="44"/>
      <c r="AP536" s="44"/>
      <c r="AQ536" s="44"/>
      <c r="AR536" s="44"/>
      <c r="AS536" s="44"/>
      <c r="AT536" s="45"/>
      <c r="AY536" s="45"/>
      <c r="BH536" s="45"/>
      <c r="BK536" s="45"/>
      <c r="BT536" s="45"/>
      <c r="BU536" s="45"/>
      <c r="CK536" s="10"/>
      <c r="EF536" s="20"/>
      <c r="FD536" s="21"/>
      <c r="FE536" s="21"/>
      <c r="FN536" s="22"/>
      <c r="FO536" s="22"/>
      <c r="FZ536" s="23"/>
      <c r="GA536" s="23"/>
      <c r="JD536" s="26"/>
      <c r="JE536" s="26"/>
      <c r="JF536" s="27"/>
      <c r="JG536" s="27"/>
      <c r="KL536" s="28"/>
      <c r="KP536" s="28"/>
      <c r="KT536" s="28"/>
      <c r="KX536" s="28"/>
      <c r="LB536" s="28"/>
      <c r="LF536" s="28"/>
      <c r="LJ536" s="28"/>
    </row>
    <row r="537" spans="1:322" ht="13.2">
      <c r="A537" s="42"/>
      <c r="B537" s="42"/>
      <c r="C537" s="42"/>
      <c r="D537" s="52"/>
      <c r="E537" s="52"/>
      <c r="O537" s="43"/>
      <c r="AL537" s="44"/>
      <c r="AM537" s="44"/>
      <c r="AN537" s="44"/>
      <c r="AO537" s="44"/>
      <c r="AP537" s="44"/>
      <c r="AQ537" s="44"/>
      <c r="AR537" s="44"/>
      <c r="AS537" s="44"/>
      <c r="AT537" s="45"/>
      <c r="AY537" s="45"/>
      <c r="BH537" s="45"/>
      <c r="BK537" s="45"/>
      <c r="BT537" s="45"/>
      <c r="BU537" s="45"/>
      <c r="CK537" s="10"/>
      <c r="EF537" s="20"/>
      <c r="FD537" s="21"/>
      <c r="FE537" s="21"/>
      <c r="FN537" s="22"/>
      <c r="FO537" s="22"/>
      <c r="FZ537" s="23"/>
      <c r="GA537" s="23"/>
      <c r="JD537" s="26"/>
      <c r="JE537" s="26"/>
      <c r="JF537" s="27"/>
      <c r="JG537" s="27"/>
      <c r="KL537" s="28"/>
      <c r="KP537" s="28"/>
      <c r="KT537" s="28"/>
      <c r="KX537" s="28"/>
      <c r="LB537" s="28"/>
      <c r="LF537" s="28"/>
      <c r="LJ537" s="28"/>
    </row>
    <row r="538" spans="1:322" ht="13.2">
      <c r="A538" s="42"/>
      <c r="B538" s="42"/>
      <c r="C538" s="42"/>
      <c r="D538" s="52"/>
      <c r="E538" s="52"/>
      <c r="O538" s="43"/>
      <c r="AL538" s="44"/>
      <c r="AM538" s="44"/>
      <c r="AN538" s="44"/>
      <c r="AO538" s="44"/>
      <c r="AP538" s="44"/>
      <c r="AQ538" s="44"/>
      <c r="AR538" s="44"/>
      <c r="AS538" s="44"/>
      <c r="AT538" s="45"/>
      <c r="AY538" s="45"/>
      <c r="BH538" s="45"/>
      <c r="BK538" s="45"/>
      <c r="BT538" s="45"/>
      <c r="BU538" s="45"/>
      <c r="CK538" s="10"/>
      <c r="EF538" s="20"/>
      <c r="FD538" s="21"/>
      <c r="FE538" s="21"/>
      <c r="FN538" s="22"/>
      <c r="FO538" s="22"/>
      <c r="FZ538" s="23"/>
      <c r="GA538" s="23"/>
      <c r="JD538" s="26"/>
      <c r="JE538" s="26"/>
      <c r="JF538" s="27"/>
      <c r="JG538" s="27"/>
      <c r="KL538" s="28"/>
      <c r="KP538" s="28"/>
      <c r="KT538" s="28"/>
      <c r="KX538" s="28"/>
      <c r="LB538" s="28"/>
      <c r="LF538" s="28"/>
      <c r="LJ538" s="28"/>
    </row>
    <row r="539" spans="1:322" ht="13.2">
      <c r="A539" s="42"/>
      <c r="B539" s="42"/>
      <c r="C539" s="42"/>
      <c r="D539" s="52"/>
      <c r="E539" s="52"/>
      <c r="O539" s="43"/>
      <c r="AL539" s="44"/>
      <c r="AM539" s="44"/>
      <c r="AN539" s="44"/>
      <c r="AO539" s="44"/>
      <c r="AP539" s="44"/>
      <c r="AQ539" s="44"/>
      <c r="AR539" s="44"/>
      <c r="AS539" s="44"/>
      <c r="AT539" s="45"/>
      <c r="AY539" s="45"/>
      <c r="BH539" s="45"/>
      <c r="BK539" s="45"/>
      <c r="BT539" s="45"/>
      <c r="BU539" s="45"/>
      <c r="CK539" s="10"/>
      <c r="EF539" s="20"/>
      <c r="FD539" s="21"/>
      <c r="FE539" s="21"/>
      <c r="FN539" s="22"/>
      <c r="FO539" s="22"/>
      <c r="FZ539" s="23"/>
      <c r="GA539" s="23"/>
      <c r="JD539" s="26"/>
      <c r="JE539" s="26"/>
      <c r="JF539" s="27"/>
      <c r="JG539" s="27"/>
      <c r="KL539" s="28"/>
      <c r="KP539" s="28"/>
      <c r="KT539" s="28"/>
      <c r="KX539" s="28"/>
      <c r="LB539" s="28"/>
      <c r="LF539" s="28"/>
      <c r="LJ539" s="28"/>
    </row>
    <row r="540" spans="1:322" ht="13.2">
      <c r="A540" s="42"/>
      <c r="B540" s="42"/>
      <c r="C540" s="42"/>
      <c r="D540" s="52"/>
      <c r="E540" s="52"/>
      <c r="O540" s="43"/>
      <c r="AL540" s="44"/>
      <c r="AM540" s="44"/>
      <c r="AN540" s="44"/>
      <c r="AO540" s="44"/>
      <c r="AP540" s="44"/>
      <c r="AQ540" s="44"/>
      <c r="AR540" s="44"/>
      <c r="AS540" s="44"/>
      <c r="AT540" s="45"/>
      <c r="AY540" s="45"/>
      <c r="BH540" s="45"/>
      <c r="BK540" s="45"/>
      <c r="BT540" s="45"/>
      <c r="BU540" s="45"/>
      <c r="CK540" s="10"/>
      <c r="EF540" s="20"/>
      <c r="FD540" s="21"/>
      <c r="FE540" s="21"/>
      <c r="FN540" s="22"/>
      <c r="FO540" s="22"/>
      <c r="FZ540" s="23"/>
      <c r="GA540" s="23"/>
      <c r="JD540" s="26"/>
      <c r="JE540" s="26"/>
      <c r="JF540" s="27"/>
      <c r="JG540" s="27"/>
      <c r="KL540" s="28"/>
      <c r="KP540" s="28"/>
      <c r="KT540" s="28"/>
      <c r="KX540" s="28"/>
      <c r="LB540" s="28"/>
      <c r="LF540" s="28"/>
      <c r="LJ540" s="28"/>
    </row>
    <row r="541" spans="1:322" ht="13.2">
      <c r="A541" s="42"/>
      <c r="B541" s="42"/>
      <c r="C541" s="42"/>
      <c r="D541" s="52"/>
      <c r="E541" s="52"/>
      <c r="O541" s="43"/>
      <c r="AL541" s="44"/>
      <c r="AM541" s="44"/>
      <c r="AN541" s="44"/>
      <c r="AO541" s="44"/>
      <c r="AP541" s="44"/>
      <c r="AQ541" s="44"/>
      <c r="AR541" s="44"/>
      <c r="AS541" s="44"/>
      <c r="AT541" s="45"/>
      <c r="AY541" s="45"/>
      <c r="BH541" s="45"/>
      <c r="BK541" s="45"/>
      <c r="BT541" s="45"/>
      <c r="BU541" s="45"/>
      <c r="CK541" s="10"/>
      <c r="EF541" s="20"/>
      <c r="FD541" s="21"/>
      <c r="FE541" s="21"/>
      <c r="FN541" s="22"/>
      <c r="FO541" s="22"/>
      <c r="FZ541" s="23"/>
      <c r="GA541" s="23"/>
      <c r="JD541" s="26"/>
      <c r="JE541" s="26"/>
      <c r="JF541" s="27"/>
      <c r="JG541" s="27"/>
      <c r="KL541" s="28"/>
      <c r="KP541" s="28"/>
      <c r="KT541" s="28"/>
      <c r="KX541" s="28"/>
      <c r="LB541" s="28"/>
      <c r="LF541" s="28"/>
      <c r="LJ541" s="28"/>
    </row>
    <row r="542" spans="1:322" ht="13.2">
      <c r="A542" s="42"/>
      <c r="B542" s="42"/>
      <c r="C542" s="42"/>
      <c r="D542" s="52"/>
      <c r="E542" s="52"/>
      <c r="O542" s="43"/>
      <c r="AL542" s="44"/>
      <c r="AM542" s="44"/>
      <c r="AN542" s="44"/>
      <c r="AO542" s="44"/>
      <c r="AP542" s="44"/>
      <c r="AQ542" s="44"/>
      <c r="AR542" s="44"/>
      <c r="AS542" s="44"/>
      <c r="AT542" s="45"/>
      <c r="AY542" s="45"/>
      <c r="BH542" s="45"/>
      <c r="BK542" s="45"/>
      <c r="BT542" s="45"/>
      <c r="BU542" s="45"/>
      <c r="CK542" s="10"/>
      <c r="EF542" s="20"/>
      <c r="FD542" s="21"/>
      <c r="FE542" s="21"/>
      <c r="FN542" s="22"/>
      <c r="FO542" s="22"/>
      <c r="FZ542" s="23"/>
      <c r="GA542" s="23"/>
      <c r="JD542" s="26"/>
      <c r="JE542" s="26"/>
      <c r="JF542" s="27"/>
      <c r="JG542" s="27"/>
      <c r="KL542" s="28"/>
      <c r="KP542" s="28"/>
      <c r="KT542" s="28"/>
      <c r="KX542" s="28"/>
      <c r="LB542" s="28"/>
      <c r="LF542" s="28"/>
      <c r="LJ542" s="28"/>
    </row>
    <row r="543" spans="1:322" ht="13.2">
      <c r="A543" s="42"/>
      <c r="B543" s="42"/>
      <c r="C543" s="42"/>
      <c r="D543" s="52"/>
      <c r="E543" s="52"/>
      <c r="O543" s="43"/>
      <c r="AL543" s="44"/>
      <c r="AM543" s="44"/>
      <c r="AN543" s="44"/>
      <c r="AO543" s="44"/>
      <c r="AP543" s="44"/>
      <c r="AQ543" s="44"/>
      <c r="AR543" s="44"/>
      <c r="AS543" s="44"/>
      <c r="AT543" s="45"/>
      <c r="AY543" s="45"/>
      <c r="BH543" s="45"/>
      <c r="BK543" s="45"/>
      <c r="BT543" s="45"/>
      <c r="BU543" s="45"/>
      <c r="CK543" s="10"/>
      <c r="EF543" s="20"/>
      <c r="FD543" s="21"/>
      <c r="FE543" s="21"/>
      <c r="FN543" s="22"/>
      <c r="FO543" s="22"/>
      <c r="FZ543" s="23"/>
      <c r="GA543" s="23"/>
      <c r="JD543" s="26"/>
      <c r="JE543" s="26"/>
      <c r="JF543" s="27"/>
      <c r="JG543" s="27"/>
      <c r="KL543" s="28"/>
      <c r="KP543" s="28"/>
      <c r="KT543" s="28"/>
      <c r="KX543" s="28"/>
      <c r="LB543" s="28"/>
      <c r="LF543" s="28"/>
      <c r="LJ543" s="28"/>
    </row>
    <row r="544" spans="1:322" ht="13.2">
      <c r="A544" s="42"/>
      <c r="B544" s="42"/>
      <c r="C544" s="42"/>
      <c r="D544" s="52"/>
      <c r="E544" s="52"/>
      <c r="O544" s="43"/>
      <c r="AL544" s="44"/>
      <c r="AM544" s="44"/>
      <c r="AN544" s="44"/>
      <c r="AO544" s="44"/>
      <c r="AP544" s="44"/>
      <c r="AQ544" s="44"/>
      <c r="AR544" s="44"/>
      <c r="AS544" s="44"/>
      <c r="AT544" s="45"/>
      <c r="AY544" s="45"/>
      <c r="BH544" s="45"/>
      <c r="BK544" s="45"/>
      <c r="BT544" s="45"/>
      <c r="BU544" s="45"/>
      <c r="CK544" s="10"/>
      <c r="EF544" s="20"/>
      <c r="FD544" s="21"/>
      <c r="FE544" s="21"/>
      <c r="FN544" s="22"/>
      <c r="FO544" s="22"/>
      <c r="FZ544" s="23"/>
      <c r="GA544" s="23"/>
      <c r="JD544" s="26"/>
      <c r="JE544" s="26"/>
      <c r="JF544" s="27"/>
      <c r="JG544" s="27"/>
      <c r="KL544" s="28"/>
      <c r="KP544" s="28"/>
      <c r="KT544" s="28"/>
      <c r="KX544" s="28"/>
      <c r="LB544" s="28"/>
      <c r="LF544" s="28"/>
      <c r="LJ544" s="28"/>
    </row>
    <row r="545" spans="1:322" ht="13.2">
      <c r="A545" s="42"/>
      <c r="B545" s="42"/>
      <c r="C545" s="42"/>
      <c r="D545" s="52"/>
      <c r="E545" s="52"/>
      <c r="O545" s="43"/>
      <c r="AL545" s="44"/>
      <c r="AM545" s="44"/>
      <c r="AN545" s="44"/>
      <c r="AO545" s="44"/>
      <c r="AP545" s="44"/>
      <c r="AQ545" s="44"/>
      <c r="AR545" s="44"/>
      <c r="AS545" s="44"/>
      <c r="AT545" s="45"/>
      <c r="AY545" s="45"/>
      <c r="BH545" s="45"/>
      <c r="BK545" s="45"/>
      <c r="BT545" s="45"/>
      <c r="BU545" s="45"/>
      <c r="CK545" s="10"/>
      <c r="EF545" s="20"/>
      <c r="FD545" s="21"/>
      <c r="FE545" s="21"/>
      <c r="FN545" s="22"/>
      <c r="FO545" s="22"/>
      <c r="FZ545" s="23"/>
      <c r="GA545" s="23"/>
      <c r="JD545" s="26"/>
      <c r="JE545" s="26"/>
      <c r="JF545" s="27"/>
      <c r="JG545" s="27"/>
      <c r="KL545" s="28"/>
      <c r="KP545" s="28"/>
      <c r="KT545" s="28"/>
      <c r="KX545" s="28"/>
      <c r="LB545" s="28"/>
      <c r="LF545" s="28"/>
      <c r="LJ545" s="28"/>
    </row>
    <row r="546" spans="1:322" ht="13.2">
      <c r="A546" s="42"/>
      <c r="B546" s="42"/>
      <c r="C546" s="42"/>
      <c r="D546" s="52"/>
      <c r="E546" s="52"/>
      <c r="O546" s="43"/>
      <c r="AL546" s="44"/>
      <c r="AM546" s="44"/>
      <c r="AN546" s="44"/>
      <c r="AO546" s="44"/>
      <c r="AP546" s="44"/>
      <c r="AQ546" s="44"/>
      <c r="AR546" s="44"/>
      <c r="AS546" s="44"/>
      <c r="AT546" s="45"/>
      <c r="AY546" s="45"/>
      <c r="BH546" s="45"/>
      <c r="BK546" s="45"/>
      <c r="BT546" s="45"/>
      <c r="BU546" s="45"/>
      <c r="CK546" s="10"/>
      <c r="EF546" s="20"/>
      <c r="FD546" s="21"/>
      <c r="FE546" s="21"/>
      <c r="FN546" s="22"/>
      <c r="FO546" s="22"/>
      <c r="FZ546" s="23"/>
      <c r="GA546" s="23"/>
      <c r="JD546" s="26"/>
      <c r="JE546" s="26"/>
      <c r="JF546" s="27"/>
      <c r="JG546" s="27"/>
      <c r="KL546" s="28"/>
      <c r="KP546" s="28"/>
      <c r="KT546" s="28"/>
      <c r="KX546" s="28"/>
      <c r="LB546" s="28"/>
      <c r="LF546" s="28"/>
      <c r="LJ546" s="28"/>
    </row>
    <row r="547" spans="1:322" ht="13.2">
      <c r="A547" s="42"/>
      <c r="B547" s="42"/>
      <c r="C547" s="42"/>
      <c r="D547" s="52"/>
      <c r="E547" s="52"/>
      <c r="O547" s="43"/>
      <c r="AL547" s="44"/>
      <c r="AM547" s="44"/>
      <c r="AN547" s="44"/>
      <c r="AO547" s="44"/>
      <c r="AP547" s="44"/>
      <c r="AQ547" s="44"/>
      <c r="AR547" s="44"/>
      <c r="AS547" s="44"/>
      <c r="AT547" s="45"/>
      <c r="AY547" s="45"/>
      <c r="BH547" s="45"/>
      <c r="BK547" s="45"/>
      <c r="BT547" s="45"/>
      <c r="BU547" s="45"/>
      <c r="CK547" s="10"/>
      <c r="EF547" s="20"/>
      <c r="FD547" s="21"/>
      <c r="FE547" s="21"/>
      <c r="FN547" s="22"/>
      <c r="FO547" s="22"/>
      <c r="FZ547" s="23"/>
      <c r="GA547" s="23"/>
      <c r="JD547" s="26"/>
      <c r="JE547" s="26"/>
      <c r="JF547" s="27"/>
      <c r="JG547" s="27"/>
      <c r="KL547" s="28"/>
      <c r="KP547" s="28"/>
      <c r="KT547" s="28"/>
      <c r="KX547" s="28"/>
      <c r="LB547" s="28"/>
      <c r="LF547" s="28"/>
      <c r="LJ547" s="28"/>
    </row>
    <row r="548" spans="1:322" ht="13.2">
      <c r="A548" s="42"/>
      <c r="B548" s="42"/>
      <c r="C548" s="42"/>
      <c r="D548" s="52"/>
      <c r="E548" s="52"/>
      <c r="O548" s="43"/>
      <c r="AL548" s="44"/>
      <c r="AM548" s="44"/>
      <c r="AN548" s="44"/>
      <c r="AO548" s="44"/>
      <c r="AP548" s="44"/>
      <c r="AQ548" s="44"/>
      <c r="AR548" s="44"/>
      <c r="AS548" s="44"/>
      <c r="AT548" s="45"/>
      <c r="AY548" s="45"/>
      <c r="BH548" s="45"/>
      <c r="BK548" s="45"/>
      <c r="BT548" s="45"/>
      <c r="BU548" s="45"/>
      <c r="CK548" s="10"/>
      <c r="EF548" s="20"/>
      <c r="FD548" s="21"/>
      <c r="FE548" s="21"/>
      <c r="FN548" s="22"/>
      <c r="FO548" s="22"/>
      <c r="FZ548" s="23"/>
      <c r="GA548" s="23"/>
      <c r="JD548" s="26"/>
      <c r="JE548" s="26"/>
      <c r="JF548" s="27"/>
      <c r="JG548" s="27"/>
      <c r="KL548" s="28"/>
      <c r="KP548" s="28"/>
      <c r="KT548" s="28"/>
      <c r="KX548" s="28"/>
      <c r="LB548" s="28"/>
      <c r="LF548" s="28"/>
      <c r="LJ548" s="28"/>
    </row>
    <row r="549" spans="1:322" ht="13.2">
      <c r="A549" s="42"/>
      <c r="B549" s="42"/>
      <c r="C549" s="42"/>
      <c r="D549" s="52"/>
      <c r="E549" s="52"/>
      <c r="O549" s="43"/>
      <c r="AL549" s="44"/>
      <c r="AM549" s="44"/>
      <c r="AN549" s="44"/>
      <c r="AO549" s="44"/>
      <c r="AP549" s="44"/>
      <c r="AQ549" s="44"/>
      <c r="AR549" s="44"/>
      <c r="AS549" s="44"/>
      <c r="AT549" s="45"/>
      <c r="AY549" s="45"/>
      <c r="BH549" s="45"/>
      <c r="BK549" s="45"/>
      <c r="BT549" s="45"/>
      <c r="BU549" s="45"/>
      <c r="CK549" s="10"/>
      <c r="EF549" s="20"/>
      <c r="FD549" s="21"/>
      <c r="FE549" s="21"/>
      <c r="FN549" s="22"/>
      <c r="FO549" s="22"/>
      <c r="FZ549" s="23"/>
      <c r="GA549" s="23"/>
      <c r="JD549" s="26"/>
      <c r="JE549" s="26"/>
      <c r="JF549" s="27"/>
      <c r="JG549" s="27"/>
      <c r="KL549" s="28"/>
      <c r="KP549" s="28"/>
      <c r="KT549" s="28"/>
      <c r="KX549" s="28"/>
      <c r="LB549" s="28"/>
      <c r="LF549" s="28"/>
      <c r="LJ549" s="28"/>
    </row>
    <row r="550" spans="1:322" ht="13.2">
      <c r="A550" s="42"/>
      <c r="B550" s="42"/>
      <c r="C550" s="42"/>
      <c r="D550" s="52"/>
      <c r="E550" s="52"/>
      <c r="O550" s="43"/>
      <c r="AL550" s="44"/>
      <c r="AM550" s="44"/>
      <c r="AN550" s="44"/>
      <c r="AO550" s="44"/>
      <c r="AP550" s="44"/>
      <c r="AQ550" s="44"/>
      <c r="AR550" s="44"/>
      <c r="AS550" s="44"/>
      <c r="AT550" s="45"/>
      <c r="AY550" s="45"/>
      <c r="BH550" s="45"/>
      <c r="BK550" s="45"/>
      <c r="BT550" s="45"/>
      <c r="BU550" s="45"/>
      <c r="CK550" s="10"/>
      <c r="EF550" s="20"/>
      <c r="FD550" s="21"/>
      <c r="FE550" s="21"/>
      <c r="FN550" s="22"/>
      <c r="FO550" s="22"/>
      <c r="FZ550" s="23"/>
      <c r="GA550" s="23"/>
      <c r="JD550" s="26"/>
      <c r="JE550" s="26"/>
      <c r="JF550" s="27"/>
      <c r="JG550" s="27"/>
      <c r="KL550" s="28"/>
      <c r="KP550" s="28"/>
      <c r="KT550" s="28"/>
      <c r="KX550" s="28"/>
      <c r="LB550" s="28"/>
      <c r="LF550" s="28"/>
      <c r="LJ550" s="28"/>
    </row>
    <row r="551" spans="1:322" ht="13.2">
      <c r="A551" s="42"/>
      <c r="B551" s="42"/>
      <c r="C551" s="42"/>
      <c r="D551" s="52"/>
      <c r="E551" s="52"/>
      <c r="O551" s="43"/>
      <c r="AL551" s="44"/>
      <c r="AM551" s="44"/>
      <c r="AN551" s="44"/>
      <c r="AO551" s="44"/>
      <c r="AP551" s="44"/>
      <c r="AQ551" s="44"/>
      <c r="AR551" s="44"/>
      <c r="AS551" s="44"/>
      <c r="AT551" s="45"/>
      <c r="AY551" s="45"/>
      <c r="BH551" s="45"/>
      <c r="BK551" s="45"/>
      <c r="BT551" s="45"/>
      <c r="BU551" s="45"/>
      <c r="CK551" s="10"/>
      <c r="EF551" s="20"/>
      <c r="FD551" s="21"/>
      <c r="FE551" s="21"/>
      <c r="FN551" s="22"/>
      <c r="FO551" s="22"/>
      <c r="FZ551" s="23"/>
      <c r="GA551" s="23"/>
      <c r="JD551" s="26"/>
      <c r="JE551" s="26"/>
      <c r="JF551" s="27"/>
      <c r="JG551" s="27"/>
      <c r="KL551" s="28"/>
      <c r="KP551" s="28"/>
      <c r="KT551" s="28"/>
      <c r="KX551" s="28"/>
      <c r="LB551" s="28"/>
      <c r="LF551" s="28"/>
      <c r="LJ551" s="28"/>
    </row>
    <row r="552" spans="1:322" ht="13.2">
      <c r="A552" s="42"/>
      <c r="B552" s="42"/>
      <c r="C552" s="42"/>
      <c r="D552" s="52"/>
      <c r="E552" s="52"/>
      <c r="O552" s="43"/>
      <c r="AL552" s="44"/>
      <c r="AM552" s="44"/>
      <c r="AN552" s="44"/>
      <c r="AO552" s="44"/>
      <c r="AP552" s="44"/>
      <c r="AQ552" s="44"/>
      <c r="AR552" s="44"/>
      <c r="AS552" s="44"/>
      <c r="AT552" s="45"/>
      <c r="AY552" s="45"/>
      <c r="BH552" s="45"/>
      <c r="BK552" s="45"/>
      <c r="BT552" s="45"/>
      <c r="BU552" s="45"/>
      <c r="CK552" s="10"/>
      <c r="EF552" s="20"/>
      <c r="FD552" s="21"/>
      <c r="FE552" s="21"/>
      <c r="FN552" s="22"/>
      <c r="FO552" s="22"/>
      <c r="FZ552" s="23"/>
      <c r="GA552" s="23"/>
      <c r="JD552" s="26"/>
      <c r="JE552" s="26"/>
      <c r="JF552" s="27"/>
      <c r="JG552" s="27"/>
      <c r="KL552" s="28"/>
      <c r="KP552" s="28"/>
      <c r="KT552" s="28"/>
      <c r="KX552" s="28"/>
      <c r="LB552" s="28"/>
      <c r="LF552" s="28"/>
      <c r="LJ552" s="28"/>
    </row>
    <row r="553" spans="1:322" ht="13.2">
      <c r="A553" s="42"/>
      <c r="B553" s="42"/>
      <c r="C553" s="42"/>
      <c r="D553" s="52"/>
      <c r="E553" s="52"/>
      <c r="O553" s="43"/>
      <c r="AL553" s="44"/>
      <c r="AM553" s="44"/>
      <c r="AN553" s="44"/>
      <c r="AO553" s="44"/>
      <c r="AP553" s="44"/>
      <c r="AQ553" s="44"/>
      <c r="AR553" s="44"/>
      <c r="AS553" s="44"/>
      <c r="AT553" s="45"/>
      <c r="AY553" s="45"/>
      <c r="BH553" s="45"/>
      <c r="BK553" s="45"/>
      <c r="BT553" s="45"/>
      <c r="BU553" s="45"/>
      <c r="CK553" s="10"/>
      <c r="EF553" s="20"/>
      <c r="FD553" s="21"/>
      <c r="FE553" s="21"/>
      <c r="FN553" s="22"/>
      <c r="FO553" s="22"/>
      <c r="FZ553" s="23"/>
      <c r="GA553" s="23"/>
      <c r="JD553" s="26"/>
      <c r="JE553" s="26"/>
      <c r="JF553" s="27"/>
      <c r="JG553" s="27"/>
      <c r="KL553" s="28"/>
      <c r="KP553" s="28"/>
      <c r="KT553" s="28"/>
      <c r="KX553" s="28"/>
      <c r="LB553" s="28"/>
      <c r="LF553" s="28"/>
      <c r="LJ553" s="28"/>
    </row>
    <row r="554" spans="1:322" ht="13.2">
      <c r="A554" s="42"/>
      <c r="B554" s="42"/>
      <c r="C554" s="42"/>
      <c r="D554" s="52"/>
      <c r="E554" s="52"/>
      <c r="O554" s="43"/>
      <c r="AL554" s="44"/>
      <c r="AM554" s="44"/>
      <c r="AN554" s="44"/>
      <c r="AO554" s="44"/>
      <c r="AP554" s="44"/>
      <c r="AQ554" s="44"/>
      <c r="AR554" s="44"/>
      <c r="AS554" s="44"/>
      <c r="AT554" s="45"/>
      <c r="AY554" s="45"/>
      <c r="BH554" s="45"/>
      <c r="BK554" s="45"/>
      <c r="BT554" s="45"/>
      <c r="BU554" s="45"/>
      <c r="CK554" s="10"/>
      <c r="EF554" s="20"/>
      <c r="FD554" s="21"/>
      <c r="FE554" s="21"/>
      <c r="FN554" s="22"/>
      <c r="FO554" s="22"/>
      <c r="FZ554" s="23"/>
      <c r="GA554" s="23"/>
      <c r="JD554" s="26"/>
      <c r="JE554" s="26"/>
      <c r="JF554" s="27"/>
      <c r="JG554" s="27"/>
      <c r="KL554" s="28"/>
      <c r="KP554" s="28"/>
      <c r="KT554" s="28"/>
      <c r="KX554" s="28"/>
      <c r="LB554" s="28"/>
      <c r="LF554" s="28"/>
      <c r="LJ554" s="28"/>
    </row>
    <row r="555" spans="1:322" ht="13.2">
      <c r="A555" s="42"/>
      <c r="B555" s="42"/>
      <c r="C555" s="42"/>
      <c r="D555" s="52"/>
      <c r="E555" s="52"/>
      <c r="O555" s="43"/>
      <c r="AL555" s="44"/>
      <c r="AM555" s="44"/>
      <c r="AN555" s="44"/>
      <c r="AO555" s="44"/>
      <c r="AP555" s="44"/>
      <c r="AQ555" s="44"/>
      <c r="AR555" s="44"/>
      <c r="AS555" s="44"/>
      <c r="AT555" s="45"/>
      <c r="AY555" s="45"/>
      <c r="BH555" s="45"/>
      <c r="BK555" s="45"/>
      <c r="BT555" s="45"/>
      <c r="BU555" s="45"/>
      <c r="CK555" s="10"/>
      <c r="EF555" s="20"/>
      <c r="FD555" s="21"/>
      <c r="FE555" s="21"/>
      <c r="FN555" s="22"/>
      <c r="FO555" s="22"/>
      <c r="FZ555" s="23"/>
      <c r="GA555" s="23"/>
      <c r="JD555" s="26"/>
      <c r="JE555" s="26"/>
      <c r="JF555" s="27"/>
      <c r="JG555" s="27"/>
      <c r="KL555" s="28"/>
      <c r="KP555" s="28"/>
      <c r="KT555" s="28"/>
      <c r="KX555" s="28"/>
      <c r="LB555" s="28"/>
      <c r="LF555" s="28"/>
      <c r="LJ555" s="28"/>
    </row>
    <row r="556" spans="1:322" ht="13.2">
      <c r="A556" s="42"/>
      <c r="B556" s="42"/>
      <c r="C556" s="42"/>
      <c r="D556" s="52"/>
      <c r="E556" s="52"/>
      <c r="O556" s="43"/>
      <c r="AL556" s="44"/>
      <c r="AM556" s="44"/>
      <c r="AN556" s="44"/>
      <c r="AO556" s="44"/>
      <c r="AP556" s="44"/>
      <c r="AQ556" s="44"/>
      <c r="AR556" s="44"/>
      <c r="AS556" s="44"/>
      <c r="AT556" s="45"/>
      <c r="AY556" s="45"/>
      <c r="BH556" s="45"/>
      <c r="BK556" s="45"/>
      <c r="BT556" s="45"/>
      <c r="BU556" s="45"/>
      <c r="CK556" s="10"/>
      <c r="EF556" s="20"/>
      <c r="FD556" s="21"/>
      <c r="FE556" s="21"/>
      <c r="FN556" s="22"/>
      <c r="FO556" s="22"/>
      <c r="FZ556" s="23"/>
      <c r="GA556" s="23"/>
      <c r="JD556" s="26"/>
      <c r="JE556" s="26"/>
      <c r="JF556" s="27"/>
      <c r="JG556" s="27"/>
      <c r="KL556" s="28"/>
      <c r="KP556" s="28"/>
      <c r="KT556" s="28"/>
      <c r="KX556" s="28"/>
      <c r="LB556" s="28"/>
      <c r="LF556" s="28"/>
      <c r="LJ556" s="28"/>
    </row>
    <row r="557" spans="1:322" ht="13.2">
      <c r="A557" s="42"/>
      <c r="B557" s="42"/>
      <c r="C557" s="42"/>
      <c r="D557" s="52"/>
      <c r="E557" s="52"/>
      <c r="O557" s="43"/>
      <c r="AL557" s="44"/>
      <c r="AM557" s="44"/>
      <c r="AN557" s="44"/>
      <c r="AO557" s="44"/>
      <c r="AP557" s="44"/>
      <c r="AQ557" s="44"/>
      <c r="AR557" s="44"/>
      <c r="AS557" s="44"/>
      <c r="AT557" s="45"/>
      <c r="AY557" s="45"/>
      <c r="BH557" s="45"/>
      <c r="BK557" s="45"/>
      <c r="BT557" s="45"/>
      <c r="BU557" s="45"/>
      <c r="CK557" s="10"/>
      <c r="EF557" s="20"/>
      <c r="FD557" s="21"/>
      <c r="FE557" s="21"/>
      <c r="FN557" s="22"/>
      <c r="FO557" s="22"/>
      <c r="FZ557" s="23"/>
      <c r="GA557" s="23"/>
      <c r="JD557" s="26"/>
      <c r="JE557" s="26"/>
      <c r="JF557" s="27"/>
      <c r="JG557" s="27"/>
      <c r="KL557" s="28"/>
      <c r="KP557" s="28"/>
      <c r="KT557" s="28"/>
      <c r="KX557" s="28"/>
      <c r="LB557" s="28"/>
      <c r="LF557" s="28"/>
      <c r="LJ557" s="28"/>
    </row>
    <row r="558" spans="1:322" ht="13.2">
      <c r="A558" s="42"/>
      <c r="B558" s="42"/>
      <c r="C558" s="42"/>
      <c r="D558" s="52"/>
      <c r="E558" s="52"/>
      <c r="O558" s="43"/>
      <c r="AL558" s="44"/>
      <c r="AM558" s="44"/>
      <c r="AN558" s="44"/>
      <c r="AO558" s="44"/>
      <c r="AP558" s="44"/>
      <c r="AQ558" s="44"/>
      <c r="AR558" s="44"/>
      <c r="AS558" s="44"/>
      <c r="AT558" s="45"/>
      <c r="AY558" s="45"/>
      <c r="BH558" s="45"/>
      <c r="BK558" s="45"/>
      <c r="BT558" s="45"/>
      <c r="BU558" s="45"/>
      <c r="CK558" s="10"/>
      <c r="EF558" s="20"/>
      <c r="FD558" s="21"/>
      <c r="FE558" s="21"/>
      <c r="FN558" s="22"/>
      <c r="FO558" s="22"/>
      <c r="FZ558" s="23"/>
      <c r="GA558" s="23"/>
      <c r="JD558" s="26"/>
      <c r="JE558" s="26"/>
      <c r="JF558" s="27"/>
      <c r="JG558" s="27"/>
      <c r="KL558" s="28"/>
      <c r="KP558" s="28"/>
      <c r="KT558" s="28"/>
      <c r="KX558" s="28"/>
      <c r="LB558" s="28"/>
      <c r="LF558" s="28"/>
      <c r="LJ558" s="28"/>
    </row>
    <row r="559" spans="1:322" ht="13.2">
      <c r="A559" s="42"/>
      <c r="B559" s="42"/>
      <c r="C559" s="42"/>
      <c r="D559" s="52"/>
      <c r="E559" s="52"/>
      <c r="O559" s="43"/>
      <c r="AL559" s="44"/>
      <c r="AM559" s="44"/>
      <c r="AN559" s="44"/>
      <c r="AO559" s="44"/>
      <c r="AP559" s="44"/>
      <c r="AQ559" s="44"/>
      <c r="AR559" s="44"/>
      <c r="AS559" s="44"/>
      <c r="AT559" s="45"/>
      <c r="AY559" s="45"/>
      <c r="BH559" s="45"/>
      <c r="BK559" s="45"/>
      <c r="BT559" s="45"/>
      <c r="BU559" s="45"/>
      <c r="CK559" s="10"/>
      <c r="EF559" s="20"/>
      <c r="FD559" s="21"/>
      <c r="FE559" s="21"/>
      <c r="FN559" s="22"/>
      <c r="FO559" s="22"/>
      <c r="FZ559" s="23"/>
      <c r="GA559" s="23"/>
      <c r="JD559" s="26"/>
      <c r="JE559" s="26"/>
      <c r="JF559" s="27"/>
      <c r="JG559" s="27"/>
      <c r="KL559" s="28"/>
      <c r="KP559" s="28"/>
      <c r="KT559" s="28"/>
      <c r="KX559" s="28"/>
      <c r="LB559" s="28"/>
      <c r="LF559" s="28"/>
      <c r="LJ559" s="28"/>
    </row>
    <row r="560" spans="1:322" ht="13.2">
      <c r="A560" s="42"/>
      <c r="B560" s="42"/>
      <c r="C560" s="42"/>
      <c r="D560" s="52"/>
      <c r="E560" s="52"/>
      <c r="O560" s="43"/>
      <c r="AL560" s="44"/>
      <c r="AM560" s="44"/>
      <c r="AN560" s="44"/>
      <c r="AO560" s="44"/>
      <c r="AP560" s="44"/>
      <c r="AQ560" s="44"/>
      <c r="AR560" s="44"/>
      <c r="AS560" s="44"/>
      <c r="AT560" s="45"/>
      <c r="AY560" s="45"/>
      <c r="BH560" s="45"/>
      <c r="BK560" s="45"/>
      <c r="BT560" s="45"/>
      <c r="BU560" s="45"/>
      <c r="CK560" s="10"/>
      <c r="EF560" s="20"/>
      <c r="FD560" s="21"/>
      <c r="FE560" s="21"/>
      <c r="FN560" s="22"/>
      <c r="FO560" s="22"/>
      <c r="FZ560" s="23"/>
      <c r="GA560" s="23"/>
      <c r="JD560" s="26"/>
      <c r="JE560" s="26"/>
      <c r="JF560" s="27"/>
      <c r="JG560" s="27"/>
      <c r="KL560" s="28"/>
      <c r="KP560" s="28"/>
      <c r="KT560" s="28"/>
      <c r="KX560" s="28"/>
      <c r="LB560" s="28"/>
      <c r="LF560" s="28"/>
      <c r="LJ560" s="28"/>
    </row>
    <row r="561" spans="1:322" ht="13.2">
      <c r="A561" s="42"/>
      <c r="B561" s="42"/>
      <c r="C561" s="42"/>
      <c r="D561" s="52"/>
      <c r="E561" s="52"/>
      <c r="O561" s="43"/>
      <c r="AL561" s="44"/>
      <c r="AM561" s="44"/>
      <c r="AN561" s="44"/>
      <c r="AO561" s="44"/>
      <c r="AP561" s="44"/>
      <c r="AQ561" s="44"/>
      <c r="AR561" s="44"/>
      <c r="AS561" s="44"/>
      <c r="AT561" s="45"/>
      <c r="AY561" s="45"/>
      <c r="BH561" s="45"/>
      <c r="BK561" s="45"/>
      <c r="BT561" s="45"/>
      <c r="BU561" s="45"/>
      <c r="CK561" s="10"/>
      <c r="EF561" s="20"/>
      <c r="FD561" s="21"/>
      <c r="FE561" s="21"/>
      <c r="FN561" s="22"/>
      <c r="FO561" s="22"/>
      <c r="FZ561" s="23"/>
      <c r="GA561" s="23"/>
      <c r="JD561" s="26"/>
      <c r="JE561" s="26"/>
      <c r="JF561" s="27"/>
      <c r="JG561" s="27"/>
      <c r="KL561" s="28"/>
      <c r="KP561" s="28"/>
      <c r="KT561" s="28"/>
      <c r="KX561" s="28"/>
      <c r="LB561" s="28"/>
      <c r="LF561" s="28"/>
      <c r="LJ561" s="28"/>
    </row>
    <row r="562" spans="1:322" ht="13.2">
      <c r="A562" s="42"/>
      <c r="B562" s="42"/>
      <c r="C562" s="42"/>
      <c r="D562" s="52"/>
      <c r="E562" s="52"/>
      <c r="O562" s="43"/>
      <c r="AL562" s="44"/>
      <c r="AM562" s="44"/>
      <c r="AN562" s="44"/>
      <c r="AO562" s="44"/>
      <c r="AP562" s="44"/>
      <c r="AQ562" s="44"/>
      <c r="AR562" s="44"/>
      <c r="AS562" s="44"/>
      <c r="AT562" s="45"/>
      <c r="AY562" s="45"/>
      <c r="BH562" s="45"/>
      <c r="BK562" s="45"/>
      <c r="BT562" s="45"/>
      <c r="BU562" s="45"/>
      <c r="CK562" s="10"/>
      <c r="EF562" s="20"/>
      <c r="FD562" s="21"/>
      <c r="FE562" s="21"/>
      <c r="FN562" s="22"/>
      <c r="FO562" s="22"/>
      <c r="FZ562" s="23"/>
      <c r="GA562" s="23"/>
      <c r="JD562" s="26"/>
      <c r="JE562" s="26"/>
      <c r="JF562" s="27"/>
      <c r="JG562" s="27"/>
      <c r="KL562" s="28"/>
      <c r="KP562" s="28"/>
      <c r="KT562" s="28"/>
      <c r="KX562" s="28"/>
      <c r="LB562" s="28"/>
      <c r="LF562" s="28"/>
      <c r="LJ562" s="28"/>
    </row>
    <row r="563" spans="1:322" ht="13.2">
      <c r="A563" s="42"/>
      <c r="B563" s="42"/>
      <c r="C563" s="42"/>
      <c r="D563" s="52"/>
      <c r="E563" s="52"/>
      <c r="O563" s="43"/>
      <c r="AL563" s="44"/>
      <c r="AM563" s="44"/>
      <c r="AN563" s="44"/>
      <c r="AO563" s="44"/>
      <c r="AP563" s="44"/>
      <c r="AQ563" s="44"/>
      <c r="AR563" s="44"/>
      <c r="AS563" s="44"/>
      <c r="AT563" s="45"/>
      <c r="AY563" s="45"/>
      <c r="BH563" s="45"/>
      <c r="BK563" s="45"/>
      <c r="BT563" s="45"/>
      <c r="BU563" s="45"/>
      <c r="CK563" s="10"/>
      <c r="EF563" s="20"/>
      <c r="FD563" s="21"/>
      <c r="FE563" s="21"/>
      <c r="FN563" s="22"/>
      <c r="FO563" s="22"/>
      <c r="FZ563" s="23"/>
      <c r="GA563" s="23"/>
      <c r="JD563" s="26"/>
      <c r="JE563" s="26"/>
      <c r="JF563" s="27"/>
      <c r="JG563" s="27"/>
      <c r="KL563" s="28"/>
      <c r="KP563" s="28"/>
      <c r="KT563" s="28"/>
      <c r="KX563" s="28"/>
      <c r="LB563" s="28"/>
      <c r="LF563" s="28"/>
      <c r="LJ563" s="28"/>
    </row>
    <row r="564" spans="1:322" ht="13.2">
      <c r="A564" s="42"/>
      <c r="B564" s="42"/>
      <c r="C564" s="42"/>
      <c r="D564" s="52"/>
      <c r="E564" s="52"/>
      <c r="O564" s="43"/>
      <c r="AL564" s="44"/>
      <c r="AM564" s="44"/>
      <c r="AN564" s="44"/>
      <c r="AO564" s="44"/>
      <c r="AP564" s="44"/>
      <c r="AQ564" s="44"/>
      <c r="AR564" s="44"/>
      <c r="AS564" s="44"/>
      <c r="AT564" s="45"/>
      <c r="AY564" s="45"/>
      <c r="BH564" s="45"/>
      <c r="BK564" s="45"/>
      <c r="BT564" s="45"/>
      <c r="BU564" s="45"/>
      <c r="CK564" s="10"/>
      <c r="EF564" s="20"/>
      <c r="FD564" s="21"/>
      <c r="FE564" s="21"/>
      <c r="FN564" s="22"/>
      <c r="FO564" s="22"/>
      <c r="FZ564" s="23"/>
      <c r="GA564" s="23"/>
      <c r="JD564" s="26"/>
      <c r="JE564" s="26"/>
      <c r="JF564" s="27"/>
      <c r="JG564" s="27"/>
      <c r="KL564" s="28"/>
      <c r="KP564" s="28"/>
      <c r="KT564" s="28"/>
      <c r="KX564" s="28"/>
      <c r="LB564" s="28"/>
      <c r="LF564" s="28"/>
      <c r="LJ564" s="28"/>
    </row>
    <row r="565" spans="1:322" ht="13.2">
      <c r="A565" s="42"/>
      <c r="B565" s="42"/>
      <c r="C565" s="42"/>
      <c r="D565" s="52"/>
      <c r="E565" s="52"/>
      <c r="O565" s="43"/>
      <c r="AL565" s="44"/>
      <c r="AM565" s="44"/>
      <c r="AN565" s="44"/>
      <c r="AO565" s="44"/>
      <c r="AP565" s="44"/>
      <c r="AQ565" s="44"/>
      <c r="AR565" s="44"/>
      <c r="AS565" s="44"/>
      <c r="AT565" s="45"/>
      <c r="AY565" s="45"/>
      <c r="BH565" s="45"/>
      <c r="BK565" s="45"/>
      <c r="BT565" s="45"/>
      <c r="BU565" s="45"/>
      <c r="CK565" s="10"/>
      <c r="EF565" s="20"/>
      <c r="FD565" s="21"/>
      <c r="FE565" s="21"/>
      <c r="FN565" s="22"/>
      <c r="FO565" s="22"/>
      <c r="FZ565" s="23"/>
      <c r="GA565" s="23"/>
      <c r="JD565" s="26"/>
      <c r="JE565" s="26"/>
      <c r="JF565" s="27"/>
      <c r="JG565" s="27"/>
      <c r="KL565" s="28"/>
      <c r="KP565" s="28"/>
      <c r="KT565" s="28"/>
      <c r="KX565" s="28"/>
      <c r="LB565" s="28"/>
      <c r="LF565" s="28"/>
      <c r="LJ565" s="28"/>
    </row>
    <row r="566" spans="1:322" ht="13.2">
      <c r="A566" s="42"/>
      <c r="B566" s="42"/>
      <c r="C566" s="42"/>
      <c r="D566" s="52"/>
      <c r="E566" s="52"/>
      <c r="O566" s="43"/>
      <c r="AL566" s="44"/>
      <c r="AM566" s="44"/>
      <c r="AN566" s="44"/>
      <c r="AO566" s="44"/>
      <c r="AP566" s="44"/>
      <c r="AQ566" s="44"/>
      <c r="AR566" s="44"/>
      <c r="AS566" s="44"/>
      <c r="AT566" s="45"/>
      <c r="AY566" s="45"/>
      <c r="BH566" s="45"/>
      <c r="BK566" s="45"/>
      <c r="BT566" s="45"/>
      <c r="BU566" s="45"/>
      <c r="CK566" s="10"/>
      <c r="EF566" s="20"/>
      <c r="FD566" s="21"/>
      <c r="FE566" s="21"/>
      <c r="FN566" s="22"/>
      <c r="FO566" s="22"/>
      <c r="FZ566" s="23"/>
      <c r="GA566" s="23"/>
      <c r="JD566" s="26"/>
      <c r="JE566" s="26"/>
      <c r="JF566" s="27"/>
      <c r="JG566" s="27"/>
      <c r="KL566" s="28"/>
      <c r="KP566" s="28"/>
      <c r="KT566" s="28"/>
      <c r="KX566" s="28"/>
      <c r="LB566" s="28"/>
      <c r="LF566" s="28"/>
      <c r="LJ566" s="28"/>
    </row>
    <row r="567" spans="1:322" ht="13.2">
      <c r="A567" s="42"/>
      <c r="B567" s="42"/>
      <c r="C567" s="42"/>
      <c r="D567" s="52"/>
      <c r="E567" s="52"/>
      <c r="O567" s="43"/>
      <c r="AL567" s="44"/>
      <c r="AM567" s="44"/>
      <c r="AN567" s="44"/>
      <c r="AO567" s="44"/>
      <c r="AP567" s="44"/>
      <c r="AQ567" s="44"/>
      <c r="AR567" s="44"/>
      <c r="AS567" s="44"/>
      <c r="AT567" s="45"/>
      <c r="AY567" s="45"/>
      <c r="BH567" s="45"/>
      <c r="BK567" s="45"/>
      <c r="BT567" s="45"/>
      <c r="BU567" s="45"/>
      <c r="CK567" s="10"/>
      <c r="EF567" s="20"/>
      <c r="FD567" s="21"/>
      <c r="FE567" s="21"/>
      <c r="FN567" s="22"/>
      <c r="FO567" s="22"/>
      <c r="FZ567" s="23"/>
      <c r="GA567" s="23"/>
      <c r="JD567" s="26"/>
      <c r="JE567" s="26"/>
      <c r="JF567" s="27"/>
      <c r="JG567" s="27"/>
      <c r="KL567" s="28"/>
      <c r="KP567" s="28"/>
      <c r="KT567" s="28"/>
      <c r="KX567" s="28"/>
      <c r="LB567" s="28"/>
      <c r="LF567" s="28"/>
      <c r="LJ567" s="28"/>
    </row>
    <row r="568" spans="1:322" ht="13.2">
      <c r="A568" s="42"/>
      <c r="B568" s="42"/>
      <c r="C568" s="42"/>
      <c r="D568" s="52"/>
      <c r="E568" s="52"/>
      <c r="O568" s="43"/>
      <c r="AL568" s="44"/>
      <c r="AM568" s="44"/>
      <c r="AN568" s="44"/>
      <c r="AO568" s="44"/>
      <c r="AP568" s="44"/>
      <c r="AQ568" s="44"/>
      <c r="AR568" s="44"/>
      <c r="AS568" s="44"/>
      <c r="AT568" s="45"/>
      <c r="AY568" s="45"/>
      <c r="BH568" s="45"/>
      <c r="BK568" s="45"/>
      <c r="BT568" s="45"/>
      <c r="BU568" s="45"/>
      <c r="CK568" s="10"/>
      <c r="EF568" s="20"/>
      <c r="FD568" s="21"/>
      <c r="FE568" s="21"/>
      <c r="FN568" s="22"/>
      <c r="FO568" s="22"/>
      <c r="FZ568" s="23"/>
      <c r="GA568" s="23"/>
      <c r="JD568" s="26"/>
      <c r="JE568" s="26"/>
      <c r="JF568" s="27"/>
      <c r="JG568" s="27"/>
      <c r="KL568" s="28"/>
      <c r="KP568" s="28"/>
      <c r="KT568" s="28"/>
      <c r="KX568" s="28"/>
      <c r="LB568" s="28"/>
      <c r="LF568" s="28"/>
      <c r="LJ568" s="28"/>
    </row>
    <row r="569" spans="1:322" ht="13.2">
      <c r="A569" s="42"/>
      <c r="B569" s="42"/>
      <c r="C569" s="42"/>
      <c r="D569" s="52"/>
      <c r="E569" s="52"/>
      <c r="O569" s="43"/>
      <c r="AL569" s="44"/>
      <c r="AM569" s="44"/>
      <c r="AN569" s="44"/>
      <c r="AO569" s="44"/>
      <c r="AP569" s="44"/>
      <c r="AQ569" s="44"/>
      <c r="AR569" s="44"/>
      <c r="AS569" s="44"/>
      <c r="AT569" s="45"/>
      <c r="AY569" s="45"/>
      <c r="BH569" s="45"/>
      <c r="BK569" s="45"/>
      <c r="BT569" s="45"/>
      <c r="BU569" s="45"/>
      <c r="CK569" s="10"/>
      <c r="EF569" s="20"/>
      <c r="FD569" s="21"/>
      <c r="FE569" s="21"/>
      <c r="FN569" s="22"/>
      <c r="FO569" s="22"/>
      <c r="FZ569" s="23"/>
      <c r="GA569" s="23"/>
      <c r="JD569" s="26"/>
      <c r="JE569" s="26"/>
      <c r="JF569" s="27"/>
      <c r="JG569" s="27"/>
      <c r="KL569" s="28"/>
      <c r="KP569" s="28"/>
      <c r="KT569" s="28"/>
      <c r="KX569" s="28"/>
      <c r="LB569" s="28"/>
      <c r="LF569" s="28"/>
      <c r="LJ569" s="28"/>
    </row>
    <row r="570" spans="1:322" ht="13.2">
      <c r="A570" s="42"/>
      <c r="B570" s="42"/>
      <c r="C570" s="42"/>
      <c r="D570" s="52"/>
      <c r="E570" s="52"/>
      <c r="O570" s="43"/>
      <c r="AL570" s="44"/>
      <c r="AM570" s="44"/>
      <c r="AN570" s="44"/>
      <c r="AO570" s="44"/>
      <c r="AP570" s="44"/>
      <c r="AQ570" s="44"/>
      <c r="AR570" s="44"/>
      <c r="AS570" s="44"/>
      <c r="AT570" s="45"/>
      <c r="AY570" s="45"/>
      <c r="BH570" s="45"/>
      <c r="BK570" s="45"/>
      <c r="BT570" s="45"/>
      <c r="BU570" s="45"/>
      <c r="CK570" s="10"/>
      <c r="EF570" s="20"/>
      <c r="FD570" s="21"/>
      <c r="FE570" s="21"/>
      <c r="FN570" s="22"/>
      <c r="FO570" s="22"/>
      <c r="FZ570" s="23"/>
      <c r="GA570" s="23"/>
      <c r="JD570" s="26"/>
      <c r="JE570" s="26"/>
      <c r="JF570" s="27"/>
      <c r="JG570" s="27"/>
      <c r="KL570" s="28"/>
      <c r="KP570" s="28"/>
      <c r="KT570" s="28"/>
      <c r="KX570" s="28"/>
      <c r="LB570" s="28"/>
      <c r="LF570" s="28"/>
      <c r="LJ570" s="28"/>
    </row>
    <row r="571" spans="1:322" ht="13.2">
      <c r="A571" s="42"/>
      <c r="B571" s="42"/>
      <c r="C571" s="42"/>
      <c r="D571" s="52"/>
      <c r="E571" s="52"/>
      <c r="O571" s="43"/>
      <c r="AL571" s="44"/>
      <c r="AM571" s="44"/>
      <c r="AN571" s="44"/>
      <c r="AO571" s="44"/>
      <c r="AP571" s="44"/>
      <c r="AQ571" s="44"/>
      <c r="AR571" s="44"/>
      <c r="AS571" s="44"/>
      <c r="AT571" s="45"/>
      <c r="AY571" s="45"/>
      <c r="BH571" s="45"/>
      <c r="BK571" s="45"/>
      <c r="BT571" s="45"/>
      <c r="BU571" s="45"/>
      <c r="CK571" s="10"/>
      <c r="EF571" s="20"/>
      <c r="FD571" s="21"/>
      <c r="FE571" s="21"/>
      <c r="FN571" s="22"/>
      <c r="FO571" s="22"/>
      <c r="FZ571" s="23"/>
      <c r="GA571" s="23"/>
      <c r="JD571" s="26"/>
      <c r="JE571" s="26"/>
      <c r="JF571" s="27"/>
      <c r="JG571" s="27"/>
      <c r="KL571" s="28"/>
      <c r="KP571" s="28"/>
      <c r="KT571" s="28"/>
      <c r="KX571" s="28"/>
      <c r="LB571" s="28"/>
      <c r="LF571" s="28"/>
      <c r="LJ571" s="28"/>
    </row>
    <row r="572" spans="1:322" ht="13.2">
      <c r="A572" s="42"/>
      <c r="B572" s="42"/>
      <c r="C572" s="42"/>
      <c r="D572" s="52"/>
      <c r="E572" s="52"/>
      <c r="O572" s="43"/>
      <c r="AL572" s="44"/>
      <c r="AM572" s="44"/>
      <c r="AN572" s="44"/>
      <c r="AO572" s="44"/>
      <c r="AP572" s="44"/>
      <c r="AQ572" s="44"/>
      <c r="AR572" s="44"/>
      <c r="AS572" s="44"/>
      <c r="AT572" s="45"/>
      <c r="AY572" s="45"/>
      <c r="BH572" s="45"/>
      <c r="BK572" s="45"/>
      <c r="BT572" s="45"/>
      <c r="BU572" s="45"/>
      <c r="CK572" s="10"/>
      <c r="EF572" s="20"/>
      <c r="FD572" s="21"/>
      <c r="FE572" s="21"/>
      <c r="FN572" s="22"/>
      <c r="FO572" s="22"/>
      <c r="FZ572" s="23"/>
      <c r="GA572" s="23"/>
      <c r="JD572" s="26"/>
      <c r="JE572" s="26"/>
      <c r="JF572" s="27"/>
      <c r="JG572" s="27"/>
      <c r="KL572" s="28"/>
      <c r="KP572" s="28"/>
      <c r="KT572" s="28"/>
      <c r="KX572" s="28"/>
      <c r="LB572" s="28"/>
      <c r="LF572" s="28"/>
      <c r="LJ572" s="28"/>
    </row>
    <row r="573" spans="1:322" ht="13.2">
      <c r="A573" s="42"/>
      <c r="B573" s="42"/>
      <c r="C573" s="42"/>
      <c r="D573" s="52"/>
      <c r="E573" s="52"/>
      <c r="O573" s="43"/>
      <c r="AL573" s="44"/>
      <c r="AM573" s="44"/>
      <c r="AN573" s="44"/>
      <c r="AO573" s="44"/>
      <c r="AP573" s="44"/>
      <c r="AQ573" s="44"/>
      <c r="AR573" s="44"/>
      <c r="AS573" s="44"/>
      <c r="AT573" s="45"/>
      <c r="AY573" s="45"/>
      <c r="BH573" s="45"/>
      <c r="BK573" s="45"/>
      <c r="BT573" s="45"/>
      <c r="BU573" s="45"/>
      <c r="CK573" s="10"/>
      <c r="EF573" s="20"/>
      <c r="FD573" s="21"/>
      <c r="FE573" s="21"/>
      <c r="FN573" s="22"/>
      <c r="FO573" s="22"/>
      <c r="FZ573" s="23"/>
      <c r="GA573" s="23"/>
      <c r="JD573" s="26"/>
      <c r="JE573" s="26"/>
      <c r="JF573" s="27"/>
      <c r="JG573" s="27"/>
      <c r="KL573" s="28"/>
      <c r="KP573" s="28"/>
      <c r="KT573" s="28"/>
      <c r="KX573" s="28"/>
      <c r="LB573" s="28"/>
      <c r="LF573" s="28"/>
      <c r="LJ573" s="28"/>
    </row>
    <row r="574" spans="1:322" ht="13.2">
      <c r="A574" s="42"/>
      <c r="B574" s="42"/>
      <c r="C574" s="42"/>
      <c r="D574" s="52"/>
      <c r="E574" s="52"/>
      <c r="O574" s="43"/>
      <c r="AL574" s="44"/>
      <c r="AM574" s="44"/>
      <c r="AN574" s="44"/>
      <c r="AO574" s="44"/>
      <c r="AP574" s="44"/>
      <c r="AQ574" s="44"/>
      <c r="AR574" s="44"/>
      <c r="AS574" s="44"/>
      <c r="AT574" s="45"/>
      <c r="AY574" s="45"/>
      <c r="BH574" s="45"/>
      <c r="BK574" s="45"/>
      <c r="BT574" s="45"/>
      <c r="BU574" s="45"/>
      <c r="CK574" s="10"/>
      <c r="EF574" s="20"/>
      <c r="FD574" s="21"/>
      <c r="FE574" s="21"/>
      <c r="FN574" s="22"/>
      <c r="FO574" s="22"/>
      <c r="FZ574" s="23"/>
      <c r="GA574" s="23"/>
      <c r="JD574" s="26"/>
      <c r="JE574" s="26"/>
      <c r="JF574" s="27"/>
      <c r="JG574" s="27"/>
      <c r="KL574" s="28"/>
      <c r="KP574" s="28"/>
      <c r="KT574" s="28"/>
      <c r="KX574" s="28"/>
      <c r="LB574" s="28"/>
      <c r="LF574" s="28"/>
      <c r="LJ574" s="28"/>
    </row>
    <row r="575" spans="1:322" ht="13.2">
      <c r="A575" s="42"/>
      <c r="B575" s="42"/>
      <c r="C575" s="42"/>
      <c r="D575" s="52"/>
      <c r="E575" s="52"/>
      <c r="O575" s="43"/>
      <c r="AL575" s="44"/>
      <c r="AM575" s="44"/>
      <c r="AN575" s="44"/>
      <c r="AO575" s="44"/>
      <c r="AP575" s="44"/>
      <c r="AQ575" s="44"/>
      <c r="AR575" s="44"/>
      <c r="AS575" s="44"/>
      <c r="AT575" s="45"/>
      <c r="AY575" s="45"/>
      <c r="BH575" s="45"/>
      <c r="BK575" s="45"/>
      <c r="BT575" s="45"/>
      <c r="BU575" s="45"/>
      <c r="CK575" s="10"/>
      <c r="EF575" s="20"/>
      <c r="FD575" s="21"/>
      <c r="FE575" s="21"/>
      <c r="FN575" s="22"/>
      <c r="FO575" s="22"/>
      <c r="FZ575" s="23"/>
      <c r="GA575" s="23"/>
      <c r="JD575" s="26"/>
      <c r="JE575" s="26"/>
      <c r="JF575" s="27"/>
      <c r="JG575" s="27"/>
      <c r="KL575" s="28"/>
      <c r="KP575" s="28"/>
      <c r="KT575" s="28"/>
      <c r="KX575" s="28"/>
      <c r="LB575" s="28"/>
      <c r="LF575" s="28"/>
      <c r="LJ575" s="28"/>
    </row>
    <row r="576" spans="1:322" ht="13.2">
      <c r="A576" s="42"/>
      <c r="B576" s="42"/>
      <c r="C576" s="42"/>
      <c r="D576" s="52"/>
      <c r="E576" s="52"/>
      <c r="O576" s="43"/>
      <c r="AL576" s="44"/>
      <c r="AM576" s="44"/>
      <c r="AN576" s="44"/>
      <c r="AO576" s="44"/>
      <c r="AP576" s="44"/>
      <c r="AQ576" s="44"/>
      <c r="AR576" s="44"/>
      <c r="AS576" s="44"/>
      <c r="AT576" s="45"/>
      <c r="AY576" s="45"/>
      <c r="BH576" s="45"/>
      <c r="BK576" s="45"/>
      <c r="BT576" s="45"/>
      <c r="BU576" s="45"/>
      <c r="CK576" s="10"/>
      <c r="EF576" s="20"/>
      <c r="FD576" s="21"/>
      <c r="FE576" s="21"/>
      <c r="FN576" s="22"/>
      <c r="FO576" s="22"/>
      <c r="FZ576" s="23"/>
      <c r="GA576" s="23"/>
      <c r="JD576" s="26"/>
      <c r="JE576" s="26"/>
      <c r="JF576" s="27"/>
      <c r="JG576" s="27"/>
      <c r="KL576" s="28"/>
      <c r="KP576" s="28"/>
      <c r="KT576" s="28"/>
      <c r="KX576" s="28"/>
      <c r="LB576" s="28"/>
      <c r="LF576" s="28"/>
      <c r="LJ576" s="28"/>
    </row>
    <row r="577" spans="1:322" ht="13.2">
      <c r="A577" s="42"/>
      <c r="B577" s="42"/>
      <c r="C577" s="42"/>
      <c r="D577" s="52"/>
      <c r="E577" s="52"/>
      <c r="O577" s="43"/>
      <c r="AL577" s="44"/>
      <c r="AM577" s="44"/>
      <c r="AN577" s="44"/>
      <c r="AO577" s="44"/>
      <c r="AP577" s="44"/>
      <c r="AQ577" s="44"/>
      <c r="AR577" s="44"/>
      <c r="AS577" s="44"/>
      <c r="AT577" s="45"/>
      <c r="AY577" s="45"/>
      <c r="BH577" s="45"/>
      <c r="BK577" s="45"/>
      <c r="BT577" s="45"/>
      <c r="BU577" s="45"/>
      <c r="CK577" s="10"/>
      <c r="EF577" s="20"/>
      <c r="FD577" s="21"/>
      <c r="FE577" s="21"/>
      <c r="FN577" s="22"/>
      <c r="FO577" s="22"/>
      <c r="FZ577" s="23"/>
      <c r="GA577" s="23"/>
      <c r="JD577" s="26"/>
      <c r="JE577" s="26"/>
      <c r="JF577" s="27"/>
      <c r="JG577" s="27"/>
      <c r="KL577" s="28"/>
      <c r="KP577" s="28"/>
      <c r="KT577" s="28"/>
      <c r="KX577" s="28"/>
      <c r="LB577" s="28"/>
      <c r="LF577" s="28"/>
      <c r="LJ577" s="28"/>
    </row>
    <row r="578" spans="1:322" ht="13.2">
      <c r="A578" s="42"/>
      <c r="B578" s="42"/>
      <c r="C578" s="42"/>
      <c r="D578" s="52"/>
      <c r="E578" s="52"/>
      <c r="O578" s="43"/>
      <c r="AL578" s="44"/>
      <c r="AM578" s="44"/>
      <c r="AN578" s="44"/>
      <c r="AO578" s="44"/>
      <c r="AP578" s="44"/>
      <c r="AQ578" s="44"/>
      <c r="AR578" s="44"/>
      <c r="AS578" s="44"/>
      <c r="AT578" s="45"/>
      <c r="AY578" s="45"/>
      <c r="BH578" s="45"/>
      <c r="BK578" s="45"/>
      <c r="BT578" s="45"/>
      <c r="BU578" s="45"/>
      <c r="CK578" s="10"/>
      <c r="EF578" s="20"/>
      <c r="FD578" s="21"/>
      <c r="FE578" s="21"/>
      <c r="FN578" s="22"/>
      <c r="FO578" s="22"/>
      <c r="FZ578" s="23"/>
      <c r="GA578" s="23"/>
      <c r="JD578" s="26"/>
      <c r="JE578" s="26"/>
      <c r="JF578" s="27"/>
      <c r="JG578" s="27"/>
      <c r="KL578" s="28"/>
      <c r="KP578" s="28"/>
      <c r="KT578" s="28"/>
      <c r="KX578" s="28"/>
      <c r="LB578" s="28"/>
      <c r="LF578" s="28"/>
      <c r="LJ578" s="28"/>
    </row>
    <row r="579" spans="1:322" ht="13.2">
      <c r="A579" s="42"/>
      <c r="B579" s="42"/>
      <c r="C579" s="42"/>
      <c r="D579" s="52"/>
      <c r="E579" s="52"/>
      <c r="O579" s="43"/>
      <c r="AL579" s="44"/>
      <c r="AM579" s="44"/>
      <c r="AN579" s="44"/>
      <c r="AO579" s="44"/>
      <c r="AP579" s="44"/>
      <c r="AQ579" s="44"/>
      <c r="AR579" s="44"/>
      <c r="AS579" s="44"/>
      <c r="AT579" s="45"/>
      <c r="AY579" s="45"/>
      <c r="BH579" s="45"/>
      <c r="BK579" s="45"/>
      <c r="BT579" s="45"/>
      <c r="BU579" s="45"/>
      <c r="CK579" s="10"/>
      <c r="EF579" s="20"/>
      <c r="FD579" s="21"/>
      <c r="FE579" s="21"/>
      <c r="FN579" s="22"/>
      <c r="FO579" s="22"/>
      <c r="FZ579" s="23"/>
      <c r="GA579" s="23"/>
      <c r="JD579" s="26"/>
      <c r="JE579" s="26"/>
      <c r="JF579" s="27"/>
      <c r="JG579" s="27"/>
      <c r="KL579" s="28"/>
      <c r="KP579" s="28"/>
      <c r="KT579" s="28"/>
      <c r="KX579" s="28"/>
      <c r="LB579" s="28"/>
      <c r="LF579" s="28"/>
      <c r="LJ579" s="28"/>
    </row>
    <row r="580" spans="1:322" ht="13.2">
      <c r="A580" s="42"/>
      <c r="B580" s="42"/>
      <c r="C580" s="42"/>
      <c r="D580" s="52"/>
      <c r="E580" s="52"/>
      <c r="O580" s="43"/>
      <c r="AL580" s="44"/>
      <c r="AM580" s="44"/>
      <c r="AN580" s="44"/>
      <c r="AO580" s="44"/>
      <c r="AP580" s="44"/>
      <c r="AQ580" s="44"/>
      <c r="AR580" s="44"/>
      <c r="AS580" s="44"/>
      <c r="AT580" s="45"/>
      <c r="AY580" s="45"/>
      <c r="BH580" s="45"/>
      <c r="BK580" s="45"/>
      <c r="BT580" s="45"/>
      <c r="BU580" s="45"/>
      <c r="CK580" s="10"/>
      <c r="EF580" s="20"/>
      <c r="FD580" s="21"/>
      <c r="FE580" s="21"/>
      <c r="FN580" s="22"/>
      <c r="FO580" s="22"/>
      <c r="FZ580" s="23"/>
      <c r="GA580" s="23"/>
      <c r="JD580" s="26"/>
      <c r="JE580" s="26"/>
      <c r="JF580" s="27"/>
      <c r="JG580" s="27"/>
      <c r="KL580" s="28"/>
      <c r="KP580" s="28"/>
      <c r="KT580" s="28"/>
      <c r="KX580" s="28"/>
      <c r="LB580" s="28"/>
      <c r="LF580" s="28"/>
      <c r="LJ580" s="28"/>
    </row>
    <row r="581" spans="1:322" ht="13.2">
      <c r="A581" s="42"/>
      <c r="B581" s="42"/>
      <c r="C581" s="42"/>
      <c r="D581" s="52"/>
      <c r="E581" s="52"/>
      <c r="O581" s="43"/>
      <c r="AL581" s="44"/>
      <c r="AM581" s="44"/>
      <c r="AN581" s="44"/>
      <c r="AO581" s="44"/>
      <c r="AP581" s="44"/>
      <c r="AQ581" s="44"/>
      <c r="AR581" s="44"/>
      <c r="AS581" s="44"/>
      <c r="AT581" s="45"/>
      <c r="AY581" s="45"/>
      <c r="BH581" s="45"/>
      <c r="BK581" s="45"/>
      <c r="BT581" s="45"/>
      <c r="BU581" s="45"/>
      <c r="CK581" s="10"/>
      <c r="EF581" s="20"/>
      <c r="FD581" s="21"/>
      <c r="FE581" s="21"/>
      <c r="FN581" s="22"/>
      <c r="FO581" s="22"/>
      <c r="FZ581" s="23"/>
      <c r="GA581" s="23"/>
      <c r="JD581" s="26"/>
      <c r="JE581" s="26"/>
      <c r="JF581" s="27"/>
      <c r="JG581" s="27"/>
      <c r="KL581" s="28"/>
      <c r="KP581" s="28"/>
      <c r="KT581" s="28"/>
      <c r="KX581" s="28"/>
      <c r="LB581" s="28"/>
      <c r="LF581" s="28"/>
      <c r="LJ581" s="28"/>
    </row>
    <row r="582" spans="1:322" ht="13.2">
      <c r="A582" s="42"/>
      <c r="B582" s="42"/>
      <c r="C582" s="42"/>
      <c r="D582" s="52"/>
      <c r="E582" s="52"/>
      <c r="O582" s="43"/>
      <c r="AL582" s="44"/>
      <c r="AM582" s="44"/>
      <c r="AN582" s="44"/>
      <c r="AO582" s="44"/>
      <c r="AP582" s="44"/>
      <c r="AQ582" s="44"/>
      <c r="AR582" s="44"/>
      <c r="AS582" s="44"/>
      <c r="AT582" s="45"/>
      <c r="AY582" s="45"/>
      <c r="BH582" s="45"/>
      <c r="BK582" s="45"/>
      <c r="BT582" s="45"/>
      <c r="BU582" s="45"/>
      <c r="CK582" s="10"/>
      <c r="EF582" s="20"/>
      <c r="FD582" s="21"/>
      <c r="FE582" s="21"/>
      <c r="FN582" s="22"/>
      <c r="FO582" s="22"/>
      <c r="FZ582" s="23"/>
      <c r="GA582" s="23"/>
      <c r="JD582" s="26"/>
      <c r="JE582" s="26"/>
      <c r="JF582" s="27"/>
      <c r="JG582" s="27"/>
      <c r="KL582" s="28"/>
      <c r="KP582" s="28"/>
      <c r="KT582" s="28"/>
      <c r="KX582" s="28"/>
      <c r="LB582" s="28"/>
      <c r="LF582" s="28"/>
      <c r="LJ582" s="28"/>
    </row>
    <row r="583" spans="1:322" ht="13.2">
      <c r="A583" s="42"/>
      <c r="B583" s="42"/>
      <c r="C583" s="42"/>
      <c r="D583" s="52"/>
      <c r="E583" s="52"/>
      <c r="O583" s="43"/>
      <c r="AL583" s="44"/>
      <c r="AM583" s="44"/>
      <c r="AN583" s="44"/>
      <c r="AO583" s="44"/>
      <c r="AP583" s="44"/>
      <c r="AQ583" s="44"/>
      <c r="AR583" s="44"/>
      <c r="AS583" s="44"/>
      <c r="AT583" s="45"/>
      <c r="AY583" s="45"/>
      <c r="BH583" s="45"/>
      <c r="BK583" s="45"/>
      <c r="BT583" s="45"/>
      <c r="BU583" s="45"/>
      <c r="CK583" s="10"/>
      <c r="EF583" s="20"/>
      <c r="FD583" s="21"/>
      <c r="FE583" s="21"/>
      <c r="FN583" s="22"/>
      <c r="FO583" s="22"/>
      <c r="FZ583" s="23"/>
      <c r="GA583" s="23"/>
      <c r="JD583" s="26"/>
      <c r="JE583" s="26"/>
      <c r="JF583" s="27"/>
      <c r="JG583" s="27"/>
      <c r="KL583" s="28"/>
      <c r="KP583" s="28"/>
      <c r="KT583" s="28"/>
      <c r="KX583" s="28"/>
      <c r="LB583" s="28"/>
      <c r="LF583" s="28"/>
      <c r="LJ583" s="28"/>
    </row>
    <row r="584" spans="1:322" ht="13.2">
      <c r="A584" s="42"/>
      <c r="B584" s="42"/>
      <c r="C584" s="42"/>
      <c r="D584" s="52"/>
      <c r="E584" s="52"/>
      <c r="O584" s="43"/>
      <c r="AL584" s="44"/>
      <c r="AM584" s="44"/>
      <c r="AN584" s="44"/>
      <c r="AO584" s="44"/>
      <c r="AP584" s="44"/>
      <c r="AQ584" s="44"/>
      <c r="AR584" s="44"/>
      <c r="AS584" s="44"/>
      <c r="AT584" s="45"/>
      <c r="AY584" s="45"/>
      <c r="BH584" s="45"/>
      <c r="BK584" s="45"/>
      <c r="BT584" s="45"/>
      <c r="BU584" s="45"/>
      <c r="CK584" s="10"/>
      <c r="EF584" s="20"/>
      <c r="FD584" s="21"/>
      <c r="FE584" s="21"/>
      <c r="FN584" s="22"/>
      <c r="FO584" s="22"/>
      <c r="FZ584" s="23"/>
      <c r="GA584" s="23"/>
      <c r="JD584" s="26"/>
      <c r="JE584" s="26"/>
      <c r="JF584" s="27"/>
      <c r="JG584" s="27"/>
      <c r="KL584" s="28"/>
      <c r="KP584" s="28"/>
      <c r="KT584" s="28"/>
      <c r="KX584" s="28"/>
      <c r="LB584" s="28"/>
      <c r="LF584" s="28"/>
      <c r="LJ584" s="28"/>
    </row>
    <row r="585" spans="1:322" ht="13.2">
      <c r="A585" s="42"/>
      <c r="B585" s="42"/>
      <c r="C585" s="42"/>
      <c r="D585" s="52"/>
      <c r="E585" s="52"/>
      <c r="O585" s="43"/>
      <c r="AL585" s="44"/>
      <c r="AM585" s="44"/>
      <c r="AN585" s="44"/>
      <c r="AO585" s="44"/>
      <c r="AP585" s="44"/>
      <c r="AQ585" s="44"/>
      <c r="AR585" s="44"/>
      <c r="AS585" s="44"/>
      <c r="AT585" s="45"/>
      <c r="AY585" s="45"/>
      <c r="BH585" s="45"/>
      <c r="BK585" s="45"/>
      <c r="BT585" s="45"/>
      <c r="BU585" s="45"/>
      <c r="CK585" s="10"/>
      <c r="EF585" s="20"/>
      <c r="FD585" s="21"/>
      <c r="FE585" s="21"/>
      <c r="FN585" s="22"/>
      <c r="FO585" s="22"/>
      <c r="FZ585" s="23"/>
      <c r="GA585" s="23"/>
      <c r="JD585" s="26"/>
      <c r="JE585" s="26"/>
      <c r="JF585" s="27"/>
      <c r="JG585" s="27"/>
      <c r="KL585" s="28"/>
      <c r="KP585" s="28"/>
      <c r="KT585" s="28"/>
      <c r="KX585" s="28"/>
      <c r="LB585" s="28"/>
      <c r="LF585" s="28"/>
      <c r="LJ585" s="28"/>
    </row>
    <row r="586" spans="1:322" ht="13.2">
      <c r="A586" s="42"/>
      <c r="B586" s="42"/>
      <c r="C586" s="42"/>
      <c r="D586" s="52"/>
      <c r="E586" s="52"/>
      <c r="O586" s="43"/>
      <c r="AL586" s="44"/>
      <c r="AM586" s="44"/>
      <c r="AN586" s="44"/>
      <c r="AO586" s="44"/>
      <c r="AP586" s="44"/>
      <c r="AQ586" s="44"/>
      <c r="AR586" s="44"/>
      <c r="AS586" s="44"/>
      <c r="AT586" s="45"/>
      <c r="AY586" s="45"/>
      <c r="BH586" s="45"/>
      <c r="BK586" s="45"/>
      <c r="BT586" s="45"/>
      <c r="BU586" s="45"/>
      <c r="CK586" s="10"/>
      <c r="EF586" s="20"/>
      <c r="FD586" s="21"/>
      <c r="FE586" s="21"/>
      <c r="FN586" s="22"/>
      <c r="FO586" s="22"/>
      <c r="FZ586" s="23"/>
      <c r="GA586" s="23"/>
      <c r="JD586" s="26"/>
      <c r="JE586" s="26"/>
      <c r="JF586" s="27"/>
      <c r="JG586" s="27"/>
      <c r="KL586" s="28"/>
      <c r="KP586" s="28"/>
      <c r="KT586" s="28"/>
      <c r="KX586" s="28"/>
      <c r="LB586" s="28"/>
      <c r="LF586" s="28"/>
      <c r="LJ586" s="28"/>
    </row>
    <row r="587" spans="1:322" ht="13.2">
      <c r="A587" s="42"/>
      <c r="B587" s="42"/>
      <c r="C587" s="42"/>
      <c r="D587" s="52"/>
      <c r="E587" s="52"/>
      <c r="O587" s="43"/>
      <c r="AL587" s="44"/>
      <c r="AM587" s="44"/>
      <c r="AN587" s="44"/>
      <c r="AO587" s="44"/>
      <c r="AP587" s="44"/>
      <c r="AQ587" s="44"/>
      <c r="AR587" s="44"/>
      <c r="AS587" s="44"/>
      <c r="AT587" s="45"/>
      <c r="AY587" s="45"/>
      <c r="BH587" s="45"/>
      <c r="BK587" s="45"/>
      <c r="BT587" s="45"/>
      <c r="BU587" s="45"/>
      <c r="CK587" s="10"/>
      <c r="EF587" s="20"/>
      <c r="FD587" s="21"/>
      <c r="FE587" s="21"/>
      <c r="FN587" s="22"/>
      <c r="FO587" s="22"/>
      <c r="FZ587" s="23"/>
      <c r="GA587" s="23"/>
      <c r="JD587" s="26"/>
      <c r="JE587" s="26"/>
      <c r="JF587" s="27"/>
      <c r="JG587" s="27"/>
      <c r="KL587" s="28"/>
      <c r="KP587" s="28"/>
      <c r="KT587" s="28"/>
      <c r="KX587" s="28"/>
      <c r="LB587" s="28"/>
      <c r="LF587" s="28"/>
      <c r="LJ587" s="28"/>
    </row>
    <row r="588" spans="1:322" ht="13.2">
      <c r="A588" s="42"/>
      <c r="B588" s="42"/>
      <c r="C588" s="42"/>
      <c r="D588" s="52"/>
      <c r="E588" s="52"/>
      <c r="O588" s="43"/>
      <c r="AL588" s="44"/>
      <c r="AM588" s="44"/>
      <c r="AN588" s="44"/>
      <c r="AO588" s="44"/>
      <c r="AP588" s="44"/>
      <c r="AQ588" s="44"/>
      <c r="AR588" s="44"/>
      <c r="AS588" s="44"/>
      <c r="AT588" s="45"/>
      <c r="AY588" s="45"/>
      <c r="BH588" s="45"/>
      <c r="BK588" s="45"/>
      <c r="BT588" s="45"/>
      <c r="BU588" s="45"/>
      <c r="CK588" s="10"/>
      <c r="EF588" s="20"/>
      <c r="FD588" s="21"/>
      <c r="FE588" s="21"/>
      <c r="FN588" s="22"/>
      <c r="FO588" s="22"/>
      <c r="FZ588" s="23"/>
      <c r="GA588" s="23"/>
      <c r="JD588" s="26"/>
      <c r="JE588" s="26"/>
      <c r="JF588" s="27"/>
      <c r="JG588" s="27"/>
      <c r="KL588" s="28"/>
      <c r="KP588" s="28"/>
      <c r="KT588" s="28"/>
      <c r="KX588" s="28"/>
      <c r="LB588" s="28"/>
      <c r="LF588" s="28"/>
      <c r="LJ588" s="28"/>
    </row>
    <row r="589" spans="1:322" ht="13.2">
      <c r="A589" s="42"/>
      <c r="B589" s="42"/>
      <c r="C589" s="42"/>
      <c r="D589" s="52"/>
      <c r="E589" s="52"/>
      <c r="O589" s="43"/>
      <c r="AL589" s="44"/>
      <c r="AM589" s="44"/>
      <c r="AN589" s="44"/>
      <c r="AO589" s="44"/>
      <c r="AP589" s="44"/>
      <c r="AQ589" s="44"/>
      <c r="AR589" s="44"/>
      <c r="AS589" s="44"/>
      <c r="AT589" s="45"/>
      <c r="AY589" s="45"/>
      <c r="BH589" s="45"/>
      <c r="BK589" s="45"/>
      <c r="BT589" s="45"/>
      <c r="BU589" s="45"/>
      <c r="CK589" s="10"/>
      <c r="EF589" s="20"/>
      <c r="FD589" s="21"/>
      <c r="FE589" s="21"/>
      <c r="FN589" s="22"/>
      <c r="FO589" s="22"/>
      <c r="FZ589" s="23"/>
      <c r="GA589" s="23"/>
      <c r="JD589" s="26"/>
      <c r="JE589" s="26"/>
      <c r="JF589" s="27"/>
      <c r="JG589" s="27"/>
      <c r="KL589" s="28"/>
      <c r="KP589" s="28"/>
      <c r="KT589" s="28"/>
      <c r="KX589" s="28"/>
      <c r="LB589" s="28"/>
      <c r="LF589" s="28"/>
      <c r="LJ589" s="28"/>
    </row>
    <row r="590" spans="1:322" ht="13.2">
      <c r="A590" s="42"/>
      <c r="B590" s="42"/>
      <c r="C590" s="42"/>
      <c r="D590" s="52"/>
      <c r="E590" s="52"/>
      <c r="O590" s="43"/>
      <c r="AL590" s="44"/>
      <c r="AM590" s="44"/>
      <c r="AN590" s="44"/>
      <c r="AO590" s="44"/>
      <c r="AP590" s="44"/>
      <c r="AQ590" s="44"/>
      <c r="AR590" s="44"/>
      <c r="AS590" s="44"/>
      <c r="AT590" s="45"/>
      <c r="AY590" s="45"/>
      <c r="BH590" s="45"/>
      <c r="BK590" s="45"/>
      <c r="BT590" s="45"/>
      <c r="BU590" s="45"/>
      <c r="CK590" s="10"/>
      <c r="EF590" s="20"/>
      <c r="FD590" s="21"/>
      <c r="FE590" s="21"/>
      <c r="FN590" s="22"/>
      <c r="FO590" s="22"/>
      <c r="FZ590" s="23"/>
      <c r="GA590" s="23"/>
      <c r="JD590" s="26"/>
      <c r="JE590" s="26"/>
      <c r="JF590" s="27"/>
      <c r="JG590" s="27"/>
      <c r="KL590" s="28"/>
      <c r="KP590" s="28"/>
      <c r="KT590" s="28"/>
      <c r="KX590" s="28"/>
      <c r="LB590" s="28"/>
      <c r="LF590" s="28"/>
      <c r="LJ590" s="28"/>
    </row>
    <row r="591" spans="1:322" ht="13.2">
      <c r="A591" s="42"/>
      <c r="B591" s="42"/>
      <c r="C591" s="42"/>
      <c r="D591" s="52"/>
      <c r="E591" s="52"/>
      <c r="O591" s="43"/>
      <c r="AL591" s="44"/>
      <c r="AM591" s="44"/>
      <c r="AN591" s="44"/>
      <c r="AO591" s="44"/>
      <c r="AP591" s="44"/>
      <c r="AQ591" s="44"/>
      <c r="AR591" s="44"/>
      <c r="AS591" s="44"/>
      <c r="AT591" s="45"/>
      <c r="AY591" s="45"/>
      <c r="BH591" s="45"/>
      <c r="BK591" s="45"/>
      <c r="BT591" s="45"/>
      <c r="BU591" s="45"/>
      <c r="CK591" s="10"/>
      <c r="EF591" s="20"/>
      <c r="FD591" s="21"/>
      <c r="FE591" s="21"/>
      <c r="FN591" s="22"/>
      <c r="FO591" s="22"/>
      <c r="FZ591" s="23"/>
      <c r="GA591" s="23"/>
      <c r="JD591" s="26"/>
      <c r="JE591" s="26"/>
      <c r="JF591" s="27"/>
      <c r="JG591" s="27"/>
      <c r="KL591" s="28"/>
      <c r="KP591" s="28"/>
      <c r="KT591" s="28"/>
      <c r="KX591" s="28"/>
      <c r="LB591" s="28"/>
      <c r="LF591" s="28"/>
      <c r="LJ591" s="28"/>
    </row>
    <row r="592" spans="1:322" ht="13.2">
      <c r="A592" s="42"/>
      <c r="B592" s="42"/>
      <c r="C592" s="42"/>
      <c r="D592" s="52"/>
      <c r="E592" s="52"/>
      <c r="O592" s="43"/>
      <c r="AL592" s="44"/>
      <c r="AM592" s="44"/>
      <c r="AN592" s="44"/>
      <c r="AO592" s="44"/>
      <c r="AP592" s="44"/>
      <c r="AQ592" s="44"/>
      <c r="AR592" s="44"/>
      <c r="AS592" s="44"/>
      <c r="AT592" s="45"/>
      <c r="AY592" s="45"/>
      <c r="BH592" s="45"/>
      <c r="BK592" s="45"/>
      <c r="BT592" s="45"/>
      <c r="BU592" s="45"/>
      <c r="CK592" s="10"/>
      <c r="EF592" s="20"/>
      <c r="FD592" s="21"/>
      <c r="FE592" s="21"/>
      <c r="FN592" s="22"/>
      <c r="FO592" s="22"/>
      <c r="FZ592" s="23"/>
      <c r="GA592" s="23"/>
      <c r="JD592" s="26"/>
      <c r="JE592" s="26"/>
      <c r="JF592" s="27"/>
      <c r="JG592" s="27"/>
      <c r="KL592" s="28"/>
      <c r="KP592" s="28"/>
      <c r="KT592" s="28"/>
      <c r="KX592" s="28"/>
      <c r="LB592" s="28"/>
      <c r="LF592" s="28"/>
      <c r="LJ592" s="28"/>
    </row>
    <row r="593" spans="1:322" ht="13.2">
      <c r="A593" s="42"/>
      <c r="B593" s="42"/>
      <c r="C593" s="42"/>
      <c r="D593" s="52"/>
      <c r="E593" s="52"/>
      <c r="O593" s="43"/>
      <c r="AL593" s="44"/>
      <c r="AM593" s="44"/>
      <c r="AN593" s="44"/>
      <c r="AO593" s="44"/>
      <c r="AP593" s="44"/>
      <c r="AQ593" s="44"/>
      <c r="AR593" s="44"/>
      <c r="AS593" s="44"/>
      <c r="AT593" s="45"/>
      <c r="AY593" s="45"/>
      <c r="BH593" s="45"/>
      <c r="BK593" s="45"/>
      <c r="BT593" s="45"/>
      <c r="BU593" s="45"/>
      <c r="CK593" s="10"/>
      <c r="EF593" s="20"/>
      <c r="FD593" s="21"/>
      <c r="FE593" s="21"/>
      <c r="FN593" s="22"/>
      <c r="FO593" s="22"/>
      <c r="FZ593" s="23"/>
      <c r="GA593" s="23"/>
      <c r="JD593" s="26"/>
      <c r="JE593" s="26"/>
      <c r="JF593" s="27"/>
      <c r="JG593" s="27"/>
      <c r="KL593" s="28"/>
      <c r="KP593" s="28"/>
      <c r="KT593" s="28"/>
      <c r="KX593" s="28"/>
      <c r="LB593" s="28"/>
      <c r="LF593" s="28"/>
      <c r="LJ593" s="28"/>
    </row>
    <row r="594" spans="1:322" ht="13.2">
      <c r="A594" s="42"/>
      <c r="B594" s="42"/>
      <c r="C594" s="42"/>
      <c r="D594" s="52"/>
      <c r="E594" s="52"/>
      <c r="O594" s="43"/>
      <c r="AL594" s="44"/>
      <c r="AM594" s="44"/>
      <c r="AN594" s="44"/>
      <c r="AO594" s="44"/>
      <c r="AP594" s="44"/>
      <c r="AQ594" s="44"/>
      <c r="AR594" s="44"/>
      <c r="AS594" s="44"/>
      <c r="AT594" s="45"/>
      <c r="AY594" s="45"/>
      <c r="BH594" s="45"/>
      <c r="BK594" s="45"/>
      <c r="BT594" s="45"/>
      <c r="BU594" s="45"/>
      <c r="CK594" s="10"/>
      <c r="EF594" s="20"/>
      <c r="FD594" s="21"/>
      <c r="FE594" s="21"/>
      <c r="FN594" s="22"/>
      <c r="FO594" s="22"/>
      <c r="FZ594" s="23"/>
      <c r="GA594" s="23"/>
      <c r="JD594" s="26"/>
      <c r="JE594" s="26"/>
      <c r="JF594" s="27"/>
      <c r="JG594" s="27"/>
      <c r="KL594" s="28"/>
      <c r="KP594" s="28"/>
      <c r="KT594" s="28"/>
      <c r="KX594" s="28"/>
      <c r="LB594" s="28"/>
      <c r="LF594" s="28"/>
      <c r="LJ594" s="28"/>
    </row>
    <row r="595" spans="1:322" ht="13.2">
      <c r="A595" s="42"/>
      <c r="B595" s="42"/>
      <c r="C595" s="42"/>
      <c r="D595" s="52"/>
      <c r="E595" s="52"/>
      <c r="O595" s="43"/>
      <c r="AL595" s="44"/>
      <c r="AM595" s="44"/>
      <c r="AN595" s="44"/>
      <c r="AO595" s="44"/>
      <c r="AP595" s="44"/>
      <c r="AQ595" s="44"/>
      <c r="AR595" s="44"/>
      <c r="AS595" s="44"/>
      <c r="AT595" s="45"/>
      <c r="AY595" s="45"/>
      <c r="BH595" s="45"/>
      <c r="BK595" s="45"/>
      <c r="BT595" s="45"/>
      <c r="BU595" s="45"/>
      <c r="CK595" s="10"/>
      <c r="EF595" s="20"/>
      <c r="FD595" s="21"/>
      <c r="FE595" s="21"/>
      <c r="FN595" s="22"/>
      <c r="FO595" s="22"/>
      <c r="FZ595" s="23"/>
      <c r="GA595" s="23"/>
      <c r="JD595" s="26"/>
      <c r="JE595" s="26"/>
      <c r="JF595" s="27"/>
      <c r="JG595" s="27"/>
      <c r="KL595" s="28"/>
      <c r="KP595" s="28"/>
      <c r="KT595" s="28"/>
      <c r="KX595" s="28"/>
      <c r="LB595" s="28"/>
      <c r="LF595" s="28"/>
      <c r="LJ595" s="28"/>
    </row>
    <row r="596" spans="1:322" ht="13.2">
      <c r="A596" s="42"/>
      <c r="B596" s="42"/>
      <c r="C596" s="42"/>
      <c r="D596" s="52"/>
      <c r="E596" s="52"/>
      <c r="O596" s="43"/>
      <c r="AL596" s="44"/>
      <c r="AM596" s="44"/>
      <c r="AN596" s="44"/>
      <c r="AO596" s="44"/>
      <c r="AP596" s="44"/>
      <c r="AQ596" s="44"/>
      <c r="AR596" s="44"/>
      <c r="AS596" s="44"/>
      <c r="AT596" s="45"/>
      <c r="AY596" s="45"/>
      <c r="BH596" s="45"/>
      <c r="BK596" s="45"/>
      <c r="BT596" s="45"/>
      <c r="BU596" s="45"/>
      <c r="CK596" s="10"/>
      <c r="EF596" s="20"/>
      <c r="FD596" s="21"/>
      <c r="FE596" s="21"/>
      <c r="FN596" s="22"/>
      <c r="FO596" s="22"/>
      <c r="FZ596" s="23"/>
      <c r="GA596" s="23"/>
      <c r="JD596" s="26"/>
      <c r="JE596" s="26"/>
      <c r="JF596" s="27"/>
      <c r="JG596" s="27"/>
      <c r="KL596" s="28"/>
      <c r="KP596" s="28"/>
      <c r="KT596" s="28"/>
      <c r="KX596" s="28"/>
      <c r="LB596" s="28"/>
      <c r="LF596" s="28"/>
      <c r="LJ596" s="28"/>
    </row>
    <row r="597" spans="1:322" ht="13.2">
      <c r="A597" s="42"/>
      <c r="B597" s="42"/>
      <c r="C597" s="42"/>
      <c r="D597" s="52"/>
      <c r="E597" s="52"/>
      <c r="O597" s="43"/>
      <c r="AL597" s="44"/>
      <c r="AM597" s="44"/>
      <c r="AN597" s="44"/>
      <c r="AO597" s="44"/>
      <c r="AP597" s="44"/>
      <c r="AQ597" s="44"/>
      <c r="AR597" s="44"/>
      <c r="AS597" s="44"/>
      <c r="AT597" s="45"/>
      <c r="AY597" s="45"/>
      <c r="BH597" s="45"/>
      <c r="BK597" s="45"/>
      <c r="BT597" s="45"/>
      <c r="BU597" s="45"/>
      <c r="CK597" s="10"/>
      <c r="EF597" s="20"/>
      <c r="FD597" s="21"/>
      <c r="FE597" s="21"/>
      <c r="FN597" s="22"/>
      <c r="FO597" s="22"/>
      <c r="FZ597" s="23"/>
      <c r="GA597" s="23"/>
      <c r="JD597" s="26"/>
      <c r="JE597" s="26"/>
      <c r="JF597" s="27"/>
      <c r="JG597" s="27"/>
      <c r="KL597" s="28"/>
      <c r="KP597" s="28"/>
      <c r="KT597" s="28"/>
      <c r="KX597" s="28"/>
      <c r="LB597" s="28"/>
      <c r="LF597" s="28"/>
      <c r="LJ597" s="28"/>
    </row>
    <row r="598" spans="1:322" ht="13.2">
      <c r="A598" s="42"/>
      <c r="B598" s="42"/>
      <c r="C598" s="42"/>
      <c r="D598" s="52"/>
      <c r="E598" s="52"/>
      <c r="O598" s="43"/>
      <c r="AL598" s="44"/>
      <c r="AM598" s="44"/>
      <c r="AN598" s="44"/>
      <c r="AO598" s="44"/>
      <c r="AP598" s="44"/>
      <c r="AQ598" s="44"/>
      <c r="AR598" s="44"/>
      <c r="AS598" s="44"/>
      <c r="AT598" s="45"/>
      <c r="AY598" s="45"/>
      <c r="BH598" s="45"/>
      <c r="BK598" s="45"/>
      <c r="BT598" s="45"/>
      <c r="BU598" s="45"/>
      <c r="CK598" s="10"/>
      <c r="EF598" s="20"/>
      <c r="FD598" s="21"/>
      <c r="FE598" s="21"/>
      <c r="FN598" s="22"/>
      <c r="FO598" s="22"/>
      <c r="FZ598" s="23"/>
      <c r="GA598" s="23"/>
      <c r="JD598" s="26"/>
      <c r="JE598" s="26"/>
      <c r="JF598" s="27"/>
      <c r="JG598" s="27"/>
      <c r="KL598" s="28"/>
      <c r="KP598" s="28"/>
      <c r="KT598" s="28"/>
      <c r="KX598" s="28"/>
      <c r="LB598" s="28"/>
      <c r="LF598" s="28"/>
      <c r="LJ598" s="28"/>
    </row>
    <row r="599" spans="1:322" ht="13.2">
      <c r="A599" s="42"/>
      <c r="B599" s="42"/>
      <c r="C599" s="42"/>
      <c r="D599" s="52"/>
      <c r="E599" s="52"/>
      <c r="O599" s="43"/>
      <c r="AL599" s="44"/>
      <c r="AM599" s="44"/>
      <c r="AN599" s="44"/>
      <c r="AO599" s="44"/>
      <c r="AP599" s="44"/>
      <c r="AQ599" s="44"/>
      <c r="AR599" s="44"/>
      <c r="AS599" s="44"/>
      <c r="AT599" s="45"/>
      <c r="AY599" s="45"/>
      <c r="BH599" s="45"/>
      <c r="BK599" s="45"/>
      <c r="BT599" s="45"/>
      <c r="BU599" s="45"/>
      <c r="CK599" s="10"/>
      <c r="EF599" s="20"/>
      <c r="FD599" s="21"/>
      <c r="FE599" s="21"/>
      <c r="FN599" s="22"/>
      <c r="FO599" s="22"/>
      <c r="FZ599" s="23"/>
      <c r="GA599" s="23"/>
      <c r="JD599" s="26"/>
      <c r="JE599" s="26"/>
      <c r="JF599" s="27"/>
      <c r="JG599" s="27"/>
      <c r="KL599" s="28"/>
      <c r="KP599" s="28"/>
      <c r="KT599" s="28"/>
      <c r="KX599" s="28"/>
      <c r="LB599" s="28"/>
      <c r="LF599" s="28"/>
      <c r="LJ599" s="28"/>
    </row>
    <row r="600" spans="1:322" ht="13.2">
      <c r="A600" s="42"/>
      <c r="B600" s="42"/>
      <c r="C600" s="42"/>
      <c r="D600" s="52"/>
      <c r="E600" s="52"/>
      <c r="O600" s="43"/>
      <c r="AL600" s="44"/>
      <c r="AM600" s="44"/>
      <c r="AN600" s="44"/>
      <c r="AO600" s="44"/>
      <c r="AP600" s="44"/>
      <c r="AQ600" s="44"/>
      <c r="AR600" s="44"/>
      <c r="AS600" s="44"/>
      <c r="AT600" s="45"/>
      <c r="AY600" s="45"/>
      <c r="BH600" s="45"/>
      <c r="BK600" s="45"/>
      <c r="BT600" s="45"/>
      <c r="BU600" s="45"/>
      <c r="CK600" s="10"/>
      <c r="EF600" s="20"/>
      <c r="FD600" s="21"/>
      <c r="FE600" s="21"/>
      <c r="FN600" s="22"/>
      <c r="FO600" s="22"/>
      <c r="FZ600" s="23"/>
      <c r="GA600" s="23"/>
      <c r="JD600" s="26"/>
      <c r="JE600" s="26"/>
      <c r="JF600" s="27"/>
      <c r="JG600" s="27"/>
      <c r="KL600" s="28"/>
      <c r="KP600" s="28"/>
      <c r="KT600" s="28"/>
      <c r="KX600" s="28"/>
      <c r="LB600" s="28"/>
      <c r="LF600" s="28"/>
      <c r="LJ600" s="28"/>
    </row>
    <row r="601" spans="1:322" ht="13.2">
      <c r="A601" s="42"/>
      <c r="B601" s="42"/>
      <c r="C601" s="42"/>
      <c r="D601" s="52"/>
      <c r="E601" s="52"/>
      <c r="O601" s="43"/>
      <c r="AL601" s="44"/>
      <c r="AM601" s="44"/>
      <c r="AN601" s="44"/>
      <c r="AO601" s="44"/>
      <c r="AP601" s="44"/>
      <c r="AQ601" s="44"/>
      <c r="AR601" s="44"/>
      <c r="AS601" s="44"/>
      <c r="AT601" s="45"/>
      <c r="AY601" s="45"/>
      <c r="BH601" s="45"/>
      <c r="BK601" s="45"/>
      <c r="BT601" s="45"/>
      <c r="BU601" s="45"/>
      <c r="CK601" s="10"/>
      <c r="EF601" s="20"/>
      <c r="FD601" s="21"/>
      <c r="FE601" s="21"/>
      <c r="FN601" s="22"/>
      <c r="FO601" s="22"/>
      <c r="FZ601" s="23"/>
      <c r="GA601" s="23"/>
      <c r="JD601" s="26"/>
      <c r="JE601" s="26"/>
      <c r="JF601" s="27"/>
      <c r="JG601" s="27"/>
      <c r="KL601" s="28"/>
      <c r="KP601" s="28"/>
      <c r="KT601" s="28"/>
      <c r="KX601" s="28"/>
      <c r="LB601" s="28"/>
      <c r="LF601" s="28"/>
      <c r="LJ601" s="28"/>
    </row>
    <row r="602" spans="1:322" ht="13.2">
      <c r="A602" s="42"/>
      <c r="B602" s="42"/>
      <c r="C602" s="42"/>
      <c r="D602" s="52"/>
      <c r="E602" s="52"/>
      <c r="O602" s="43"/>
      <c r="AL602" s="44"/>
      <c r="AM602" s="44"/>
      <c r="AN602" s="44"/>
      <c r="AO602" s="44"/>
      <c r="AP602" s="44"/>
      <c r="AQ602" s="44"/>
      <c r="AR602" s="44"/>
      <c r="AS602" s="44"/>
      <c r="AT602" s="45"/>
      <c r="AY602" s="45"/>
      <c r="BH602" s="45"/>
      <c r="BK602" s="45"/>
      <c r="BT602" s="45"/>
      <c r="BU602" s="45"/>
      <c r="CK602" s="10"/>
      <c r="EF602" s="20"/>
      <c r="FD602" s="21"/>
      <c r="FE602" s="21"/>
      <c r="FN602" s="22"/>
      <c r="FO602" s="22"/>
      <c r="FZ602" s="23"/>
      <c r="GA602" s="23"/>
      <c r="JD602" s="26"/>
      <c r="JE602" s="26"/>
      <c r="JF602" s="27"/>
      <c r="JG602" s="27"/>
      <c r="KL602" s="28"/>
      <c r="KP602" s="28"/>
      <c r="KT602" s="28"/>
      <c r="KX602" s="28"/>
      <c r="LB602" s="28"/>
      <c r="LF602" s="28"/>
      <c r="LJ602" s="28"/>
    </row>
    <row r="603" spans="1:322" ht="13.2">
      <c r="A603" s="42"/>
      <c r="B603" s="42"/>
      <c r="C603" s="42"/>
      <c r="D603" s="52"/>
      <c r="E603" s="52"/>
      <c r="O603" s="43"/>
      <c r="AL603" s="44"/>
      <c r="AM603" s="44"/>
      <c r="AN603" s="44"/>
      <c r="AO603" s="44"/>
      <c r="AP603" s="44"/>
      <c r="AQ603" s="44"/>
      <c r="AR603" s="44"/>
      <c r="AS603" s="44"/>
      <c r="AT603" s="45"/>
      <c r="AY603" s="45"/>
      <c r="BH603" s="45"/>
      <c r="BK603" s="45"/>
      <c r="BT603" s="45"/>
      <c r="BU603" s="45"/>
      <c r="CK603" s="10"/>
      <c r="EF603" s="20"/>
      <c r="FD603" s="21"/>
      <c r="FE603" s="21"/>
      <c r="FN603" s="22"/>
      <c r="FO603" s="22"/>
      <c r="FZ603" s="23"/>
      <c r="GA603" s="23"/>
      <c r="JD603" s="26"/>
      <c r="JE603" s="26"/>
      <c r="JF603" s="27"/>
      <c r="JG603" s="27"/>
      <c r="KL603" s="28"/>
      <c r="KP603" s="28"/>
      <c r="KT603" s="28"/>
      <c r="KX603" s="28"/>
      <c r="LB603" s="28"/>
      <c r="LF603" s="28"/>
      <c r="LJ603" s="28"/>
    </row>
    <row r="604" spans="1:322" ht="13.2">
      <c r="A604" s="42"/>
      <c r="B604" s="42"/>
      <c r="C604" s="42"/>
      <c r="D604" s="52"/>
      <c r="E604" s="52"/>
      <c r="O604" s="43"/>
      <c r="AL604" s="44"/>
      <c r="AM604" s="44"/>
      <c r="AN604" s="44"/>
      <c r="AO604" s="44"/>
      <c r="AP604" s="44"/>
      <c r="AQ604" s="44"/>
      <c r="AR604" s="44"/>
      <c r="AS604" s="44"/>
      <c r="AT604" s="45"/>
      <c r="AY604" s="45"/>
      <c r="BH604" s="45"/>
      <c r="BK604" s="45"/>
      <c r="BT604" s="45"/>
      <c r="BU604" s="45"/>
      <c r="CK604" s="10"/>
      <c r="EF604" s="20"/>
      <c r="FD604" s="21"/>
      <c r="FE604" s="21"/>
      <c r="FN604" s="22"/>
      <c r="FO604" s="22"/>
      <c r="FZ604" s="23"/>
      <c r="GA604" s="23"/>
      <c r="JD604" s="26"/>
      <c r="JE604" s="26"/>
      <c r="JF604" s="27"/>
      <c r="JG604" s="27"/>
      <c r="KL604" s="28"/>
      <c r="KP604" s="28"/>
      <c r="KT604" s="28"/>
      <c r="KX604" s="28"/>
      <c r="LB604" s="28"/>
      <c r="LF604" s="28"/>
      <c r="LJ604" s="28"/>
    </row>
    <row r="605" spans="1:322" ht="13.2">
      <c r="A605" s="42"/>
      <c r="B605" s="42"/>
      <c r="C605" s="42"/>
      <c r="D605" s="52"/>
      <c r="E605" s="52"/>
      <c r="O605" s="43"/>
      <c r="AL605" s="44"/>
      <c r="AM605" s="44"/>
      <c r="AN605" s="44"/>
      <c r="AO605" s="44"/>
      <c r="AP605" s="44"/>
      <c r="AQ605" s="44"/>
      <c r="AR605" s="44"/>
      <c r="AS605" s="44"/>
      <c r="AT605" s="45"/>
      <c r="AY605" s="45"/>
      <c r="BH605" s="45"/>
      <c r="BK605" s="45"/>
      <c r="BT605" s="45"/>
      <c r="BU605" s="45"/>
      <c r="CK605" s="10"/>
      <c r="EF605" s="20"/>
      <c r="FD605" s="21"/>
      <c r="FE605" s="21"/>
      <c r="FN605" s="22"/>
      <c r="FO605" s="22"/>
      <c r="FZ605" s="23"/>
      <c r="GA605" s="23"/>
      <c r="JD605" s="26"/>
      <c r="JE605" s="26"/>
      <c r="JF605" s="27"/>
      <c r="JG605" s="27"/>
      <c r="KL605" s="28"/>
      <c r="KP605" s="28"/>
      <c r="KT605" s="28"/>
      <c r="KX605" s="28"/>
      <c r="LB605" s="28"/>
      <c r="LF605" s="28"/>
      <c r="LJ605" s="28"/>
    </row>
    <row r="606" spans="1:322" ht="13.2">
      <c r="A606" s="42"/>
      <c r="B606" s="42"/>
      <c r="C606" s="42"/>
      <c r="D606" s="52"/>
      <c r="E606" s="52"/>
      <c r="O606" s="43"/>
      <c r="AL606" s="44"/>
      <c r="AM606" s="44"/>
      <c r="AN606" s="44"/>
      <c r="AO606" s="44"/>
      <c r="AP606" s="44"/>
      <c r="AQ606" s="44"/>
      <c r="AR606" s="44"/>
      <c r="AS606" s="44"/>
      <c r="AT606" s="45"/>
      <c r="AY606" s="45"/>
      <c r="BH606" s="45"/>
      <c r="BK606" s="45"/>
      <c r="BT606" s="45"/>
      <c r="BU606" s="45"/>
      <c r="CK606" s="10"/>
      <c r="EF606" s="20"/>
      <c r="FD606" s="21"/>
      <c r="FE606" s="21"/>
      <c r="FN606" s="22"/>
      <c r="FO606" s="22"/>
      <c r="FZ606" s="23"/>
      <c r="GA606" s="23"/>
      <c r="JD606" s="26"/>
      <c r="JE606" s="26"/>
      <c r="JF606" s="27"/>
      <c r="JG606" s="27"/>
      <c r="KL606" s="28"/>
      <c r="KP606" s="28"/>
      <c r="KT606" s="28"/>
      <c r="KX606" s="28"/>
      <c r="LB606" s="28"/>
      <c r="LF606" s="28"/>
      <c r="LJ606" s="28"/>
    </row>
    <row r="607" spans="1:322" ht="13.2">
      <c r="A607" s="42"/>
      <c r="B607" s="42"/>
      <c r="C607" s="42"/>
      <c r="D607" s="52"/>
      <c r="E607" s="52"/>
      <c r="O607" s="43"/>
      <c r="AL607" s="44"/>
      <c r="AM607" s="44"/>
      <c r="AN607" s="44"/>
      <c r="AO607" s="44"/>
      <c r="AP607" s="44"/>
      <c r="AQ607" s="44"/>
      <c r="AR607" s="44"/>
      <c r="AS607" s="44"/>
      <c r="AT607" s="45"/>
      <c r="AY607" s="45"/>
      <c r="BH607" s="45"/>
      <c r="BK607" s="45"/>
      <c r="BT607" s="45"/>
      <c r="BU607" s="45"/>
      <c r="CK607" s="10"/>
      <c r="EF607" s="20"/>
      <c r="FD607" s="21"/>
      <c r="FE607" s="21"/>
      <c r="FN607" s="22"/>
      <c r="FO607" s="22"/>
      <c r="FZ607" s="23"/>
      <c r="GA607" s="23"/>
      <c r="JD607" s="26"/>
      <c r="JE607" s="26"/>
      <c r="JF607" s="27"/>
      <c r="JG607" s="27"/>
      <c r="KL607" s="28"/>
      <c r="KP607" s="28"/>
      <c r="KT607" s="28"/>
      <c r="KX607" s="28"/>
      <c r="LB607" s="28"/>
      <c r="LF607" s="28"/>
      <c r="LJ607" s="28"/>
    </row>
    <row r="608" spans="1:322" ht="13.2">
      <c r="A608" s="42"/>
      <c r="B608" s="42"/>
      <c r="C608" s="42"/>
      <c r="D608" s="52"/>
      <c r="E608" s="52"/>
      <c r="O608" s="43"/>
      <c r="AL608" s="44"/>
      <c r="AM608" s="44"/>
      <c r="AN608" s="44"/>
      <c r="AO608" s="44"/>
      <c r="AP608" s="44"/>
      <c r="AQ608" s="44"/>
      <c r="AR608" s="44"/>
      <c r="AS608" s="44"/>
      <c r="AT608" s="45"/>
      <c r="AY608" s="45"/>
      <c r="BH608" s="45"/>
      <c r="BK608" s="45"/>
      <c r="BT608" s="45"/>
      <c r="BU608" s="45"/>
      <c r="CK608" s="10"/>
      <c r="EF608" s="20"/>
      <c r="FD608" s="21"/>
      <c r="FE608" s="21"/>
      <c r="FN608" s="22"/>
      <c r="FO608" s="22"/>
      <c r="FZ608" s="23"/>
      <c r="GA608" s="23"/>
      <c r="JD608" s="26"/>
      <c r="JE608" s="26"/>
      <c r="JF608" s="27"/>
      <c r="JG608" s="27"/>
      <c r="KL608" s="28"/>
      <c r="KP608" s="28"/>
      <c r="KT608" s="28"/>
      <c r="KX608" s="28"/>
      <c r="LB608" s="28"/>
      <c r="LF608" s="28"/>
      <c r="LJ608" s="28"/>
    </row>
    <row r="609" spans="1:322" ht="13.2">
      <c r="A609" s="42"/>
      <c r="B609" s="42"/>
      <c r="C609" s="42"/>
      <c r="D609" s="52"/>
      <c r="E609" s="52"/>
      <c r="O609" s="43"/>
      <c r="AL609" s="44"/>
      <c r="AM609" s="44"/>
      <c r="AN609" s="44"/>
      <c r="AO609" s="44"/>
      <c r="AP609" s="44"/>
      <c r="AQ609" s="44"/>
      <c r="AR609" s="44"/>
      <c r="AS609" s="44"/>
      <c r="AT609" s="45"/>
      <c r="AY609" s="45"/>
      <c r="BH609" s="45"/>
      <c r="BK609" s="45"/>
      <c r="BT609" s="45"/>
      <c r="BU609" s="45"/>
      <c r="CK609" s="10"/>
      <c r="EF609" s="20"/>
      <c r="FD609" s="21"/>
      <c r="FE609" s="21"/>
      <c r="FN609" s="22"/>
      <c r="FO609" s="22"/>
      <c r="FZ609" s="23"/>
      <c r="GA609" s="23"/>
      <c r="JD609" s="26"/>
      <c r="JE609" s="26"/>
      <c r="JF609" s="27"/>
      <c r="JG609" s="27"/>
      <c r="KL609" s="28"/>
      <c r="KP609" s="28"/>
      <c r="KT609" s="28"/>
      <c r="KX609" s="28"/>
      <c r="LB609" s="28"/>
      <c r="LF609" s="28"/>
      <c r="LJ609" s="28"/>
    </row>
    <row r="610" spans="1:322" ht="13.2">
      <c r="A610" s="42"/>
      <c r="B610" s="42"/>
      <c r="C610" s="42"/>
      <c r="D610" s="52"/>
      <c r="E610" s="52"/>
      <c r="O610" s="43"/>
      <c r="AL610" s="44"/>
      <c r="AM610" s="44"/>
      <c r="AN610" s="44"/>
      <c r="AO610" s="44"/>
      <c r="AP610" s="44"/>
      <c r="AQ610" s="44"/>
      <c r="AR610" s="44"/>
      <c r="AS610" s="44"/>
      <c r="AT610" s="45"/>
      <c r="AY610" s="45"/>
      <c r="BH610" s="45"/>
      <c r="BK610" s="45"/>
      <c r="BT610" s="45"/>
      <c r="BU610" s="45"/>
      <c r="CK610" s="10"/>
      <c r="EF610" s="20"/>
      <c r="FD610" s="21"/>
      <c r="FE610" s="21"/>
      <c r="FN610" s="22"/>
      <c r="FO610" s="22"/>
      <c r="FZ610" s="23"/>
      <c r="GA610" s="23"/>
      <c r="JD610" s="26"/>
      <c r="JE610" s="26"/>
      <c r="JF610" s="27"/>
      <c r="JG610" s="27"/>
      <c r="KL610" s="28"/>
      <c r="KP610" s="28"/>
      <c r="KT610" s="28"/>
      <c r="KX610" s="28"/>
      <c r="LB610" s="28"/>
      <c r="LF610" s="28"/>
      <c r="LJ610" s="28"/>
    </row>
    <row r="611" spans="1:322" ht="13.2">
      <c r="A611" s="42"/>
      <c r="B611" s="42"/>
      <c r="C611" s="42"/>
      <c r="D611" s="52"/>
      <c r="E611" s="52"/>
      <c r="O611" s="43"/>
      <c r="AL611" s="44"/>
      <c r="AM611" s="44"/>
      <c r="AN611" s="44"/>
      <c r="AO611" s="44"/>
      <c r="AP611" s="44"/>
      <c r="AQ611" s="44"/>
      <c r="AR611" s="44"/>
      <c r="AS611" s="44"/>
      <c r="AT611" s="45"/>
      <c r="AY611" s="45"/>
      <c r="BH611" s="45"/>
      <c r="BK611" s="45"/>
      <c r="BT611" s="45"/>
      <c r="BU611" s="45"/>
      <c r="CK611" s="10"/>
      <c r="EF611" s="20"/>
      <c r="FD611" s="21"/>
      <c r="FE611" s="21"/>
      <c r="FN611" s="22"/>
      <c r="FO611" s="22"/>
      <c r="FZ611" s="23"/>
      <c r="GA611" s="23"/>
      <c r="JD611" s="26"/>
      <c r="JE611" s="26"/>
      <c r="JF611" s="27"/>
      <c r="JG611" s="27"/>
      <c r="KL611" s="28"/>
      <c r="KP611" s="28"/>
      <c r="KT611" s="28"/>
      <c r="KX611" s="28"/>
      <c r="LB611" s="28"/>
      <c r="LF611" s="28"/>
      <c r="LJ611" s="28"/>
    </row>
    <row r="612" spans="1:322" ht="13.2">
      <c r="A612" s="42"/>
      <c r="B612" s="42"/>
      <c r="C612" s="42"/>
      <c r="D612" s="52"/>
      <c r="E612" s="52"/>
      <c r="O612" s="43"/>
      <c r="AL612" s="44"/>
      <c r="AM612" s="44"/>
      <c r="AN612" s="44"/>
      <c r="AO612" s="44"/>
      <c r="AP612" s="44"/>
      <c r="AQ612" s="44"/>
      <c r="AR612" s="44"/>
      <c r="AS612" s="44"/>
      <c r="AT612" s="45"/>
      <c r="AY612" s="45"/>
      <c r="BH612" s="45"/>
      <c r="BK612" s="45"/>
      <c r="BT612" s="45"/>
      <c r="BU612" s="45"/>
      <c r="CK612" s="10"/>
      <c r="EF612" s="20"/>
      <c r="FD612" s="21"/>
      <c r="FE612" s="21"/>
      <c r="FN612" s="22"/>
      <c r="FO612" s="22"/>
      <c r="FZ612" s="23"/>
      <c r="GA612" s="23"/>
      <c r="JD612" s="26"/>
      <c r="JE612" s="26"/>
      <c r="JF612" s="27"/>
      <c r="JG612" s="27"/>
      <c r="KL612" s="28"/>
      <c r="KP612" s="28"/>
      <c r="KT612" s="28"/>
      <c r="KX612" s="28"/>
      <c r="LB612" s="28"/>
      <c r="LF612" s="28"/>
      <c r="LJ612" s="28"/>
    </row>
    <row r="613" spans="1:322" ht="13.2">
      <c r="A613" s="42"/>
      <c r="B613" s="42"/>
      <c r="C613" s="42"/>
      <c r="D613" s="52"/>
      <c r="E613" s="52"/>
      <c r="O613" s="43"/>
      <c r="AL613" s="44"/>
      <c r="AM613" s="44"/>
      <c r="AN613" s="44"/>
      <c r="AO613" s="44"/>
      <c r="AP613" s="44"/>
      <c r="AQ613" s="44"/>
      <c r="AR613" s="44"/>
      <c r="AS613" s="44"/>
      <c r="AT613" s="45"/>
      <c r="AY613" s="45"/>
      <c r="BH613" s="45"/>
      <c r="BK613" s="45"/>
      <c r="BT613" s="45"/>
      <c r="BU613" s="45"/>
      <c r="CK613" s="10"/>
      <c r="EF613" s="20"/>
      <c r="FD613" s="21"/>
      <c r="FE613" s="21"/>
      <c r="FN613" s="22"/>
      <c r="FO613" s="22"/>
      <c r="FZ613" s="23"/>
      <c r="GA613" s="23"/>
      <c r="JD613" s="26"/>
      <c r="JE613" s="26"/>
      <c r="JF613" s="27"/>
      <c r="JG613" s="27"/>
      <c r="KL613" s="28"/>
      <c r="KP613" s="28"/>
      <c r="KT613" s="28"/>
      <c r="KX613" s="28"/>
      <c r="LB613" s="28"/>
      <c r="LF613" s="28"/>
      <c r="LJ613" s="28"/>
    </row>
    <row r="614" spans="1:322" ht="13.2">
      <c r="A614" s="42"/>
      <c r="B614" s="42"/>
      <c r="C614" s="42"/>
      <c r="D614" s="52"/>
      <c r="E614" s="52"/>
      <c r="O614" s="43"/>
      <c r="AL614" s="44"/>
      <c r="AM614" s="44"/>
      <c r="AN614" s="44"/>
      <c r="AO614" s="44"/>
      <c r="AP614" s="44"/>
      <c r="AQ614" s="44"/>
      <c r="AR614" s="44"/>
      <c r="AS614" s="44"/>
      <c r="AT614" s="45"/>
      <c r="AY614" s="45"/>
      <c r="BH614" s="45"/>
      <c r="BK614" s="45"/>
      <c r="BT614" s="45"/>
      <c r="BU614" s="45"/>
      <c r="CK614" s="10"/>
      <c r="EF614" s="20"/>
      <c r="FD614" s="21"/>
      <c r="FE614" s="21"/>
      <c r="FN614" s="22"/>
      <c r="FO614" s="22"/>
      <c r="FZ614" s="23"/>
      <c r="GA614" s="23"/>
      <c r="JD614" s="26"/>
      <c r="JE614" s="26"/>
      <c r="JF614" s="27"/>
      <c r="JG614" s="27"/>
      <c r="KL614" s="28"/>
      <c r="KP614" s="28"/>
      <c r="KT614" s="28"/>
      <c r="KX614" s="28"/>
      <c r="LB614" s="28"/>
      <c r="LF614" s="28"/>
      <c r="LJ614" s="28"/>
    </row>
    <row r="615" spans="1:322" ht="13.2">
      <c r="A615" s="42"/>
      <c r="B615" s="42"/>
      <c r="C615" s="42"/>
      <c r="D615" s="52"/>
      <c r="E615" s="52"/>
      <c r="O615" s="43"/>
      <c r="AL615" s="44"/>
      <c r="AM615" s="44"/>
      <c r="AN615" s="44"/>
      <c r="AO615" s="44"/>
      <c r="AP615" s="44"/>
      <c r="AQ615" s="44"/>
      <c r="AR615" s="44"/>
      <c r="AS615" s="44"/>
      <c r="AT615" s="45"/>
      <c r="AY615" s="45"/>
      <c r="BH615" s="45"/>
      <c r="BK615" s="45"/>
      <c r="BT615" s="45"/>
      <c r="BU615" s="45"/>
      <c r="CK615" s="10"/>
      <c r="EF615" s="20"/>
      <c r="FD615" s="21"/>
      <c r="FE615" s="21"/>
      <c r="FN615" s="22"/>
      <c r="FO615" s="22"/>
      <c r="FZ615" s="23"/>
      <c r="GA615" s="23"/>
      <c r="JD615" s="26"/>
      <c r="JE615" s="26"/>
      <c r="JF615" s="27"/>
      <c r="JG615" s="27"/>
      <c r="KL615" s="28"/>
      <c r="KP615" s="28"/>
      <c r="KT615" s="28"/>
      <c r="KX615" s="28"/>
      <c r="LB615" s="28"/>
      <c r="LF615" s="28"/>
      <c r="LJ615" s="28"/>
    </row>
    <row r="616" spans="1:322" ht="13.2">
      <c r="A616" s="42"/>
      <c r="B616" s="42"/>
      <c r="C616" s="42"/>
      <c r="D616" s="52"/>
      <c r="E616" s="52"/>
      <c r="O616" s="43"/>
      <c r="AL616" s="44"/>
      <c r="AM616" s="44"/>
      <c r="AN616" s="44"/>
      <c r="AO616" s="44"/>
      <c r="AP616" s="44"/>
      <c r="AQ616" s="44"/>
      <c r="AR616" s="44"/>
      <c r="AS616" s="44"/>
      <c r="AT616" s="45"/>
      <c r="AY616" s="45"/>
      <c r="BH616" s="45"/>
      <c r="BK616" s="45"/>
      <c r="BT616" s="45"/>
      <c r="BU616" s="45"/>
      <c r="CK616" s="10"/>
      <c r="EF616" s="20"/>
      <c r="FD616" s="21"/>
      <c r="FE616" s="21"/>
      <c r="FN616" s="22"/>
      <c r="FO616" s="22"/>
      <c r="FZ616" s="23"/>
      <c r="GA616" s="23"/>
      <c r="JD616" s="26"/>
      <c r="JE616" s="26"/>
      <c r="JF616" s="27"/>
      <c r="JG616" s="27"/>
      <c r="KL616" s="28"/>
      <c r="KP616" s="28"/>
      <c r="KT616" s="28"/>
      <c r="KX616" s="28"/>
      <c r="LB616" s="28"/>
      <c r="LF616" s="28"/>
      <c r="LJ616" s="28"/>
    </row>
    <row r="617" spans="1:322" ht="13.2">
      <c r="A617" s="42"/>
      <c r="B617" s="42"/>
      <c r="C617" s="42"/>
      <c r="D617" s="52"/>
      <c r="E617" s="52"/>
      <c r="O617" s="43"/>
      <c r="AL617" s="44"/>
      <c r="AM617" s="44"/>
      <c r="AN617" s="44"/>
      <c r="AO617" s="44"/>
      <c r="AP617" s="44"/>
      <c r="AQ617" s="44"/>
      <c r="AR617" s="44"/>
      <c r="AS617" s="44"/>
      <c r="AT617" s="45"/>
      <c r="AY617" s="45"/>
      <c r="BH617" s="45"/>
      <c r="BK617" s="45"/>
      <c r="BT617" s="45"/>
      <c r="BU617" s="45"/>
      <c r="CK617" s="10"/>
      <c r="EF617" s="20"/>
      <c r="FD617" s="21"/>
      <c r="FE617" s="21"/>
      <c r="FN617" s="22"/>
      <c r="FO617" s="22"/>
      <c r="FZ617" s="23"/>
      <c r="GA617" s="23"/>
      <c r="JD617" s="26"/>
      <c r="JE617" s="26"/>
      <c r="JF617" s="27"/>
      <c r="JG617" s="27"/>
      <c r="KL617" s="28"/>
      <c r="KP617" s="28"/>
      <c r="KT617" s="28"/>
      <c r="KX617" s="28"/>
      <c r="LB617" s="28"/>
      <c r="LF617" s="28"/>
      <c r="LJ617" s="28"/>
    </row>
    <row r="618" spans="1:322" ht="13.2">
      <c r="A618" s="42"/>
      <c r="B618" s="42"/>
      <c r="C618" s="42"/>
      <c r="D618" s="52"/>
      <c r="E618" s="52"/>
      <c r="O618" s="43"/>
      <c r="AL618" s="44"/>
      <c r="AM618" s="44"/>
      <c r="AN618" s="44"/>
      <c r="AO618" s="44"/>
      <c r="AP618" s="44"/>
      <c r="AQ618" s="44"/>
      <c r="AR618" s="44"/>
      <c r="AS618" s="44"/>
      <c r="AT618" s="45"/>
      <c r="AY618" s="45"/>
      <c r="BH618" s="45"/>
      <c r="BK618" s="45"/>
      <c r="BT618" s="45"/>
      <c r="BU618" s="45"/>
      <c r="CK618" s="10"/>
      <c r="EF618" s="20"/>
      <c r="FD618" s="21"/>
      <c r="FE618" s="21"/>
      <c r="FN618" s="22"/>
      <c r="FO618" s="22"/>
      <c r="FZ618" s="23"/>
      <c r="GA618" s="23"/>
      <c r="JD618" s="26"/>
      <c r="JE618" s="26"/>
      <c r="JF618" s="27"/>
      <c r="JG618" s="27"/>
      <c r="KL618" s="28"/>
      <c r="KP618" s="28"/>
      <c r="KT618" s="28"/>
      <c r="KX618" s="28"/>
      <c r="LB618" s="28"/>
      <c r="LF618" s="28"/>
      <c r="LJ618" s="28"/>
    </row>
    <row r="619" spans="1:322" ht="13.2">
      <c r="A619" s="42"/>
      <c r="B619" s="42"/>
      <c r="C619" s="42"/>
      <c r="D619" s="52"/>
      <c r="E619" s="52"/>
      <c r="O619" s="43"/>
      <c r="AL619" s="44"/>
      <c r="AM619" s="44"/>
      <c r="AN619" s="44"/>
      <c r="AO619" s="44"/>
      <c r="AP619" s="44"/>
      <c r="AQ619" s="44"/>
      <c r="AR619" s="44"/>
      <c r="AS619" s="44"/>
      <c r="AT619" s="45"/>
      <c r="AY619" s="45"/>
      <c r="BH619" s="45"/>
      <c r="BK619" s="45"/>
      <c r="BT619" s="45"/>
      <c r="BU619" s="45"/>
      <c r="CK619" s="10"/>
      <c r="EF619" s="20"/>
      <c r="FD619" s="21"/>
      <c r="FE619" s="21"/>
      <c r="FN619" s="22"/>
      <c r="FO619" s="22"/>
      <c r="FZ619" s="23"/>
      <c r="GA619" s="23"/>
      <c r="JD619" s="26"/>
      <c r="JE619" s="26"/>
      <c r="JF619" s="27"/>
      <c r="JG619" s="27"/>
      <c r="KL619" s="28"/>
      <c r="KP619" s="28"/>
      <c r="KT619" s="28"/>
      <c r="KX619" s="28"/>
      <c r="LB619" s="28"/>
      <c r="LF619" s="28"/>
      <c r="LJ619" s="28"/>
    </row>
    <row r="620" spans="1:322" ht="13.2">
      <c r="A620" s="42"/>
      <c r="B620" s="42"/>
      <c r="C620" s="42"/>
      <c r="D620" s="52"/>
      <c r="E620" s="52"/>
      <c r="O620" s="43"/>
      <c r="AL620" s="44"/>
      <c r="AM620" s="44"/>
      <c r="AN620" s="44"/>
      <c r="AO620" s="44"/>
      <c r="AP620" s="44"/>
      <c r="AQ620" s="44"/>
      <c r="AR620" s="44"/>
      <c r="AS620" s="44"/>
      <c r="AT620" s="45"/>
      <c r="AY620" s="45"/>
      <c r="BH620" s="45"/>
      <c r="BK620" s="45"/>
      <c r="BT620" s="45"/>
      <c r="BU620" s="45"/>
      <c r="CK620" s="10"/>
      <c r="EF620" s="20"/>
      <c r="FD620" s="21"/>
      <c r="FE620" s="21"/>
      <c r="FN620" s="22"/>
      <c r="FO620" s="22"/>
      <c r="FZ620" s="23"/>
      <c r="GA620" s="23"/>
      <c r="JD620" s="26"/>
      <c r="JE620" s="26"/>
      <c r="JF620" s="27"/>
      <c r="JG620" s="27"/>
      <c r="KL620" s="28"/>
      <c r="KP620" s="28"/>
      <c r="KT620" s="28"/>
      <c r="KX620" s="28"/>
      <c r="LB620" s="28"/>
      <c r="LF620" s="28"/>
      <c r="LJ620" s="28"/>
    </row>
    <row r="621" spans="1:322" ht="13.2">
      <c r="A621" s="42"/>
      <c r="B621" s="42"/>
      <c r="C621" s="42"/>
      <c r="D621" s="52"/>
      <c r="E621" s="52"/>
      <c r="O621" s="43"/>
      <c r="AL621" s="44"/>
      <c r="AM621" s="44"/>
      <c r="AN621" s="44"/>
      <c r="AO621" s="44"/>
      <c r="AP621" s="44"/>
      <c r="AQ621" s="44"/>
      <c r="AR621" s="44"/>
      <c r="AS621" s="44"/>
      <c r="AT621" s="45"/>
      <c r="AY621" s="45"/>
      <c r="BH621" s="45"/>
      <c r="BK621" s="45"/>
      <c r="BT621" s="45"/>
      <c r="BU621" s="45"/>
      <c r="CK621" s="10"/>
      <c r="EF621" s="20"/>
      <c r="FD621" s="21"/>
      <c r="FE621" s="21"/>
      <c r="FN621" s="22"/>
      <c r="FO621" s="22"/>
      <c r="FZ621" s="23"/>
      <c r="GA621" s="23"/>
      <c r="JD621" s="26"/>
      <c r="JE621" s="26"/>
      <c r="JF621" s="27"/>
      <c r="JG621" s="27"/>
      <c r="KL621" s="28"/>
      <c r="KP621" s="28"/>
      <c r="KT621" s="28"/>
      <c r="KX621" s="28"/>
      <c r="LB621" s="28"/>
      <c r="LF621" s="28"/>
      <c r="LJ621" s="28"/>
    </row>
    <row r="622" spans="1:322" ht="13.2">
      <c r="A622" s="42"/>
      <c r="B622" s="42"/>
      <c r="C622" s="42"/>
      <c r="D622" s="52"/>
      <c r="E622" s="52"/>
      <c r="O622" s="43"/>
      <c r="AL622" s="44"/>
      <c r="AM622" s="44"/>
      <c r="AN622" s="44"/>
      <c r="AO622" s="44"/>
      <c r="AP622" s="44"/>
      <c r="AQ622" s="44"/>
      <c r="AR622" s="44"/>
      <c r="AS622" s="44"/>
      <c r="AT622" s="45"/>
      <c r="AY622" s="45"/>
      <c r="BH622" s="45"/>
      <c r="BK622" s="45"/>
      <c r="BT622" s="45"/>
      <c r="BU622" s="45"/>
      <c r="CK622" s="10"/>
      <c r="EF622" s="20"/>
      <c r="FD622" s="21"/>
      <c r="FE622" s="21"/>
      <c r="FN622" s="22"/>
      <c r="FO622" s="22"/>
      <c r="FZ622" s="23"/>
      <c r="GA622" s="23"/>
      <c r="JD622" s="26"/>
      <c r="JE622" s="26"/>
      <c r="JF622" s="27"/>
      <c r="JG622" s="27"/>
      <c r="KL622" s="28"/>
      <c r="KP622" s="28"/>
      <c r="KT622" s="28"/>
      <c r="KX622" s="28"/>
      <c r="LB622" s="28"/>
      <c r="LF622" s="28"/>
      <c r="LJ622" s="28"/>
    </row>
    <row r="623" spans="1:322" ht="13.2">
      <c r="A623" s="42"/>
      <c r="B623" s="42"/>
      <c r="C623" s="42"/>
      <c r="D623" s="52"/>
      <c r="E623" s="52"/>
      <c r="O623" s="43"/>
      <c r="AL623" s="44"/>
      <c r="AM623" s="44"/>
      <c r="AN623" s="44"/>
      <c r="AO623" s="44"/>
      <c r="AP623" s="44"/>
      <c r="AQ623" s="44"/>
      <c r="AR623" s="44"/>
      <c r="AS623" s="44"/>
      <c r="AT623" s="45"/>
      <c r="AY623" s="45"/>
      <c r="BH623" s="45"/>
      <c r="BK623" s="45"/>
      <c r="BT623" s="45"/>
      <c r="BU623" s="45"/>
      <c r="CK623" s="10"/>
      <c r="EF623" s="20"/>
      <c r="FD623" s="21"/>
      <c r="FE623" s="21"/>
      <c r="FN623" s="22"/>
      <c r="FO623" s="22"/>
      <c r="FZ623" s="23"/>
      <c r="GA623" s="23"/>
      <c r="JD623" s="26"/>
      <c r="JE623" s="26"/>
      <c r="JF623" s="27"/>
      <c r="JG623" s="27"/>
      <c r="KL623" s="28"/>
      <c r="KP623" s="28"/>
      <c r="KT623" s="28"/>
      <c r="KX623" s="28"/>
      <c r="LB623" s="28"/>
      <c r="LF623" s="28"/>
      <c r="LJ623" s="28"/>
    </row>
    <row r="624" spans="1:322" ht="13.2">
      <c r="A624" s="42"/>
      <c r="B624" s="42"/>
      <c r="C624" s="42"/>
      <c r="D624" s="52"/>
      <c r="E624" s="52"/>
      <c r="O624" s="43"/>
      <c r="AL624" s="44"/>
      <c r="AM624" s="44"/>
      <c r="AN624" s="44"/>
      <c r="AO624" s="44"/>
      <c r="AP624" s="44"/>
      <c r="AQ624" s="44"/>
      <c r="AR624" s="44"/>
      <c r="AS624" s="44"/>
      <c r="AT624" s="45"/>
      <c r="AY624" s="45"/>
      <c r="BH624" s="45"/>
      <c r="BK624" s="45"/>
      <c r="BT624" s="45"/>
      <c r="BU624" s="45"/>
      <c r="CK624" s="10"/>
      <c r="EF624" s="20"/>
      <c r="FD624" s="21"/>
      <c r="FE624" s="21"/>
      <c r="FN624" s="22"/>
      <c r="FO624" s="22"/>
      <c r="FZ624" s="23"/>
      <c r="GA624" s="23"/>
      <c r="JD624" s="26"/>
      <c r="JE624" s="26"/>
      <c r="JF624" s="27"/>
      <c r="JG624" s="27"/>
      <c r="KL624" s="28"/>
      <c r="KP624" s="28"/>
      <c r="KT624" s="28"/>
      <c r="KX624" s="28"/>
      <c r="LB624" s="28"/>
      <c r="LF624" s="28"/>
      <c r="LJ624" s="28"/>
    </row>
    <row r="625" spans="1:322" ht="13.2">
      <c r="A625" s="42"/>
      <c r="B625" s="42"/>
      <c r="C625" s="42"/>
      <c r="D625" s="52"/>
      <c r="E625" s="52"/>
      <c r="O625" s="43"/>
      <c r="AL625" s="44"/>
      <c r="AM625" s="44"/>
      <c r="AN625" s="44"/>
      <c r="AO625" s="44"/>
      <c r="AP625" s="44"/>
      <c r="AQ625" s="44"/>
      <c r="AR625" s="44"/>
      <c r="AS625" s="44"/>
      <c r="AT625" s="45"/>
      <c r="AY625" s="45"/>
      <c r="BH625" s="45"/>
      <c r="BK625" s="45"/>
      <c r="BT625" s="45"/>
      <c r="BU625" s="45"/>
      <c r="CK625" s="10"/>
      <c r="EF625" s="20"/>
      <c r="FD625" s="21"/>
      <c r="FE625" s="21"/>
      <c r="FN625" s="22"/>
      <c r="FO625" s="22"/>
      <c r="FZ625" s="23"/>
      <c r="GA625" s="23"/>
      <c r="JD625" s="26"/>
      <c r="JE625" s="26"/>
      <c r="JF625" s="27"/>
      <c r="JG625" s="27"/>
      <c r="KL625" s="28"/>
      <c r="KP625" s="28"/>
      <c r="KT625" s="28"/>
      <c r="KX625" s="28"/>
      <c r="LB625" s="28"/>
      <c r="LF625" s="28"/>
      <c r="LJ625" s="28"/>
    </row>
    <row r="626" spans="1:322" ht="13.2">
      <c r="A626" s="42"/>
      <c r="B626" s="42"/>
      <c r="C626" s="42"/>
      <c r="D626" s="52"/>
      <c r="E626" s="52"/>
      <c r="O626" s="43"/>
      <c r="AL626" s="44"/>
      <c r="AM626" s="44"/>
      <c r="AN626" s="44"/>
      <c r="AO626" s="44"/>
      <c r="AP626" s="44"/>
      <c r="AQ626" s="44"/>
      <c r="AR626" s="44"/>
      <c r="AS626" s="44"/>
      <c r="AT626" s="45"/>
      <c r="AY626" s="45"/>
      <c r="BH626" s="45"/>
      <c r="BK626" s="45"/>
      <c r="BT626" s="45"/>
      <c r="BU626" s="45"/>
      <c r="CK626" s="10"/>
      <c r="EF626" s="20"/>
      <c r="FD626" s="21"/>
      <c r="FE626" s="21"/>
      <c r="FN626" s="22"/>
      <c r="FO626" s="22"/>
      <c r="FZ626" s="23"/>
      <c r="GA626" s="23"/>
      <c r="JD626" s="26"/>
      <c r="JE626" s="26"/>
      <c r="JF626" s="27"/>
      <c r="JG626" s="27"/>
      <c r="KL626" s="28"/>
      <c r="KP626" s="28"/>
      <c r="KT626" s="28"/>
      <c r="KX626" s="28"/>
      <c r="LB626" s="28"/>
      <c r="LF626" s="28"/>
      <c r="LJ626" s="28"/>
    </row>
    <row r="627" spans="1:322" ht="13.2">
      <c r="A627" s="42"/>
      <c r="B627" s="42"/>
      <c r="C627" s="42"/>
      <c r="D627" s="52"/>
      <c r="E627" s="52"/>
      <c r="O627" s="43"/>
      <c r="AL627" s="44"/>
      <c r="AM627" s="44"/>
      <c r="AN627" s="44"/>
      <c r="AO627" s="44"/>
      <c r="AP627" s="44"/>
      <c r="AQ627" s="44"/>
      <c r="AR627" s="44"/>
      <c r="AS627" s="44"/>
      <c r="AT627" s="45"/>
      <c r="AY627" s="45"/>
      <c r="BH627" s="45"/>
      <c r="BK627" s="45"/>
      <c r="BT627" s="45"/>
      <c r="BU627" s="45"/>
      <c r="CK627" s="10"/>
      <c r="EF627" s="20"/>
      <c r="FD627" s="21"/>
      <c r="FE627" s="21"/>
      <c r="FN627" s="22"/>
      <c r="FO627" s="22"/>
      <c r="FZ627" s="23"/>
      <c r="GA627" s="23"/>
      <c r="JD627" s="26"/>
      <c r="JE627" s="26"/>
      <c r="JF627" s="27"/>
      <c r="JG627" s="27"/>
      <c r="KL627" s="28"/>
      <c r="KP627" s="28"/>
      <c r="KT627" s="28"/>
      <c r="KX627" s="28"/>
      <c r="LB627" s="28"/>
      <c r="LF627" s="28"/>
      <c r="LJ627" s="28"/>
    </row>
    <row r="628" spans="1:322" ht="13.2">
      <c r="A628" s="42"/>
      <c r="B628" s="42"/>
      <c r="C628" s="42"/>
      <c r="D628" s="52"/>
      <c r="E628" s="52"/>
      <c r="O628" s="43"/>
      <c r="AL628" s="44"/>
      <c r="AM628" s="44"/>
      <c r="AN628" s="44"/>
      <c r="AO628" s="44"/>
      <c r="AP628" s="44"/>
      <c r="AQ628" s="44"/>
      <c r="AR628" s="44"/>
      <c r="AS628" s="44"/>
      <c r="AT628" s="45"/>
      <c r="AY628" s="45"/>
      <c r="BH628" s="45"/>
      <c r="BK628" s="45"/>
      <c r="BT628" s="45"/>
      <c r="BU628" s="45"/>
      <c r="CK628" s="10"/>
      <c r="EF628" s="20"/>
      <c r="FD628" s="21"/>
      <c r="FE628" s="21"/>
      <c r="FN628" s="22"/>
      <c r="FO628" s="22"/>
      <c r="FZ628" s="23"/>
      <c r="GA628" s="23"/>
      <c r="JD628" s="26"/>
      <c r="JE628" s="26"/>
      <c r="JF628" s="27"/>
      <c r="JG628" s="27"/>
      <c r="KL628" s="28"/>
      <c r="KP628" s="28"/>
      <c r="KT628" s="28"/>
      <c r="KX628" s="28"/>
      <c r="LB628" s="28"/>
      <c r="LF628" s="28"/>
      <c r="LJ628" s="28"/>
    </row>
    <row r="629" spans="1:322" ht="13.2">
      <c r="A629" s="42"/>
      <c r="B629" s="42"/>
      <c r="C629" s="42"/>
      <c r="D629" s="52"/>
      <c r="E629" s="52"/>
      <c r="O629" s="43"/>
      <c r="AL629" s="44"/>
      <c r="AM629" s="44"/>
      <c r="AN629" s="44"/>
      <c r="AO629" s="44"/>
      <c r="AP629" s="44"/>
      <c r="AQ629" s="44"/>
      <c r="AR629" s="44"/>
      <c r="AS629" s="44"/>
      <c r="AT629" s="45"/>
      <c r="AY629" s="45"/>
      <c r="BH629" s="45"/>
      <c r="BK629" s="45"/>
      <c r="BT629" s="45"/>
      <c r="BU629" s="45"/>
      <c r="CK629" s="10"/>
      <c r="EF629" s="20"/>
      <c r="FD629" s="21"/>
      <c r="FE629" s="21"/>
      <c r="FN629" s="22"/>
      <c r="FO629" s="22"/>
      <c r="FZ629" s="23"/>
      <c r="GA629" s="23"/>
      <c r="JD629" s="26"/>
      <c r="JE629" s="26"/>
      <c r="JF629" s="27"/>
      <c r="JG629" s="27"/>
      <c r="KL629" s="28"/>
      <c r="KP629" s="28"/>
      <c r="KT629" s="28"/>
      <c r="KX629" s="28"/>
      <c r="LB629" s="28"/>
      <c r="LF629" s="28"/>
      <c r="LJ629" s="28"/>
    </row>
    <row r="630" spans="1:322" ht="13.2">
      <c r="A630" s="42"/>
      <c r="B630" s="42"/>
      <c r="C630" s="42"/>
      <c r="D630" s="52"/>
      <c r="E630" s="52"/>
      <c r="O630" s="43"/>
      <c r="AL630" s="44"/>
      <c r="AM630" s="44"/>
      <c r="AN630" s="44"/>
      <c r="AO630" s="44"/>
      <c r="AP630" s="44"/>
      <c r="AQ630" s="44"/>
      <c r="AR630" s="44"/>
      <c r="AS630" s="44"/>
      <c r="AT630" s="45"/>
      <c r="AY630" s="45"/>
      <c r="BH630" s="45"/>
      <c r="BK630" s="45"/>
      <c r="BT630" s="45"/>
      <c r="BU630" s="45"/>
      <c r="CK630" s="10"/>
      <c r="EF630" s="20"/>
      <c r="FD630" s="21"/>
      <c r="FE630" s="21"/>
      <c r="FN630" s="22"/>
      <c r="FO630" s="22"/>
      <c r="FZ630" s="23"/>
      <c r="GA630" s="23"/>
      <c r="JD630" s="26"/>
      <c r="JE630" s="26"/>
      <c r="JF630" s="27"/>
      <c r="JG630" s="27"/>
      <c r="KL630" s="28"/>
      <c r="KP630" s="28"/>
      <c r="KT630" s="28"/>
      <c r="KX630" s="28"/>
      <c r="LB630" s="28"/>
      <c r="LF630" s="28"/>
      <c r="LJ630" s="28"/>
    </row>
    <row r="631" spans="1:322" ht="13.2">
      <c r="A631" s="42"/>
      <c r="B631" s="42"/>
      <c r="C631" s="42"/>
      <c r="D631" s="52"/>
      <c r="E631" s="52"/>
      <c r="O631" s="43"/>
      <c r="AL631" s="44"/>
      <c r="AM631" s="44"/>
      <c r="AN631" s="44"/>
      <c r="AO631" s="44"/>
      <c r="AP631" s="44"/>
      <c r="AQ631" s="44"/>
      <c r="AR631" s="44"/>
      <c r="AS631" s="44"/>
      <c r="AT631" s="45"/>
      <c r="AY631" s="45"/>
      <c r="BH631" s="45"/>
      <c r="BK631" s="45"/>
      <c r="BT631" s="45"/>
      <c r="BU631" s="45"/>
      <c r="CK631" s="10"/>
      <c r="EF631" s="20"/>
      <c r="FD631" s="21"/>
      <c r="FE631" s="21"/>
      <c r="FN631" s="22"/>
      <c r="FO631" s="22"/>
      <c r="FZ631" s="23"/>
      <c r="GA631" s="23"/>
      <c r="JD631" s="26"/>
      <c r="JE631" s="26"/>
      <c r="JF631" s="27"/>
      <c r="JG631" s="27"/>
      <c r="KL631" s="28"/>
      <c r="KP631" s="28"/>
      <c r="KT631" s="28"/>
      <c r="KX631" s="28"/>
      <c r="LB631" s="28"/>
      <c r="LF631" s="28"/>
      <c r="LJ631" s="28"/>
    </row>
    <row r="632" spans="1:322" ht="13.2">
      <c r="A632" s="42"/>
      <c r="B632" s="42"/>
      <c r="C632" s="42"/>
      <c r="D632" s="52"/>
      <c r="E632" s="52"/>
      <c r="O632" s="43"/>
      <c r="AL632" s="44"/>
      <c r="AM632" s="44"/>
      <c r="AN632" s="44"/>
      <c r="AO632" s="44"/>
      <c r="AP632" s="44"/>
      <c r="AQ632" s="44"/>
      <c r="AR632" s="44"/>
      <c r="AS632" s="44"/>
      <c r="AT632" s="45"/>
      <c r="AY632" s="45"/>
      <c r="BH632" s="45"/>
      <c r="BK632" s="45"/>
      <c r="BT632" s="45"/>
      <c r="BU632" s="45"/>
      <c r="CK632" s="10"/>
      <c r="EF632" s="20"/>
      <c r="FD632" s="21"/>
      <c r="FE632" s="21"/>
      <c r="FN632" s="22"/>
      <c r="FO632" s="22"/>
      <c r="FZ632" s="23"/>
      <c r="GA632" s="23"/>
      <c r="JD632" s="26"/>
      <c r="JE632" s="26"/>
      <c r="JF632" s="27"/>
      <c r="JG632" s="27"/>
      <c r="KL632" s="28"/>
      <c r="KP632" s="28"/>
      <c r="KT632" s="28"/>
      <c r="KX632" s="28"/>
      <c r="LB632" s="28"/>
      <c r="LF632" s="28"/>
      <c r="LJ632" s="28"/>
    </row>
    <row r="633" spans="1:322" ht="13.2">
      <c r="A633" s="42"/>
      <c r="B633" s="42"/>
      <c r="C633" s="42"/>
      <c r="D633" s="52"/>
      <c r="E633" s="52"/>
      <c r="O633" s="43"/>
      <c r="AL633" s="44"/>
      <c r="AM633" s="44"/>
      <c r="AN633" s="44"/>
      <c r="AO633" s="44"/>
      <c r="AP633" s="44"/>
      <c r="AQ633" s="44"/>
      <c r="AR633" s="44"/>
      <c r="AS633" s="44"/>
      <c r="AT633" s="45"/>
      <c r="AY633" s="45"/>
      <c r="BH633" s="45"/>
      <c r="BK633" s="45"/>
      <c r="BT633" s="45"/>
      <c r="BU633" s="45"/>
      <c r="CK633" s="10"/>
      <c r="EF633" s="20"/>
      <c r="FD633" s="21"/>
      <c r="FE633" s="21"/>
      <c r="FN633" s="22"/>
      <c r="FO633" s="22"/>
      <c r="FZ633" s="23"/>
      <c r="GA633" s="23"/>
      <c r="JD633" s="26"/>
      <c r="JE633" s="26"/>
      <c r="JF633" s="27"/>
      <c r="JG633" s="27"/>
      <c r="KL633" s="28"/>
      <c r="KP633" s="28"/>
      <c r="KT633" s="28"/>
      <c r="KX633" s="28"/>
      <c r="LB633" s="28"/>
      <c r="LF633" s="28"/>
      <c r="LJ633" s="28"/>
    </row>
    <row r="634" spans="1:322" ht="13.2">
      <c r="A634" s="42"/>
      <c r="B634" s="42"/>
      <c r="C634" s="42"/>
      <c r="D634" s="52"/>
      <c r="E634" s="52"/>
      <c r="O634" s="43"/>
      <c r="AL634" s="44"/>
      <c r="AM634" s="44"/>
      <c r="AN634" s="44"/>
      <c r="AO634" s="44"/>
      <c r="AP634" s="44"/>
      <c r="AQ634" s="44"/>
      <c r="AR634" s="44"/>
      <c r="AS634" s="44"/>
      <c r="AT634" s="45"/>
      <c r="AY634" s="45"/>
      <c r="BH634" s="45"/>
      <c r="BK634" s="45"/>
      <c r="BT634" s="45"/>
      <c r="BU634" s="45"/>
      <c r="CK634" s="10"/>
      <c r="EF634" s="20"/>
      <c r="FD634" s="21"/>
      <c r="FE634" s="21"/>
      <c r="FN634" s="22"/>
      <c r="FO634" s="22"/>
      <c r="FZ634" s="23"/>
      <c r="GA634" s="23"/>
      <c r="JD634" s="26"/>
      <c r="JE634" s="26"/>
      <c r="JF634" s="27"/>
      <c r="JG634" s="27"/>
      <c r="KL634" s="28"/>
      <c r="KP634" s="28"/>
      <c r="KT634" s="28"/>
      <c r="KX634" s="28"/>
      <c r="LB634" s="28"/>
      <c r="LF634" s="28"/>
      <c r="LJ634" s="28"/>
    </row>
    <row r="635" spans="1:322" ht="13.2">
      <c r="A635" s="42"/>
      <c r="B635" s="42"/>
      <c r="C635" s="42"/>
      <c r="D635" s="52"/>
      <c r="E635" s="52"/>
      <c r="O635" s="43"/>
      <c r="AL635" s="44"/>
      <c r="AM635" s="44"/>
      <c r="AN635" s="44"/>
      <c r="AO635" s="44"/>
      <c r="AP635" s="44"/>
      <c r="AQ635" s="44"/>
      <c r="AR635" s="44"/>
      <c r="AS635" s="44"/>
      <c r="AT635" s="45"/>
      <c r="AY635" s="45"/>
      <c r="BH635" s="45"/>
      <c r="BK635" s="45"/>
      <c r="BT635" s="45"/>
      <c r="BU635" s="45"/>
      <c r="CK635" s="10"/>
      <c r="EF635" s="20"/>
      <c r="FD635" s="21"/>
      <c r="FE635" s="21"/>
      <c r="FN635" s="22"/>
      <c r="FO635" s="22"/>
      <c r="FZ635" s="23"/>
      <c r="GA635" s="23"/>
      <c r="JD635" s="26"/>
      <c r="JE635" s="26"/>
      <c r="JF635" s="27"/>
      <c r="JG635" s="27"/>
      <c r="KL635" s="28"/>
      <c r="KP635" s="28"/>
      <c r="KT635" s="28"/>
      <c r="KX635" s="28"/>
      <c r="LB635" s="28"/>
      <c r="LF635" s="28"/>
      <c r="LJ635" s="28"/>
    </row>
    <row r="636" spans="1:322" ht="13.2">
      <c r="A636" s="42"/>
      <c r="B636" s="42"/>
      <c r="C636" s="42"/>
      <c r="D636" s="52"/>
      <c r="E636" s="52"/>
      <c r="O636" s="43"/>
      <c r="AL636" s="44"/>
      <c r="AM636" s="44"/>
      <c r="AN636" s="44"/>
      <c r="AO636" s="44"/>
      <c r="AP636" s="44"/>
      <c r="AQ636" s="44"/>
      <c r="AR636" s="44"/>
      <c r="AS636" s="44"/>
      <c r="AT636" s="45"/>
      <c r="AY636" s="45"/>
      <c r="BH636" s="45"/>
      <c r="BK636" s="45"/>
      <c r="BT636" s="45"/>
      <c r="BU636" s="45"/>
      <c r="CK636" s="10"/>
      <c r="EF636" s="20"/>
      <c r="FD636" s="21"/>
      <c r="FE636" s="21"/>
      <c r="FN636" s="22"/>
      <c r="FO636" s="22"/>
      <c r="FZ636" s="23"/>
      <c r="GA636" s="23"/>
      <c r="JD636" s="26"/>
      <c r="JE636" s="26"/>
      <c r="JF636" s="27"/>
      <c r="JG636" s="27"/>
      <c r="KL636" s="28"/>
      <c r="KP636" s="28"/>
      <c r="KT636" s="28"/>
      <c r="KX636" s="28"/>
      <c r="LB636" s="28"/>
      <c r="LF636" s="28"/>
      <c r="LJ636" s="28"/>
    </row>
    <row r="637" spans="1:322" ht="13.2">
      <c r="A637" s="42"/>
      <c r="B637" s="42"/>
      <c r="C637" s="42"/>
      <c r="D637" s="52"/>
      <c r="E637" s="52"/>
      <c r="O637" s="43"/>
      <c r="AL637" s="44"/>
      <c r="AM637" s="44"/>
      <c r="AN637" s="44"/>
      <c r="AO637" s="44"/>
      <c r="AP637" s="44"/>
      <c r="AQ637" s="44"/>
      <c r="AR637" s="44"/>
      <c r="AS637" s="44"/>
      <c r="AT637" s="45"/>
      <c r="AY637" s="45"/>
      <c r="BH637" s="45"/>
      <c r="BK637" s="45"/>
      <c r="BT637" s="45"/>
      <c r="BU637" s="45"/>
      <c r="CK637" s="10"/>
      <c r="EF637" s="20"/>
      <c r="FD637" s="21"/>
      <c r="FE637" s="21"/>
      <c r="FN637" s="22"/>
      <c r="FO637" s="22"/>
      <c r="FZ637" s="23"/>
      <c r="GA637" s="23"/>
      <c r="JD637" s="26"/>
      <c r="JE637" s="26"/>
      <c r="JF637" s="27"/>
      <c r="JG637" s="27"/>
      <c r="KL637" s="28"/>
      <c r="KP637" s="28"/>
      <c r="KT637" s="28"/>
      <c r="KX637" s="28"/>
      <c r="LB637" s="28"/>
      <c r="LF637" s="28"/>
      <c r="LJ637" s="28"/>
    </row>
    <row r="638" spans="1:322" ht="13.2">
      <c r="A638" s="42"/>
      <c r="B638" s="42"/>
      <c r="C638" s="42"/>
      <c r="D638" s="52"/>
      <c r="E638" s="52"/>
      <c r="O638" s="43"/>
      <c r="AL638" s="44"/>
      <c r="AM638" s="44"/>
      <c r="AN638" s="44"/>
      <c r="AO638" s="44"/>
      <c r="AP638" s="44"/>
      <c r="AQ638" s="44"/>
      <c r="AR638" s="44"/>
      <c r="AS638" s="44"/>
      <c r="AT638" s="45"/>
      <c r="AY638" s="45"/>
      <c r="BH638" s="45"/>
      <c r="BK638" s="45"/>
      <c r="BT638" s="45"/>
      <c r="BU638" s="45"/>
      <c r="CK638" s="10"/>
      <c r="EF638" s="20"/>
      <c r="FD638" s="21"/>
      <c r="FE638" s="21"/>
      <c r="FN638" s="22"/>
      <c r="FO638" s="22"/>
      <c r="FZ638" s="23"/>
      <c r="GA638" s="23"/>
      <c r="JD638" s="26"/>
      <c r="JE638" s="26"/>
      <c r="JF638" s="27"/>
      <c r="JG638" s="27"/>
      <c r="KL638" s="28"/>
      <c r="KP638" s="28"/>
      <c r="KT638" s="28"/>
      <c r="KX638" s="28"/>
      <c r="LB638" s="28"/>
      <c r="LF638" s="28"/>
      <c r="LJ638" s="28"/>
    </row>
    <row r="639" spans="1:322" ht="13.2">
      <c r="A639" s="42"/>
      <c r="B639" s="42"/>
      <c r="C639" s="42"/>
      <c r="D639" s="52"/>
      <c r="E639" s="52"/>
      <c r="O639" s="43"/>
      <c r="AL639" s="44"/>
      <c r="AM639" s="44"/>
      <c r="AN639" s="44"/>
      <c r="AO639" s="44"/>
      <c r="AP639" s="44"/>
      <c r="AQ639" s="44"/>
      <c r="AR639" s="44"/>
      <c r="AS639" s="44"/>
      <c r="AT639" s="45"/>
      <c r="AY639" s="45"/>
      <c r="BH639" s="45"/>
      <c r="BK639" s="45"/>
      <c r="BT639" s="45"/>
      <c r="BU639" s="45"/>
      <c r="CK639" s="10"/>
      <c r="EF639" s="20"/>
      <c r="FD639" s="21"/>
      <c r="FE639" s="21"/>
      <c r="FN639" s="22"/>
      <c r="FO639" s="22"/>
      <c r="FZ639" s="23"/>
      <c r="GA639" s="23"/>
      <c r="JD639" s="26"/>
      <c r="JE639" s="26"/>
      <c r="JF639" s="27"/>
      <c r="JG639" s="27"/>
      <c r="KL639" s="28"/>
      <c r="KP639" s="28"/>
      <c r="KT639" s="28"/>
      <c r="KX639" s="28"/>
      <c r="LB639" s="28"/>
      <c r="LF639" s="28"/>
      <c r="LJ639" s="28"/>
    </row>
    <row r="640" spans="1:322" ht="13.2">
      <c r="A640" s="42"/>
      <c r="B640" s="42"/>
      <c r="C640" s="42"/>
      <c r="D640" s="52"/>
      <c r="E640" s="52"/>
      <c r="O640" s="43"/>
      <c r="AL640" s="44"/>
      <c r="AM640" s="44"/>
      <c r="AN640" s="44"/>
      <c r="AO640" s="44"/>
      <c r="AP640" s="44"/>
      <c r="AQ640" s="44"/>
      <c r="AR640" s="44"/>
      <c r="AS640" s="44"/>
      <c r="AT640" s="45"/>
      <c r="AY640" s="45"/>
      <c r="BH640" s="45"/>
      <c r="BK640" s="45"/>
      <c r="BT640" s="45"/>
      <c r="BU640" s="45"/>
      <c r="CK640" s="10"/>
      <c r="EF640" s="20"/>
      <c r="FD640" s="21"/>
      <c r="FE640" s="21"/>
      <c r="FN640" s="22"/>
      <c r="FO640" s="22"/>
      <c r="FZ640" s="23"/>
      <c r="GA640" s="23"/>
      <c r="JD640" s="26"/>
      <c r="JE640" s="26"/>
      <c r="JF640" s="27"/>
      <c r="JG640" s="27"/>
      <c r="KL640" s="28"/>
      <c r="KP640" s="28"/>
      <c r="KT640" s="28"/>
      <c r="KX640" s="28"/>
      <c r="LB640" s="28"/>
      <c r="LF640" s="28"/>
      <c r="LJ640" s="28"/>
    </row>
    <row r="641" spans="1:322" ht="13.2">
      <c r="A641" s="42"/>
      <c r="B641" s="42"/>
      <c r="C641" s="42"/>
      <c r="D641" s="52"/>
      <c r="E641" s="52"/>
      <c r="O641" s="43"/>
      <c r="AL641" s="44"/>
      <c r="AM641" s="44"/>
      <c r="AN641" s="44"/>
      <c r="AO641" s="44"/>
      <c r="AP641" s="44"/>
      <c r="AQ641" s="44"/>
      <c r="AR641" s="44"/>
      <c r="AS641" s="44"/>
      <c r="AT641" s="45"/>
      <c r="AY641" s="45"/>
      <c r="BH641" s="45"/>
      <c r="BK641" s="45"/>
      <c r="BT641" s="45"/>
      <c r="BU641" s="45"/>
      <c r="CK641" s="10"/>
      <c r="EF641" s="20"/>
      <c r="FD641" s="21"/>
      <c r="FE641" s="21"/>
      <c r="FN641" s="22"/>
      <c r="FO641" s="22"/>
      <c r="FZ641" s="23"/>
      <c r="GA641" s="23"/>
      <c r="JD641" s="26"/>
      <c r="JE641" s="26"/>
      <c r="JF641" s="27"/>
      <c r="JG641" s="27"/>
      <c r="KL641" s="28"/>
      <c r="KP641" s="28"/>
      <c r="KT641" s="28"/>
      <c r="KX641" s="28"/>
      <c r="LB641" s="28"/>
      <c r="LF641" s="28"/>
      <c r="LJ641" s="28"/>
    </row>
    <row r="642" spans="1:322" ht="13.2">
      <c r="A642" s="42"/>
      <c r="B642" s="42"/>
      <c r="C642" s="42"/>
      <c r="D642" s="52"/>
      <c r="E642" s="52"/>
      <c r="O642" s="43"/>
      <c r="AL642" s="44"/>
      <c r="AM642" s="44"/>
      <c r="AN642" s="44"/>
      <c r="AO642" s="44"/>
      <c r="AP642" s="44"/>
      <c r="AQ642" s="44"/>
      <c r="AR642" s="44"/>
      <c r="AS642" s="44"/>
      <c r="AT642" s="45"/>
      <c r="AY642" s="45"/>
      <c r="BH642" s="45"/>
      <c r="BK642" s="45"/>
      <c r="BT642" s="45"/>
      <c r="BU642" s="45"/>
      <c r="CK642" s="10"/>
      <c r="EF642" s="20"/>
      <c r="FD642" s="21"/>
      <c r="FE642" s="21"/>
      <c r="FN642" s="22"/>
      <c r="FO642" s="22"/>
      <c r="FZ642" s="23"/>
      <c r="GA642" s="23"/>
      <c r="JD642" s="26"/>
      <c r="JE642" s="26"/>
      <c r="JF642" s="27"/>
      <c r="JG642" s="27"/>
      <c r="KL642" s="28"/>
      <c r="KP642" s="28"/>
      <c r="KT642" s="28"/>
      <c r="KX642" s="28"/>
      <c r="LB642" s="28"/>
      <c r="LF642" s="28"/>
      <c r="LJ642" s="28"/>
    </row>
    <row r="643" spans="1:322" ht="13.2">
      <c r="A643" s="42"/>
      <c r="B643" s="42"/>
      <c r="C643" s="42"/>
      <c r="D643" s="52"/>
      <c r="E643" s="52"/>
      <c r="O643" s="43"/>
      <c r="AL643" s="44"/>
      <c r="AM643" s="44"/>
      <c r="AN643" s="44"/>
      <c r="AO643" s="44"/>
      <c r="AP643" s="44"/>
      <c r="AQ643" s="44"/>
      <c r="AR643" s="44"/>
      <c r="AS643" s="44"/>
      <c r="AT643" s="45"/>
      <c r="AY643" s="45"/>
      <c r="BH643" s="45"/>
      <c r="BK643" s="45"/>
      <c r="BT643" s="45"/>
      <c r="BU643" s="45"/>
      <c r="CK643" s="10"/>
      <c r="EF643" s="20"/>
      <c r="FD643" s="21"/>
      <c r="FE643" s="21"/>
      <c r="FN643" s="22"/>
      <c r="FO643" s="22"/>
      <c r="FZ643" s="23"/>
      <c r="GA643" s="23"/>
      <c r="JD643" s="26"/>
      <c r="JE643" s="26"/>
      <c r="JF643" s="27"/>
      <c r="JG643" s="27"/>
      <c r="KL643" s="28"/>
      <c r="KP643" s="28"/>
      <c r="KT643" s="28"/>
      <c r="KX643" s="28"/>
      <c r="LB643" s="28"/>
      <c r="LF643" s="28"/>
      <c r="LJ643" s="28"/>
    </row>
    <row r="644" spans="1:322" ht="13.2">
      <c r="A644" s="42"/>
      <c r="B644" s="42"/>
      <c r="C644" s="42"/>
      <c r="D644" s="52"/>
      <c r="E644" s="52"/>
      <c r="O644" s="43"/>
      <c r="AL644" s="44"/>
      <c r="AM644" s="44"/>
      <c r="AN644" s="44"/>
      <c r="AO644" s="44"/>
      <c r="AP644" s="44"/>
      <c r="AQ644" s="44"/>
      <c r="AR644" s="44"/>
      <c r="AS644" s="44"/>
      <c r="AT644" s="45"/>
      <c r="AY644" s="45"/>
      <c r="BH644" s="45"/>
      <c r="BK644" s="45"/>
      <c r="BT644" s="45"/>
      <c r="BU644" s="45"/>
      <c r="CK644" s="10"/>
      <c r="EF644" s="20"/>
      <c r="FD644" s="21"/>
      <c r="FE644" s="21"/>
      <c r="FN644" s="22"/>
      <c r="FO644" s="22"/>
      <c r="FZ644" s="23"/>
      <c r="GA644" s="23"/>
      <c r="JD644" s="26"/>
      <c r="JE644" s="26"/>
      <c r="JF644" s="27"/>
      <c r="JG644" s="27"/>
      <c r="KL644" s="28"/>
      <c r="KP644" s="28"/>
      <c r="KT644" s="28"/>
      <c r="KX644" s="28"/>
      <c r="LB644" s="28"/>
      <c r="LF644" s="28"/>
      <c r="LJ644" s="28"/>
    </row>
    <row r="645" spans="1:322" ht="13.2">
      <c r="A645" s="42"/>
      <c r="B645" s="42"/>
      <c r="C645" s="42"/>
      <c r="D645" s="52"/>
      <c r="E645" s="52"/>
      <c r="O645" s="43"/>
      <c r="AL645" s="44"/>
      <c r="AM645" s="44"/>
      <c r="AN645" s="44"/>
      <c r="AO645" s="44"/>
      <c r="AP645" s="44"/>
      <c r="AQ645" s="44"/>
      <c r="AR645" s="44"/>
      <c r="AS645" s="44"/>
      <c r="AT645" s="45"/>
      <c r="AY645" s="45"/>
      <c r="BH645" s="45"/>
      <c r="BK645" s="45"/>
      <c r="BT645" s="45"/>
      <c r="BU645" s="45"/>
      <c r="CK645" s="10"/>
      <c r="EF645" s="20"/>
      <c r="FD645" s="21"/>
      <c r="FE645" s="21"/>
      <c r="FN645" s="22"/>
      <c r="FO645" s="22"/>
      <c r="FZ645" s="23"/>
      <c r="GA645" s="23"/>
      <c r="JD645" s="26"/>
      <c r="JE645" s="26"/>
      <c r="JF645" s="27"/>
      <c r="JG645" s="27"/>
      <c r="KL645" s="28"/>
      <c r="KP645" s="28"/>
      <c r="KT645" s="28"/>
      <c r="KX645" s="28"/>
      <c r="LB645" s="28"/>
      <c r="LF645" s="28"/>
      <c r="LJ645" s="28"/>
    </row>
    <row r="646" spans="1:322" ht="13.2">
      <c r="A646" s="42"/>
      <c r="B646" s="42"/>
      <c r="C646" s="42"/>
      <c r="D646" s="52"/>
      <c r="E646" s="52"/>
      <c r="O646" s="43"/>
      <c r="AL646" s="44"/>
      <c r="AM646" s="44"/>
      <c r="AN646" s="44"/>
      <c r="AO646" s="44"/>
      <c r="AP646" s="44"/>
      <c r="AQ646" s="44"/>
      <c r="AR646" s="44"/>
      <c r="AS646" s="44"/>
      <c r="AT646" s="45"/>
      <c r="AY646" s="45"/>
      <c r="BH646" s="45"/>
      <c r="BK646" s="45"/>
      <c r="BT646" s="45"/>
      <c r="BU646" s="45"/>
      <c r="CK646" s="10"/>
      <c r="EF646" s="20"/>
      <c r="FD646" s="21"/>
      <c r="FE646" s="21"/>
      <c r="FN646" s="22"/>
      <c r="FO646" s="22"/>
      <c r="FZ646" s="23"/>
      <c r="GA646" s="23"/>
      <c r="JD646" s="26"/>
      <c r="JE646" s="26"/>
      <c r="JF646" s="27"/>
      <c r="JG646" s="27"/>
      <c r="KL646" s="28"/>
      <c r="KP646" s="28"/>
      <c r="KT646" s="28"/>
      <c r="KX646" s="28"/>
      <c r="LB646" s="28"/>
      <c r="LF646" s="28"/>
      <c r="LJ646" s="28"/>
    </row>
    <row r="647" spans="1:322" ht="13.2">
      <c r="A647" s="42"/>
      <c r="B647" s="42"/>
      <c r="C647" s="42"/>
      <c r="D647" s="52"/>
      <c r="E647" s="52"/>
      <c r="O647" s="43"/>
      <c r="AL647" s="44"/>
      <c r="AM647" s="44"/>
      <c r="AN647" s="44"/>
      <c r="AO647" s="44"/>
      <c r="AP647" s="44"/>
      <c r="AQ647" s="44"/>
      <c r="AR647" s="44"/>
      <c r="AS647" s="44"/>
      <c r="AT647" s="45"/>
      <c r="AY647" s="45"/>
      <c r="BH647" s="45"/>
      <c r="BK647" s="45"/>
      <c r="BT647" s="45"/>
      <c r="BU647" s="45"/>
      <c r="CK647" s="10"/>
      <c r="EF647" s="20"/>
      <c r="FD647" s="21"/>
      <c r="FE647" s="21"/>
      <c r="FN647" s="22"/>
      <c r="FO647" s="22"/>
      <c r="FZ647" s="23"/>
      <c r="GA647" s="23"/>
      <c r="JD647" s="26"/>
      <c r="JE647" s="26"/>
      <c r="JF647" s="27"/>
      <c r="JG647" s="27"/>
      <c r="KL647" s="28"/>
      <c r="KP647" s="28"/>
      <c r="KT647" s="28"/>
      <c r="KX647" s="28"/>
      <c r="LB647" s="28"/>
      <c r="LF647" s="28"/>
      <c r="LJ647" s="28"/>
    </row>
    <row r="648" spans="1:322" ht="13.2">
      <c r="A648" s="42"/>
      <c r="B648" s="42"/>
      <c r="C648" s="42"/>
      <c r="D648" s="52"/>
      <c r="E648" s="52"/>
      <c r="O648" s="43"/>
      <c r="AL648" s="44"/>
      <c r="AM648" s="44"/>
      <c r="AN648" s="44"/>
      <c r="AO648" s="44"/>
      <c r="AP648" s="44"/>
      <c r="AQ648" s="44"/>
      <c r="AR648" s="44"/>
      <c r="AS648" s="44"/>
      <c r="AT648" s="45"/>
      <c r="AY648" s="45"/>
      <c r="BH648" s="45"/>
      <c r="BK648" s="45"/>
      <c r="BT648" s="45"/>
      <c r="BU648" s="45"/>
      <c r="CK648" s="10"/>
      <c r="EF648" s="20"/>
      <c r="FD648" s="21"/>
      <c r="FE648" s="21"/>
      <c r="FN648" s="22"/>
      <c r="FO648" s="22"/>
      <c r="FZ648" s="23"/>
      <c r="GA648" s="23"/>
      <c r="JD648" s="26"/>
      <c r="JE648" s="26"/>
      <c r="JF648" s="27"/>
      <c r="JG648" s="27"/>
      <c r="KL648" s="28"/>
      <c r="KP648" s="28"/>
      <c r="KT648" s="28"/>
      <c r="KX648" s="28"/>
      <c r="LB648" s="28"/>
      <c r="LF648" s="28"/>
      <c r="LJ648" s="28"/>
    </row>
    <row r="649" spans="1:322" ht="13.2">
      <c r="A649" s="42"/>
      <c r="B649" s="42"/>
      <c r="C649" s="42"/>
      <c r="D649" s="52"/>
      <c r="E649" s="52"/>
      <c r="O649" s="43"/>
      <c r="AL649" s="44"/>
      <c r="AM649" s="44"/>
      <c r="AN649" s="44"/>
      <c r="AO649" s="44"/>
      <c r="AP649" s="44"/>
      <c r="AQ649" s="44"/>
      <c r="AR649" s="44"/>
      <c r="AS649" s="44"/>
      <c r="AT649" s="45"/>
      <c r="AY649" s="45"/>
      <c r="BH649" s="45"/>
      <c r="BK649" s="45"/>
      <c r="BT649" s="45"/>
      <c r="BU649" s="45"/>
      <c r="CK649" s="10"/>
      <c r="EF649" s="20"/>
      <c r="FD649" s="21"/>
      <c r="FE649" s="21"/>
      <c r="FN649" s="22"/>
      <c r="FO649" s="22"/>
      <c r="FZ649" s="23"/>
      <c r="GA649" s="23"/>
      <c r="JD649" s="26"/>
      <c r="JE649" s="26"/>
      <c r="JF649" s="27"/>
      <c r="JG649" s="27"/>
      <c r="KL649" s="28"/>
      <c r="KP649" s="28"/>
      <c r="KT649" s="28"/>
      <c r="KX649" s="28"/>
      <c r="LB649" s="28"/>
      <c r="LF649" s="28"/>
      <c r="LJ649" s="28"/>
    </row>
    <row r="650" spans="1:322" ht="13.2">
      <c r="A650" s="42"/>
      <c r="B650" s="42"/>
      <c r="C650" s="42"/>
      <c r="D650" s="52"/>
      <c r="E650" s="52"/>
      <c r="O650" s="43"/>
      <c r="AL650" s="44"/>
      <c r="AM650" s="44"/>
      <c r="AN650" s="44"/>
      <c r="AO650" s="44"/>
      <c r="AP650" s="44"/>
      <c r="AQ650" s="44"/>
      <c r="AR650" s="44"/>
      <c r="AS650" s="44"/>
      <c r="AT650" s="45"/>
      <c r="AY650" s="45"/>
      <c r="BH650" s="45"/>
      <c r="BK650" s="45"/>
      <c r="BT650" s="45"/>
      <c r="BU650" s="45"/>
      <c r="CK650" s="10"/>
      <c r="EF650" s="20"/>
      <c r="FD650" s="21"/>
      <c r="FE650" s="21"/>
      <c r="FN650" s="22"/>
      <c r="FO650" s="22"/>
      <c r="FZ650" s="23"/>
      <c r="GA650" s="23"/>
      <c r="JD650" s="26"/>
      <c r="JE650" s="26"/>
      <c r="JF650" s="27"/>
      <c r="JG650" s="27"/>
      <c r="KL650" s="28"/>
      <c r="KP650" s="28"/>
      <c r="KT650" s="28"/>
      <c r="KX650" s="28"/>
      <c r="LB650" s="28"/>
      <c r="LF650" s="28"/>
      <c r="LJ650" s="28"/>
    </row>
    <row r="651" spans="1:322" ht="13.2">
      <c r="A651" s="42"/>
      <c r="B651" s="42"/>
      <c r="C651" s="42"/>
      <c r="D651" s="52"/>
      <c r="E651" s="52"/>
      <c r="O651" s="43"/>
      <c r="AL651" s="44"/>
      <c r="AM651" s="44"/>
      <c r="AN651" s="44"/>
      <c r="AO651" s="44"/>
      <c r="AP651" s="44"/>
      <c r="AQ651" s="44"/>
      <c r="AR651" s="44"/>
      <c r="AS651" s="44"/>
      <c r="AT651" s="45"/>
      <c r="AY651" s="45"/>
      <c r="BH651" s="45"/>
      <c r="BK651" s="45"/>
      <c r="BT651" s="45"/>
      <c r="BU651" s="45"/>
      <c r="CK651" s="10"/>
      <c r="EF651" s="20"/>
      <c r="FD651" s="21"/>
      <c r="FE651" s="21"/>
      <c r="FN651" s="22"/>
      <c r="FO651" s="22"/>
      <c r="FZ651" s="23"/>
      <c r="GA651" s="23"/>
      <c r="JD651" s="26"/>
      <c r="JE651" s="26"/>
      <c r="JF651" s="27"/>
      <c r="JG651" s="27"/>
      <c r="KL651" s="28"/>
      <c r="KP651" s="28"/>
      <c r="KT651" s="28"/>
      <c r="KX651" s="28"/>
      <c r="LB651" s="28"/>
      <c r="LF651" s="28"/>
      <c r="LJ651" s="28"/>
    </row>
    <row r="652" spans="1:322" ht="13.2">
      <c r="A652" s="42"/>
      <c r="B652" s="42"/>
      <c r="C652" s="42"/>
      <c r="D652" s="52"/>
      <c r="E652" s="52"/>
      <c r="O652" s="43"/>
      <c r="AL652" s="44"/>
      <c r="AM652" s="44"/>
      <c r="AN652" s="44"/>
      <c r="AO652" s="44"/>
      <c r="AP652" s="44"/>
      <c r="AQ652" s="44"/>
      <c r="AR652" s="44"/>
      <c r="AS652" s="44"/>
      <c r="AT652" s="45"/>
      <c r="AY652" s="45"/>
      <c r="BH652" s="45"/>
      <c r="BK652" s="45"/>
      <c r="BT652" s="45"/>
      <c r="BU652" s="45"/>
      <c r="CK652" s="10"/>
      <c r="EF652" s="20"/>
      <c r="FD652" s="21"/>
      <c r="FE652" s="21"/>
      <c r="FN652" s="22"/>
      <c r="FO652" s="22"/>
      <c r="FZ652" s="23"/>
      <c r="GA652" s="23"/>
      <c r="JD652" s="26"/>
      <c r="JE652" s="26"/>
      <c r="JF652" s="27"/>
      <c r="JG652" s="27"/>
      <c r="KL652" s="28"/>
      <c r="KP652" s="28"/>
      <c r="KT652" s="28"/>
      <c r="KX652" s="28"/>
      <c r="LB652" s="28"/>
      <c r="LF652" s="28"/>
      <c r="LJ652" s="28"/>
    </row>
    <row r="653" spans="1:322" ht="13.2">
      <c r="A653" s="42"/>
      <c r="B653" s="42"/>
      <c r="C653" s="42"/>
      <c r="D653" s="52"/>
      <c r="E653" s="52"/>
      <c r="O653" s="43"/>
      <c r="AL653" s="44"/>
      <c r="AM653" s="44"/>
      <c r="AN653" s="44"/>
      <c r="AO653" s="44"/>
      <c r="AP653" s="44"/>
      <c r="AQ653" s="44"/>
      <c r="AR653" s="44"/>
      <c r="AS653" s="44"/>
      <c r="AT653" s="45"/>
      <c r="AY653" s="45"/>
      <c r="BH653" s="45"/>
      <c r="BK653" s="45"/>
      <c r="BT653" s="45"/>
      <c r="BU653" s="45"/>
      <c r="CK653" s="10"/>
      <c r="EF653" s="20"/>
      <c r="FD653" s="21"/>
      <c r="FE653" s="21"/>
      <c r="FN653" s="22"/>
      <c r="FO653" s="22"/>
      <c r="FZ653" s="23"/>
      <c r="GA653" s="23"/>
      <c r="JD653" s="26"/>
      <c r="JE653" s="26"/>
      <c r="JF653" s="27"/>
      <c r="JG653" s="27"/>
      <c r="KL653" s="28"/>
      <c r="KP653" s="28"/>
      <c r="KT653" s="28"/>
      <c r="KX653" s="28"/>
      <c r="LB653" s="28"/>
      <c r="LF653" s="28"/>
      <c r="LJ653" s="28"/>
    </row>
    <row r="654" spans="1:322" ht="13.2">
      <c r="A654" s="42"/>
      <c r="B654" s="42"/>
      <c r="C654" s="42"/>
      <c r="D654" s="52"/>
      <c r="E654" s="52"/>
      <c r="O654" s="43"/>
      <c r="AL654" s="44"/>
      <c r="AM654" s="44"/>
      <c r="AN654" s="44"/>
      <c r="AO654" s="44"/>
      <c r="AP654" s="44"/>
      <c r="AQ654" s="44"/>
      <c r="AR654" s="44"/>
      <c r="AS654" s="44"/>
      <c r="AT654" s="45"/>
      <c r="AY654" s="45"/>
      <c r="BH654" s="45"/>
      <c r="BK654" s="45"/>
      <c r="BT654" s="45"/>
      <c r="BU654" s="45"/>
      <c r="CK654" s="10"/>
      <c r="EF654" s="20"/>
      <c r="FD654" s="21"/>
      <c r="FE654" s="21"/>
      <c r="FN654" s="22"/>
      <c r="FO654" s="22"/>
      <c r="FZ654" s="23"/>
      <c r="GA654" s="23"/>
      <c r="JD654" s="26"/>
      <c r="JE654" s="26"/>
      <c r="JF654" s="27"/>
      <c r="JG654" s="27"/>
      <c r="KL654" s="28"/>
      <c r="KP654" s="28"/>
      <c r="KT654" s="28"/>
      <c r="KX654" s="28"/>
      <c r="LB654" s="28"/>
      <c r="LF654" s="28"/>
      <c r="LJ654" s="28"/>
    </row>
    <row r="655" spans="1:322" ht="13.2">
      <c r="A655" s="42"/>
      <c r="B655" s="42"/>
      <c r="C655" s="42"/>
      <c r="D655" s="52"/>
      <c r="E655" s="52"/>
      <c r="O655" s="43"/>
      <c r="AL655" s="44"/>
      <c r="AM655" s="44"/>
      <c r="AN655" s="44"/>
      <c r="AO655" s="44"/>
      <c r="AP655" s="44"/>
      <c r="AQ655" s="44"/>
      <c r="AR655" s="44"/>
      <c r="AS655" s="44"/>
      <c r="AT655" s="45"/>
      <c r="AY655" s="45"/>
      <c r="BH655" s="45"/>
      <c r="BK655" s="45"/>
      <c r="BT655" s="45"/>
      <c r="BU655" s="45"/>
      <c r="CK655" s="10"/>
      <c r="EF655" s="20"/>
      <c r="FD655" s="21"/>
      <c r="FE655" s="21"/>
      <c r="FN655" s="22"/>
      <c r="FO655" s="22"/>
      <c r="FZ655" s="23"/>
      <c r="GA655" s="23"/>
      <c r="JD655" s="26"/>
      <c r="JE655" s="26"/>
      <c r="JF655" s="27"/>
      <c r="JG655" s="27"/>
      <c r="KL655" s="28"/>
      <c r="KP655" s="28"/>
      <c r="KT655" s="28"/>
      <c r="KX655" s="28"/>
      <c r="LB655" s="28"/>
      <c r="LF655" s="28"/>
      <c r="LJ655" s="28"/>
    </row>
    <row r="656" spans="1:322" ht="13.2">
      <c r="A656" s="42"/>
      <c r="B656" s="42"/>
      <c r="C656" s="42"/>
      <c r="D656" s="52"/>
      <c r="E656" s="52"/>
      <c r="O656" s="43"/>
      <c r="AL656" s="44"/>
      <c r="AM656" s="44"/>
      <c r="AN656" s="44"/>
      <c r="AO656" s="44"/>
      <c r="AP656" s="44"/>
      <c r="AQ656" s="44"/>
      <c r="AR656" s="44"/>
      <c r="AS656" s="44"/>
      <c r="AT656" s="45"/>
      <c r="AY656" s="45"/>
      <c r="BH656" s="45"/>
      <c r="BK656" s="45"/>
      <c r="BT656" s="45"/>
      <c r="BU656" s="45"/>
      <c r="CK656" s="10"/>
      <c r="EF656" s="20"/>
      <c r="FD656" s="21"/>
      <c r="FE656" s="21"/>
      <c r="FN656" s="22"/>
      <c r="FO656" s="22"/>
      <c r="FZ656" s="23"/>
      <c r="GA656" s="23"/>
      <c r="JD656" s="26"/>
      <c r="JE656" s="26"/>
      <c r="JF656" s="27"/>
      <c r="JG656" s="27"/>
      <c r="KL656" s="28"/>
      <c r="KP656" s="28"/>
      <c r="KT656" s="28"/>
      <c r="KX656" s="28"/>
      <c r="LB656" s="28"/>
      <c r="LF656" s="28"/>
      <c r="LJ656" s="28"/>
    </row>
    <row r="657" spans="1:322" ht="13.2">
      <c r="A657" s="42"/>
      <c r="B657" s="42"/>
      <c r="C657" s="42"/>
      <c r="D657" s="52"/>
      <c r="E657" s="52"/>
      <c r="O657" s="43"/>
      <c r="AL657" s="44"/>
      <c r="AM657" s="44"/>
      <c r="AN657" s="44"/>
      <c r="AO657" s="44"/>
      <c r="AP657" s="44"/>
      <c r="AQ657" s="44"/>
      <c r="AR657" s="44"/>
      <c r="AS657" s="44"/>
      <c r="AT657" s="45"/>
      <c r="AY657" s="45"/>
      <c r="BH657" s="45"/>
      <c r="BK657" s="45"/>
      <c r="BT657" s="45"/>
      <c r="BU657" s="45"/>
      <c r="CK657" s="10"/>
      <c r="EF657" s="20"/>
      <c r="FD657" s="21"/>
      <c r="FE657" s="21"/>
      <c r="FN657" s="22"/>
      <c r="FO657" s="22"/>
      <c r="FZ657" s="23"/>
      <c r="GA657" s="23"/>
      <c r="JD657" s="26"/>
      <c r="JE657" s="26"/>
      <c r="JF657" s="27"/>
      <c r="JG657" s="27"/>
      <c r="KL657" s="28"/>
      <c r="KP657" s="28"/>
      <c r="KT657" s="28"/>
      <c r="KX657" s="28"/>
      <c r="LB657" s="28"/>
      <c r="LF657" s="28"/>
      <c r="LJ657" s="28"/>
    </row>
    <row r="658" spans="1:322" ht="13.2">
      <c r="A658" s="42"/>
      <c r="B658" s="42"/>
      <c r="C658" s="42"/>
      <c r="D658" s="52"/>
      <c r="E658" s="52"/>
      <c r="O658" s="43"/>
      <c r="AL658" s="44"/>
      <c r="AM658" s="44"/>
      <c r="AN658" s="44"/>
      <c r="AO658" s="44"/>
      <c r="AP658" s="44"/>
      <c r="AQ658" s="44"/>
      <c r="AR658" s="44"/>
      <c r="AS658" s="44"/>
      <c r="AT658" s="45"/>
      <c r="AY658" s="45"/>
      <c r="BH658" s="45"/>
      <c r="BK658" s="45"/>
      <c r="BT658" s="45"/>
      <c r="BU658" s="45"/>
      <c r="CK658" s="10"/>
      <c r="EF658" s="20"/>
      <c r="FD658" s="21"/>
      <c r="FE658" s="21"/>
      <c r="FN658" s="22"/>
      <c r="FO658" s="22"/>
      <c r="FZ658" s="23"/>
      <c r="GA658" s="23"/>
      <c r="JD658" s="26"/>
      <c r="JE658" s="26"/>
      <c r="JF658" s="27"/>
      <c r="JG658" s="27"/>
      <c r="KL658" s="28"/>
      <c r="KP658" s="28"/>
      <c r="KT658" s="28"/>
      <c r="KX658" s="28"/>
      <c r="LB658" s="28"/>
      <c r="LF658" s="28"/>
      <c r="LJ658" s="28"/>
    </row>
    <row r="659" spans="1:322" ht="13.2">
      <c r="A659" s="42"/>
      <c r="B659" s="42"/>
      <c r="C659" s="42"/>
      <c r="D659" s="52"/>
      <c r="E659" s="52"/>
      <c r="O659" s="43"/>
      <c r="AL659" s="44"/>
      <c r="AM659" s="44"/>
      <c r="AN659" s="44"/>
      <c r="AO659" s="44"/>
      <c r="AP659" s="44"/>
      <c r="AQ659" s="44"/>
      <c r="AR659" s="44"/>
      <c r="AS659" s="44"/>
      <c r="AT659" s="45"/>
      <c r="AY659" s="45"/>
      <c r="BH659" s="45"/>
      <c r="BK659" s="45"/>
      <c r="BT659" s="45"/>
      <c r="BU659" s="45"/>
      <c r="CK659" s="10"/>
      <c r="EF659" s="20"/>
      <c r="FD659" s="21"/>
      <c r="FE659" s="21"/>
      <c r="FN659" s="22"/>
      <c r="FO659" s="22"/>
      <c r="FZ659" s="23"/>
      <c r="GA659" s="23"/>
      <c r="JD659" s="26"/>
      <c r="JE659" s="26"/>
      <c r="JF659" s="27"/>
      <c r="JG659" s="27"/>
      <c r="KL659" s="28"/>
      <c r="KP659" s="28"/>
      <c r="KT659" s="28"/>
      <c r="KX659" s="28"/>
      <c r="LB659" s="28"/>
      <c r="LF659" s="28"/>
      <c r="LJ659" s="28"/>
    </row>
    <row r="660" spans="1:322" ht="13.2">
      <c r="A660" s="42"/>
      <c r="B660" s="42"/>
      <c r="C660" s="42"/>
      <c r="D660" s="52"/>
      <c r="E660" s="52"/>
      <c r="O660" s="43"/>
      <c r="AL660" s="44"/>
      <c r="AM660" s="44"/>
      <c r="AN660" s="44"/>
      <c r="AO660" s="44"/>
      <c r="AP660" s="44"/>
      <c r="AQ660" s="44"/>
      <c r="AR660" s="44"/>
      <c r="AS660" s="44"/>
      <c r="AT660" s="45"/>
      <c r="AY660" s="45"/>
      <c r="BH660" s="45"/>
      <c r="BK660" s="45"/>
      <c r="BT660" s="45"/>
      <c r="BU660" s="45"/>
      <c r="CK660" s="10"/>
      <c r="EF660" s="20"/>
      <c r="FD660" s="21"/>
      <c r="FE660" s="21"/>
      <c r="FN660" s="22"/>
      <c r="FO660" s="22"/>
      <c r="FZ660" s="23"/>
      <c r="GA660" s="23"/>
      <c r="JD660" s="26"/>
      <c r="JE660" s="26"/>
      <c r="JF660" s="27"/>
      <c r="JG660" s="27"/>
      <c r="KL660" s="28"/>
      <c r="KP660" s="28"/>
      <c r="KT660" s="28"/>
      <c r="KX660" s="28"/>
      <c r="LB660" s="28"/>
      <c r="LF660" s="28"/>
      <c r="LJ660" s="28"/>
    </row>
    <row r="661" spans="1:322" ht="13.2">
      <c r="A661" s="42"/>
      <c r="B661" s="42"/>
      <c r="C661" s="42"/>
      <c r="D661" s="52"/>
      <c r="E661" s="52"/>
      <c r="O661" s="43"/>
      <c r="AL661" s="44"/>
      <c r="AM661" s="44"/>
      <c r="AN661" s="44"/>
      <c r="AO661" s="44"/>
      <c r="AP661" s="44"/>
      <c r="AQ661" s="44"/>
      <c r="AR661" s="44"/>
      <c r="AS661" s="44"/>
      <c r="AT661" s="45"/>
      <c r="AY661" s="45"/>
      <c r="BH661" s="45"/>
      <c r="BK661" s="45"/>
      <c r="BT661" s="45"/>
      <c r="BU661" s="45"/>
      <c r="CK661" s="10"/>
      <c r="EF661" s="20"/>
      <c r="FD661" s="21"/>
      <c r="FE661" s="21"/>
      <c r="FN661" s="22"/>
      <c r="FO661" s="22"/>
      <c r="FZ661" s="23"/>
      <c r="GA661" s="23"/>
      <c r="JD661" s="26"/>
      <c r="JE661" s="26"/>
      <c r="JF661" s="27"/>
      <c r="JG661" s="27"/>
      <c r="KL661" s="28"/>
      <c r="KP661" s="28"/>
      <c r="KT661" s="28"/>
      <c r="KX661" s="28"/>
      <c r="LB661" s="28"/>
      <c r="LF661" s="28"/>
      <c r="LJ661" s="28"/>
    </row>
    <row r="662" spans="1:322" ht="13.2">
      <c r="A662" s="42"/>
      <c r="B662" s="42"/>
      <c r="C662" s="42"/>
      <c r="D662" s="52"/>
      <c r="E662" s="52"/>
      <c r="O662" s="43"/>
      <c r="AL662" s="44"/>
      <c r="AM662" s="44"/>
      <c r="AN662" s="44"/>
      <c r="AO662" s="44"/>
      <c r="AP662" s="44"/>
      <c r="AQ662" s="44"/>
      <c r="AR662" s="44"/>
      <c r="AS662" s="44"/>
      <c r="AT662" s="45"/>
      <c r="AY662" s="45"/>
      <c r="BH662" s="45"/>
      <c r="BK662" s="45"/>
      <c r="BT662" s="45"/>
      <c r="BU662" s="45"/>
      <c r="CK662" s="10"/>
      <c r="EF662" s="20"/>
      <c r="FD662" s="21"/>
      <c r="FE662" s="21"/>
      <c r="FN662" s="22"/>
      <c r="FO662" s="22"/>
      <c r="FZ662" s="23"/>
      <c r="GA662" s="23"/>
      <c r="JD662" s="26"/>
      <c r="JE662" s="26"/>
      <c r="JF662" s="27"/>
      <c r="JG662" s="27"/>
      <c r="KL662" s="28"/>
      <c r="KP662" s="28"/>
      <c r="KT662" s="28"/>
      <c r="KX662" s="28"/>
      <c r="LB662" s="28"/>
      <c r="LF662" s="28"/>
      <c r="LJ662" s="28"/>
    </row>
    <row r="663" spans="1:322" ht="13.2">
      <c r="A663" s="42"/>
      <c r="B663" s="42"/>
      <c r="C663" s="42"/>
      <c r="D663" s="52"/>
      <c r="E663" s="52"/>
      <c r="O663" s="43"/>
      <c r="AL663" s="44"/>
      <c r="AM663" s="44"/>
      <c r="AN663" s="44"/>
      <c r="AO663" s="44"/>
      <c r="AP663" s="44"/>
      <c r="AQ663" s="44"/>
      <c r="AR663" s="44"/>
      <c r="AS663" s="44"/>
      <c r="AT663" s="45"/>
      <c r="AY663" s="45"/>
      <c r="BH663" s="45"/>
      <c r="BK663" s="45"/>
      <c r="BT663" s="45"/>
      <c r="BU663" s="45"/>
      <c r="CK663" s="10"/>
      <c r="EF663" s="20"/>
      <c r="FD663" s="21"/>
      <c r="FE663" s="21"/>
      <c r="FN663" s="22"/>
      <c r="FO663" s="22"/>
      <c r="FZ663" s="23"/>
      <c r="GA663" s="23"/>
      <c r="JD663" s="26"/>
      <c r="JE663" s="26"/>
      <c r="JF663" s="27"/>
      <c r="JG663" s="27"/>
      <c r="KL663" s="28"/>
      <c r="KP663" s="28"/>
      <c r="KT663" s="28"/>
      <c r="KX663" s="28"/>
      <c r="LB663" s="28"/>
      <c r="LF663" s="28"/>
      <c r="LJ663" s="28"/>
    </row>
    <row r="664" spans="1:322" ht="13.2">
      <c r="A664" s="42"/>
      <c r="B664" s="42"/>
      <c r="C664" s="42"/>
      <c r="D664" s="52"/>
      <c r="E664" s="52"/>
      <c r="O664" s="43"/>
      <c r="AL664" s="44"/>
      <c r="AM664" s="44"/>
      <c r="AN664" s="44"/>
      <c r="AO664" s="44"/>
      <c r="AP664" s="44"/>
      <c r="AQ664" s="44"/>
      <c r="AR664" s="44"/>
      <c r="AS664" s="44"/>
      <c r="AT664" s="45"/>
      <c r="AY664" s="45"/>
      <c r="BH664" s="45"/>
      <c r="BK664" s="45"/>
      <c r="BT664" s="45"/>
      <c r="BU664" s="45"/>
      <c r="CK664" s="10"/>
      <c r="EF664" s="20"/>
      <c r="FD664" s="21"/>
      <c r="FE664" s="21"/>
      <c r="FN664" s="22"/>
      <c r="FO664" s="22"/>
      <c r="FZ664" s="23"/>
      <c r="GA664" s="23"/>
      <c r="JD664" s="26"/>
      <c r="JE664" s="26"/>
      <c r="JF664" s="27"/>
      <c r="JG664" s="27"/>
      <c r="KL664" s="28"/>
      <c r="KP664" s="28"/>
      <c r="KT664" s="28"/>
      <c r="KX664" s="28"/>
      <c r="LB664" s="28"/>
      <c r="LF664" s="28"/>
      <c r="LJ664" s="28"/>
    </row>
    <row r="665" spans="1:322" ht="13.2">
      <c r="A665" s="42"/>
      <c r="B665" s="42"/>
      <c r="C665" s="42"/>
      <c r="D665" s="52"/>
      <c r="E665" s="52"/>
      <c r="O665" s="43"/>
      <c r="AL665" s="44"/>
      <c r="AM665" s="44"/>
      <c r="AN665" s="44"/>
      <c r="AO665" s="44"/>
      <c r="AP665" s="44"/>
      <c r="AQ665" s="44"/>
      <c r="AR665" s="44"/>
      <c r="AS665" s="44"/>
      <c r="AT665" s="45"/>
      <c r="AY665" s="45"/>
      <c r="BH665" s="45"/>
      <c r="BK665" s="45"/>
      <c r="BT665" s="45"/>
      <c r="BU665" s="45"/>
      <c r="CK665" s="10"/>
      <c r="EF665" s="20"/>
      <c r="FD665" s="21"/>
      <c r="FE665" s="21"/>
      <c r="FN665" s="22"/>
      <c r="FO665" s="22"/>
      <c r="FZ665" s="23"/>
      <c r="GA665" s="23"/>
      <c r="JD665" s="26"/>
      <c r="JE665" s="26"/>
      <c r="JF665" s="27"/>
      <c r="JG665" s="27"/>
      <c r="KL665" s="28"/>
      <c r="KP665" s="28"/>
      <c r="KT665" s="28"/>
      <c r="KX665" s="28"/>
      <c r="LB665" s="28"/>
      <c r="LF665" s="28"/>
      <c r="LJ665" s="28"/>
    </row>
    <row r="666" spans="1:322" ht="13.2">
      <c r="A666" s="42"/>
      <c r="B666" s="42"/>
      <c r="C666" s="42"/>
      <c r="D666" s="52"/>
      <c r="E666" s="52"/>
      <c r="O666" s="43"/>
      <c r="AL666" s="44"/>
      <c r="AM666" s="44"/>
      <c r="AN666" s="44"/>
      <c r="AO666" s="44"/>
      <c r="AP666" s="44"/>
      <c r="AQ666" s="44"/>
      <c r="AR666" s="44"/>
      <c r="AS666" s="44"/>
      <c r="AT666" s="45"/>
      <c r="AY666" s="45"/>
      <c r="BH666" s="45"/>
      <c r="BK666" s="45"/>
      <c r="BT666" s="45"/>
      <c r="BU666" s="45"/>
      <c r="CK666" s="10"/>
      <c r="EF666" s="20"/>
      <c r="FD666" s="21"/>
      <c r="FE666" s="21"/>
      <c r="FN666" s="22"/>
      <c r="FO666" s="22"/>
      <c r="FZ666" s="23"/>
      <c r="GA666" s="23"/>
      <c r="JD666" s="26"/>
      <c r="JE666" s="26"/>
      <c r="JF666" s="27"/>
      <c r="JG666" s="27"/>
      <c r="KL666" s="28"/>
      <c r="KP666" s="28"/>
      <c r="KT666" s="28"/>
      <c r="KX666" s="28"/>
      <c r="LB666" s="28"/>
      <c r="LF666" s="28"/>
      <c r="LJ666" s="28"/>
    </row>
    <row r="667" spans="1:322" ht="13.2">
      <c r="A667" s="42"/>
      <c r="B667" s="42"/>
      <c r="C667" s="42"/>
      <c r="D667" s="52"/>
      <c r="E667" s="52"/>
      <c r="O667" s="43"/>
      <c r="AL667" s="44"/>
      <c r="AM667" s="44"/>
      <c r="AN667" s="44"/>
      <c r="AO667" s="44"/>
      <c r="AP667" s="44"/>
      <c r="AQ667" s="44"/>
      <c r="AR667" s="44"/>
      <c r="AS667" s="44"/>
      <c r="AT667" s="45"/>
      <c r="AY667" s="45"/>
      <c r="BH667" s="45"/>
      <c r="BK667" s="45"/>
      <c r="BT667" s="45"/>
      <c r="BU667" s="45"/>
      <c r="CK667" s="10"/>
      <c r="EF667" s="20"/>
      <c r="FD667" s="21"/>
      <c r="FE667" s="21"/>
      <c r="FN667" s="22"/>
      <c r="FO667" s="22"/>
      <c r="FZ667" s="23"/>
      <c r="GA667" s="23"/>
      <c r="JD667" s="26"/>
      <c r="JE667" s="26"/>
      <c r="JF667" s="27"/>
      <c r="JG667" s="27"/>
      <c r="KL667" s="28"/>
      <c r="KP667" s="28"/>
      <c r="KT667" s="28"/>
      <c r="KX667" s="28"/>
      <c r="LB667" s="28"/>
      <c r="LF667" s="28"/>
      <c r="LJ667" s="28"/>
    </row>
    <row r="668" spans="1:322" ht="13.2">
      <c r="A668" s="42"/>
      <c r="B668" s="42"/>
      <c r="C668" s="42"/>
      <c r="D668" s="52"/>
      <c r="E668" s="52"/>
      <c r="O668" s="43"/>
      <c r="AL668" s="44"/>
      <c r="AM668" s="44"/>
      <c r="AN668" s="44"/>
      <c r="AO668" s="44"/>
      <c r="AP668" s="44"/>
      <c r="AQ668" s="44"/>
      <c r="AR668" s="44"/>
      <c r="AS668" s="44"/>
      <c r="AT668" s="45"/>
      <c r="AY668" s="45"/>
      <c r="BH668" s="45"/>
      <c r="BK668" s="45"/>
      <c r="BT668" s="45"/>
      <c r="BU668" s="45"/>
      <c r="CK668" s="10"/>
      <c r="EF668" s="20"/>
      <c r="FD668" s="21"/>
      <c r="FE668" s="21"/>
      <c r="FN668" s="22"/>
      <c r="FO668" s="22"/>
      <c r="FZ668" s="23"/>
      <c r="GA668" s="23"/>
      <c r="JD668" s="26"/>
      <c r="JE668" s="26"/>
      <c r="JF668" s="27"/>
      <c r="JG668" s="27"/>
      <c r="KL668" s="28"/>
      <c r="KP668" s="28"/>
      <c r="KT668" s="28"/>
      <c r="KX668" s="28"/>
      <c r="LB668" s="28"/>
      <c r="LF668" s="28"/>
      <c r="LJ668" s="28"/>
    </row>
    <row r="669" spans="1:322" ht="13.2">
      <c r="A669" s="42"/>
      <c r="B669" s="42"/>
      <c r="C669" s="42"/>
      <c r="D669" s="52"/>
      <c r="E669" s="52"/>
      <c r="O669" s="43"/>
      <c r="AL669" s="44"/>
      <c r="AM669" s="44"/>
      <c r="AN669" s="44"/>
      <c r="AO669" s="44"/>
      <c r="AP669" s="44"/>
      <c r="AQ669" s="44"/>
      <c r="AR669" s="44"/>
      <c r="AS669" s="44"/>
      <c r="AT669" s="45"/>
      <c r="AY669" s="45"/>
      <c r="BH669" s="45"/>
      <c r="BK669" s="45"/>
      <c r="BT669" s="45"/>
      <c r="BU669" s="45"/>
      <c r="CK669" s="10"/>
      <c r="EF669" s="20"/>
      <c r="FD669" s="21"/>
      <c r="FE669" s="21"/>
      <c r="FN669" s="22"/>
      <c r="FO669" s="22"/>
      <c r="FZ669" s="23"/>
      <c r="GA669" s="23"/>
      <c r="JD669" s="26"/>
      <c r="JE669" s="26"/>
      <c r="JF669" s="27"/>
      <c r="JG669" s="27"/>
      <c r="KL669" s="28"/>
      <c r="KP669" s="28"/>
      <c r="KT669" s="28"/>
      <c r="KX669" s="28"/>
      <c r="LB669" s="28"/>
      <c r="LF669" s="28"/>
      <c r="LJ669" s="28"/>
    </row>
    <row r="670" spans="1:322" ht="13.2">
      <c r="A670" s="42"/>
      <c r="B670" s="42"/>
      <c r="C670" s="42"/>
      <c r="D670" s="52"/>
      <c r="E670" s="52"/>
      <c r="O670" s="43"/>
      <c r="AL670" s="44"/>
      <c r="AM670" s="44"/>
      <c r="AN670" s="44"/>
      <c r="AO670" s="44"/>
      <c r="AP670" s="44"/>
      <c r="AQ670" s="44"/>
      <c r="AR670" s="44"/>
      <c r="AS670" s="44"/>
      <c r="AT670" s="45"/>
      <c r="AY670" s="45"/>
      <c r="BH670" s="45"/>
      <c r="BK670" s="45"/>
      <c r="BT670" s="45"/>
      <c r="BU670" s="45"/>
      <c r="CK670" s="10"/>
      <c r="EF670" s="20"/>
      <c r="FD670" s="21"/>
      <c r="FE670" s="21"/>
      <c r="FN670" s="22"/>
      <c r="FO670" s="22"/>
      <c r="FZ670" s="23"/>
      <c r="GA670" s="23"/>
      <c r="JD670" s="26"/>
      <c r="JE670" s="26"/>
      <c r="JF670" s="27"/>
      <c r="JG670" s="27"/>
      <c r="KL670" s="28"/>
      <c r="KP670" s="28"/>
      <c r="KT670" s="28"/>
      <c r="KX670" s="28"/>
      <c r="LB670" s="28"/>
      <c r="LF670" s="28"/>
      <c r="LJ670" s="28"/>
    </row>
    <row r="671" spans="1:322" ht="13.2">
      <c r="A671" s="42"/>
      <c r="B671" s="42"/>
      <c r="C671" s="42"/>
      <c r="D671" s="52"/>
      <c r="E671" s="52"/>
      <c r="O671" s="43"/>
      <c r="AL671" s="44"/>
      <c r="AM671" s="44"/>
      <c r="AN671" s="44"/>
      <c r="AO671" s="44"/>
      <c r="AP671" s="44"/>
      <c r="AQ671" s="44"/>
      <c r="AR671" s="44"/>
      <c r="AS671" s="44"/>
      <c r="AT671" s="45"/>
      <c r="AY671" s="45"/>
      <c r="BH671" s="45"/>
      <c r="BK671" s="45"/>
      <c r="BT671" s="45"/>
      <c r="BU671" s="45"/>
      <c r="CK671" s="10"/>
      <c r="EF671" s="20"/>
      <c r="FD671" s="21"/>
      <c r="FE671" s="21"/>
      <c r="FN671" s="22"/>
      <c r="FO671" s="22"/>
      <c r="FZ671" s="23"/>
      <c r="GA671" s="23"/>
      <c r="JD671" s="26"/>
      <c r="JE671" s="26"/>
      <c r="JF671" s="27"/>
      <c r="JG671" s="27"/>
      <c r="KL671" s="28"/>
      <c r="KP671" s="28"/>
      <c r="KT671" s="28"/>
      <c r="KX671" s="28"/>
      <c r="LB671" s="28"/>
      <c r="LF671" s="28"/>
      <c r="LJ671" s="28"/>
    </row>
    <row r="672" spans="1:322" ht="13.2">
      <c r="A672" s="42"/>
      <c r="B672" s="42"/>
      <c r="C672" s="42"/>
      <c r="D672" s="52"/>
      <c r="E672" s="52"/>
      <c r="O672" s="43"/>
      <c r="AL672" s="44"/>
      <c r="AM672" s="44"/>
      <c r="AN672" s="44"/>
      <c r="AO672" s="44"/>
      <c r="AP672" s="44"/>
      <c r="AQ672" s="44"/>
      <c r="AR672" s="44"/>
      <c r="AS672" s="44"/>
      <c r="AT672" s="45"/>
      <c r="AY672" s="45"/>
      <c r="BH672" s="45"/>
      <c r="BK672" s="45"/>
      <c r="BT672" s="45"/>
      <c r="BU672" s="45"/>
      <c r="CK672" s="10"/>
      <c r="EF672" s="20"/>
      <c r="FD672" s="21"/>
      <c r="FE672" s="21"/>
      <c r="FN672" s="22"/>
      <c r="FO672" s="22"/>
      <c r="FZ672" s="23"/>
      <c r="GA672" s="23"/>
      <c r="JD672" s="26"/>
      <c r="JE672" s="26"/>
      <c r="JF672" s="27"/>
      <c r="JG672" s="27"/>
      <c r="KL672" s="28"/>
      <c r="KP672" s="28"/>
      <c r="KT672" s="28"/>
      <c r="KX672" s="28"/>
      <c r="LB672" s="28"/>
      <c r="LF672" s="28"/>
      <c r="LJ672" s="28"/>
    </row>
    <row r="673" spans="1:322" ht="13.2">
      <c r="A673" s="42"/>
      <c r="B673" s="42"/>
      <c r="C673" s="42"/>
      <c r="D673" s="52"/>
      <c r="E673" s="52"/>
      <c r="O673" s="43"/>
      <c r="AL673" s="44"/>
      <c r="AM673" s="44"/>
      <c r="AN673" s="44"/>
      <c r="AO673" s="44"/>
      <c r="AP673" s="44"/>
      <c r="AQ673" s="44"/>
      <c r="AR673" s="44"/>
      <c r="AS673" s="44"/>
      <c r="AT673" s="45"/>
      <c r="AY673" s="45"/>
      <c r="BH673" s="45"/>
      <c r="BK673" s="45"/>
      <c r="BT673" s="45"/>
      <c r="BU673" s="45"/>
      <c r="CK673" s="10"/>
      <c r="EF673" s="20"/>
      <c r="FD673" s="21"/>
      <c r="FE673" s="21"/>
      <c r="FN673" s="22"/>
      <c r="FO673" s="22"/>
      <c r="FZ673" s="23"/>
      <c r="GA673" s="23"/>
      <c r="JD673" s="26"/>
      <c r="JE673" s="26"/>
      <c r="JF673" s="27"/>
      <c r="JG673" s="27"/>
      <c r="KL673" s="28"/>
      <c r="KP673" s="28"/>
      <c r="KT673" s="28"/>
      <c r="KX673" s="28"/>
      <c r="LB673" s="28"/>
      <c r="LF673" s="28"/>
      <c r="LJ673" s="28"/>
    </row>
    <row r="674" spans="1:322" ht="13.2">
      <c r="A674" s="42"/>
      <c r="B674" s="42"/>
      <c r="C674" s="42"/>
      <c r="D674" s="52"/>
      <c r="E674" s="52"/>
      <c r="O674" s="43"/>
      <c r="AL674" s="44"/>
      <c r="AM674" s="44"/>
      <c r="AN674" s="44"/>
      <c r="AO674" s="44"/>
      <c r="AP674" s="44"/>
      <c r="AQ674" s="44"/>
      <c r="AR674" s="44"/>
      <c r="AS674" s="44"/>
      <c r="AT674" s="45"/>
      <c r="AY674" s="45"/>
      <c r="BH674" s="45"/>
      <c r="BK674" s="45"/>
      <c r="BT674" s="45"/>
      <c r="BU674" s="45"/>
      <c r="CK674" s="10"/>
      <c r="EF674" s="20"/>
      <c r="FD674" s="21"/>
      <c r="FE674" s="21"/>
      <c r="FN674" s="22"/>
      <c r="FO674" s="22"/>
      <c r="FZ674" s="23"/>
      <c r="GA674" s="23"/>
      <c r="JD674" s="26"/>
      <c r="JE674" s="26"/>
      <c r="JF674" s="27"/>
      <c r="JG674" s="27"/>
      <c r="KL674" s="28"/>
      <c r="KP674" s="28"/>
      <c r="KT674" s="28"/>
      <c r="KX674" s="28"/>
      <c r="LB674" s="28"/>
      <c r="LF674" s="28"/>
      <c r="LJ674" s="28"/>
    </row>
    <row r="675" spans="1:322" ht="13.2">
      <c r="A675" s="42"/>
      <c r="B675" s="42"/>
      <c r="C675" s="42"/>
      <c r="D675" s="52"/>
      <c r="E675" s="52"/>
      <c r="O675" s="43"/>
      <c r="AL675" s="44"/>
      <c r="AM675" s="44"/>
      <c r="AN675" s="44"/>
      <c r="AO675" s="44"/>
      <c r="AP675" s="44"/>
      <c r="AQ675" s="44"/>
      <c r="AR675" s="44"/>
      <c r="AS675" s="44"/>
      <c r="AT675" s="45"/>
      <c r="AY675" s="45"/>
      <c r="BH675" s="45"/>
      <c r="BK675" s="45"/>
      <c r="BT675" s="45"/>
      <c r="BU675" s="45"/>
      <c r="CK675" s="10"/>
      <c r="EF675" s="20"/>
      <c r="FD675" s="21"/>
      <c r="FE675" s="21"/>
      <c r="FN675" s="22"/>
      <c r="FO675" s="22"/>
      <c r="FZ675" s="23"/>
      <c r="GA675" s="23"/>
      <c r="JD675" s="26"/>
      <c r="JE675" s="26"/>
      <c r="JF675" s="27"/>
      <c r="JG675" s="27"/>
      <c r="KL675" s="28"/>
      <c r="KP675" s="28"/>
      <c r="KT675" s="28"/>
      <c r="KX675" s="28"/>
      <c r="LB675" s="28"/>
      <c r="LF675" s="28"/>
      <c r="LJ675" s="28"/>
    </row>
    <row r="676" spans="1:322" ht="13.2">
      <c r="A676" s="42"/>
      <c r="B676" s="42"/>
      <c r="C676" s="42"/>
      <c r="D676" s="52"/>
      <c r="E676" s="52"/>
      <c r="O676" s="43"/>
      <c r="AL676" s="44"/>
      <c r="AM676" s="44"/>
      <c r="AN676" s="44"/>
      <c r="AO676" s="44"/>
      <c r="AP676" s="44"/>
      <c r="AQ676" s="44"/>
      <c r="AR676" s="44"/>
      <c r="AS676" s="44"/>
      <c r="AT676" s="45"/>
      <c r="AY676" s="45"/>
      <c r="BH676" s="45"/>
      <c r="BK676" s="45"/>
      <c r="BT676" s="45"/>
      <c r="BU676" s="45"/>
      <c r="CK676" s="10"/>
      <c r="EF676" s="20"/>
      <c r="FD676" s="21"/>
      <c r="FE676" s="21"/>
      <c r="FN676" s="22"/>
      <c r="FO676" s="22"/>
      <c r="FZ676" s="23"/>
      <c r="GA676" s="23"/>
      <c r="JD676" s="26"/>
      <c r="JE676" s="26"/>
      <c r="JF676" s="27"/>
      <c r="JG676" s="27"/>
      <c r="KL676" s="28"/>
      <c r="KP676" s="28"/>
      <c r="KT676" s="28"/>
      <c r="KX676" s="28"/>
      <c r="LB676" s="28"/>
      <c r="LF676" s="28"/>
      <c r="LJ676" s="28"/>
    </row>
    <row r="677" spans="1:322" ht="13.2">
      <c r="A677" s="42"/>
      <c r="B677" s="42"/>
      <c r="C677" s="42"/>
      <c r="D677" s="52"/>
      <c r="E677" s="52"/>
      <c r="O677" s="43"/>
      <c r="AL677" s="44"/>
      <c r="AM677" s="44"/>
      <c r="AN677" s="44"/>
      <c r="AO677" s="44"/>
      <c r="AP677" s="44"/>
      <c r="AQ677" s="44"/>
      <c r="AR677" s="44"/>
      <c r="AS677" s="44"/>
      <c r="AT677" s="45"/>
      <c r="AY677" s="45"/>
      <c r="BH677" s="45"/>
      <c r="BK677" s="45"/>
      <c r="BT677" s="45"/>
      <c r="BU677" s="45"/>
      <c r="CK677" s="10"/>
      <c r="EF677" s="20"/>
      <c r="FD677" s="21"/>
      <c r="FE677" s="21"/>
      <c r="FN677" s="22"/>
      <c r="FO677" s="22"/>
      <c r="FZ677" s="23"/>
      <c r="GA677" s="23"/>
      <c r="JD677" s="26"/>
      <c r="JE677" s="26"/>
      <c r="JF677" s="27"/>
      <c r="JG677" s="27"/>
      <c r="KL677" s="28"/>
      <c r="KP677" s="28"/>
      <c r="KT677" s="28"/>
      <c r="KX677" s="28"/>
      <c r="LB677" s="28"/>
      <c r="LF677" s="28"/>
      <c r="LJ677" s="28"/>
    </row>
    <row r="678" spans="1:322" ht="13.2">
      <c r="A678" s="42"/>
      <c r="B678" s="42"/>
      <c r="C678" s="42"/>
      <c r="D678" s="52"/>
      <c r="E678" s="52"/>
      <c r="O678" s="43"/>
      <c r="AL678" s="44"/>
      <c r="AM678" s="44"/>
      <c r="AN678" s="44"/>
      <c r="AO678" s="44"/>
      <c r="AP678" s="44"/>
      <c r="AQ678" s="44"/>
      <c r="AR678" s="44"/>
      <c r="AS678" s="44"/>
      <c r="AT678" s="45"/>
      <c r="AY678" s="45"/>
      <c r="BH678" s="45"/>
      <c r="BK678" s="45"/>
      <c r="BT678" s="45"/>
      <c r="BU678" s="45"/>
      <c r="CK678" s="10"/>
      <c r="EF678" s="20"/>
      <c r="FD678" s="21"/>
      <c r="FE678" s="21"/>
      <c r="FN678" s="22"/>
      <c r="FO678" s="22"/>
      <c r="FZ678" s="23"/>
      <c r="GA678" s="23"/>
      <c r="JD678" s="26"/>
      <c r="JE678" s="26"/>
      <c r="JF678" s="27"/>
      <c r="JG678" s="27"/>
      <c r="KL678" s="28"/>
      <c r="KP678" s="28"/>
      <c r="KT678" s="28"/>
      <c r="KX678" s="28"/>
      <c r="LB678" s="28"/>
      <c r="LF678" s="28"/>
      <c r="LJ678" s="28"/>
    </row>
    <row r="679" spans="1:322" ht="13.2">
      <c r="A679" s="42"/>
      <c r="B679" s="42"/>
      <c r="C679" s="42"/>
      <c r="D679" s="52"/>
      <c r="E679" s="52"/>
      <c r="O679" s="43"/>
      <c r="AL679" s="44"/>
      <c r="AM679" s="44"/>
      <c r="AN679" s="44"/>
      <c r="AO679" s="44"/>
      <c r="AP679" s="44"/>
      <c r="AQ679" s="44"/>
      <c r="AR679" s="44"/>
      <c r="AS679" s="44"/>
      <c r="AT679" s="45"/>
      <c r="AY679" s="45"/>
      <c r="BH679" s="45"/>
      <c r="BK679" s="45"/>
      <c r="BT679" s="45"/>
      <c r="BU679" s="45"/>
      <c r="CK679" s="10"/>
      <c r="EF679" s="20"/>
      <c r="FD679" s="21"/>
      <c r="FE679" s="21"/>
      <c r="FN679" s="22"/>
      <c r="FO679" s="22"/>
      <c r="FZ679" s="23"/>
      <c r="GA679" s="23"/>
      <c r="JD679" s="26"/>
      <c r="JE679" s="26"/>
      <c r="JF679" s="27"/>
      <c r="JG679" s="27"/>
      <c r="KL679" s="28"/>
      <c r="KP679" s="28"/>
      <c r="KT679" s="28"/>
      <c r="KX679" s="28"/>
      <c r="LB679" s="28"/>
      <c r="LF679" s="28"/>
      <c r="LJ679" s="28"/>
    </row>
    <row r="680" spans="1:322" ht="13.2">
      <c r="A680" s="42"/>
      <c r="B680" s="42"/>
      <c r="C680" s="42"/>
      <c r="D680" s="52"/>
      <c r="E680" s="52"/>
      <c r="O680" s="43"/>
      <c r="AL680" s="44"/>
      <c r="AM680" s="44"/>
      <c r="AN680" s="44"/>
      <c r="AO680" s="44"/>
      <c r="AP680" s="44"/>
      <c r="AQ680" s="44"/>
      <c r="AR680" s="44"/>
      <c r="AS680" s="44"/>
      <c r="AT680" s="45"/>
      <c r="AY680" s="45"/>
      <c r="BH680" s="45"/>
      <c r="BK680" s="45"/>
      <c r="BT680" s="45"/>
      <c r="BU680" s="45"/>
      <c r="CK680" s="10"/>
      <c r="EF680" s="20"/>
      <c r="FD680" s="21"/>
      <c r="FE680" s="21"/>
      <c r="FN680" s="22"/>
      <c r="FO680" s="22"/>
      <c r="FZ680" s="23"/>
      <c r="GA680" s="23"/>
      <c r="JD680" s="26"/>
      <c r="JE680" s="26"/>
      <c r="JF680" s="27"/>
      <c r="JG680" s="27"/>
      <c r="KL680" s="28"/>
      <c r="KP680" s="28"/>
      <c r="KT680" s="28"/>
      <c r="KX680" s="28"/>
      <c r="LB680" s="28"/>
      <c r="LF680" s="28"/>
      <c r="LJ680" s="28"/>
    </row>
    <row r="681" spans="1:322" ht="13.2">
      <c r="A681" s="42"/>
      <c r="B681" s="42"/>
      <c r="C681" s="42"/>
      <c r="D681" s="52"/>
      <c r="E681" s="52"/>
      <c r="O681" s="43"/>
      <c r="AL681" s="44"/>
      <c r="AM681" s="44"/>
      <c r="AN681" s="44"/>
      <c r="AO681" s="44"/>
      <c r="AP681" s="44"/>
      <c r="AQ681" s="44"/>
      <c r="AR681" s="44"/>
      <c r="AS681" s="44"/>
      <c r="AT681" s="45"/>
      <c r="AY681" s="45"/>
      <c r="BH681" s="45"/>
      <c r="BK681" s="45"/>
      <c r="BT681" s="45"/>
      <c r="BU681" s="45"/>
      <c r="CK681" s="10"/>
      <c r="EF681" s="20"/>
      <c r="FD681" s="21"/>
      <c r="FE681" s="21"/>
      <c r="FN681" s="22"/>
      <c r="FO681" s="22"/>
      <c r="FZ681" s="23"/>
      <c r="GA681" s="23"/>
      <c r="JD681" s="26"/>
      <c r="JE681" s="26"/>
      <c r="JF681" s="27"/>
      <c r="JG681" s="27"/>
      <c r="KL681" s="28"/>
      <c r="KP681" s="28"/>
      <c r="KT681" s="28"/>
      <c r="KX681" s="28"/>
      <c r="LB681" s="28"/>
      <c r="LF681" s="28"/>
      <c r="LJ681" s="28"/>
    </row>
    <row r="682" spans="1:322" ht="13.2">
      <c r="A682" s="42"/>
      <c r="B682" s="42"/>
      <c r="C682" s="42"/>
      <c r="D682" s="52"/>
      <c r="E682" s="52"/>
      <c r="O682" s="43"/>
      <c r="AL682" s="44"/>
      <c r="AM682" s="44"/>
      <c r="AN682" s="44"/>
      <c r="AO682" s="44"/>
      <c r="AP682" s="44"/>
      <c r="AQ682" s="44"/>
      <c r="AR682" s="44"/>
      <c r="AS682" s="44"/>
      <c r="AT682" s="45"/>
      <c r="AY682" s="45"/>
      <c r="BH682" s="45"/>
      <c r="BK682" s="45"/>
      <c r="BT682" s="45"/>
      <c r="BU682" s="45"/>
      <c r="CK682" s="10"/>
      <c r="EF682" s="20"/>
      <c r="FD682" s="21"/>
      <c r="FE682" s="21"/>
      <c r="FN682" s="22"/>
      <c r="FO682" s="22"/>
      <c r="FZ682" s="23"/>
      <c r="GA682" s="23"/>
      <c r="JD682" s="26"/>
      <c r="JE682" s="26"/>
      <c r="JF682" s="27"/>
      <c r="JG682" s="27"/>
      <c r="KL682" s="28"/>
      <c r="KP682" s="28"/>
      <c r="KT682" s="28"/>
      <c r="KX682" s="28"/>
      <c r="LB682" s="28"/>
      <c r="LF682" s="28"/>
      <c r="LJ682" s="28"/>
    </row>
    <row r="683" spans="1:322" ht="13.2">
      <c r="A683" s="42"/>
      <c r="B683" s="42"/>
      <c r="C683" s="42"/>
      <c r="D683" s="52"/>
      <c r="E683" s="52"/>
      <c r="O683" s="43"/>
      <c r="AL683" s="44"/>
      <c r="AM683" s="44"/>
      <c r="AN683" s="44"/>
      <c r="AO683" s="44"/>
      <c r="AP683" s="44"/>
      <c r="AQ683" s="44"/>
      <c r="AR683" s="44"/>
      <c r="AS683" s="44"/>
      <c r="AT683" s="45"/>
      <c r="AY683" s="45"/>
      <c r="BH683" s="45"/>
      <c r="BK683" s="45"/>
      <c r="BT683" s="45"/>
      <c r="BU683" s="45"/>
      <c r="CK683" s="10"/>
      <c r="EF683" s="20"/>
      <c r="FD683" s="21"/>
      <c r="FE683" s="21"/>
      <c r="FN683" s="22"/>
      <c r="FO683" s="22"/>
      <c r="FZ683" s="23"/>
      <c r="GA683" s="23"/>
      <c r="JD683" s="26"/>
      <c r="JE683" s="26"/>
      <c r="JF683" s="27"/>
      <c r="JG683" s="27"/>
      <c r="KL683" s="28"/>
      <c r="KP683" s="28"/>
      <c r="KT683" s="28"/>
      <c r="KX683" s="28"/>
      <c r="LB683" s="28"/>
      <c r="LF683" s="28"/>
      <c r="LJ683" s="28"/>
    </row>
    <row r="684" spans="1:322" ht="13.2">
      <c r="A684" s="42"/>
      <c r="B684" s="42"/>
      <c r="C684" s="42"/>
      <c r="D684" s="52"/>
      <c r="E684" s="52"/>
      <c r="O684" s="43"/>
      <c r="AL684" s="44"/>
      <c r="AM684" s="44"/>
      <c r="AN684" s="44"/>
      <c r="AO684" s="44"/>
      <c r="AP684" s="44"/>
      <c r="AQ684" s="44"/>
      <c r="AR684" s="44"/>
      <c r="AS684" s="44"/>
      <c r="AT684" s="45"/>
      <c r="AY684" s="45"/>
      <c r="BH684" s="45"/>
      <c r="BK684" s="45"/>
      <c r="BT684" s="45"/>
      <c r="BU684" s="45"/>
      <c r="CK684" s="10"/>
      <c r="EF684" s="20"/>
      <c r="FD684" s="21"/>
      <c r="FE684" s="21"/>
      <c r="FN684" s="22"/>
      <c r="FO684" s="22"/>
      <c r="FZ684" s="23"/>
      <c r="GA684" s="23"/>
      <c r="JD684" s="26"/>
      <c r="JE684" s="26"/>
      <c r="JF684" s="27"/>
      <c r="JG684" s="27"/>
      <c r="KL684" s="28"/>
      <c r="KP684" s="28"/>
      <c r="KT684" s="28"/>
      <c r="KX684" s="28"/>
      <c r="LB684" s="28"/>
      <c r="LF684" s="28"/>
      <c r="LJ684" s="28"/>
    </row>
    <row r="685" spans="1:322" ht="13.2">
      <c r="A685" s="42"/>
      <c r="B685" s="42"/>
      <c r="C685" s="42"/>
      <c r="D685" s="52"/>
      <c r="E685" s="52"/>
      <c r="O685" s="43"/>
      <c r="AL685" s="44"/>
      <c r="AM685" s="44"/>
      <c r="AN685" s="44"/>
      <c r="AO685" s="44"/>
      <c r="AP685" s="44"/>
      <c r="AQ685" s="44"/>
      <c r="AR685" s="44"/>
      <c r="AS685" s="44"/>
      <c r="AT685" s="45"/>
      <c r="AY685" s="45"/>
      <c r="BH685" s="45"/>
      <c r="BK685" s="45"/>
      <c r="BT685" s="45"/>
      <c r="BU685" s="45"/>
      <c r="CK685" s="10"/>
      <c r="EF685" s="20"/>
      <c r="FD685" s="21"/>
      <c r="FE685" s="21"/>
      <c r="FN685" s="22"/>
      <c r="FO685" s="22"/>
      <c r="FZ685" s="23"/>
      <c r="GA685" s="23"/>
      <c r="JD685" s="26"/>
      <c r="JE685" s="26"/>
      <c r="JF685" s="27"/>
      <c r="JG685" s="27"/>
      <c r="KL685" s="28"/>
      <c r="KP685" s="28"/>
      <c r="KT685" s="28"/>
      <c r="KX685" s="28"/>
      <c r="LB685" s="28"/>
      <c r="LF685" s="28"/>
      <c r="LJ685" s="28"/>
    </row>
    <row r="686" spans="1:322" ht="13.2">
      <c r="A686" s="42"/>
      <c r="B686" s="42"/>
      <c r="C686" s="42"/>
      <c r="D686" s="52"/>
      <c r="E686" s="52"/>
      <c r="O686" s="43"/>
      <c r="AL686" s="44"/>
      <c r="AM686" s="44"/>
      <c r="AN686" s="44"/>
      <c r="AO686" s="44"/>
      <c r="AP686" s="44"/>
      <c r="AQ686" s="44"/>
      <c r="AR686" s="44"/>
      <c r="AS686" s="44"/>
      <c r="AT686" s="45"/>
      <c r="AY686" s="45"/>
      <c r="BH686" s="45"/>
      <c r="BK686" s="45"/>
      <c r="BT686" s="45"/>
      <c r="BU686" s="45"/>
      <c r="CK686" s="10"/>
      <c r="EF686" s="20"/>
      <c r="FD686" s="21"/>
      <c r="FE686" s="21"/>
      <c r="FN686" s="22"/>
      <c r="FO686" s="22"/>
      <c r="FZ686" s="23"/>
      <c r="GA686" s="23"/>
      <c r="JD686" s="26"/>
      <c r="JE686" s="26"/>
      <c r="JF686" s="27"/>
      <c r="JG686" s="27"/>
      <c r="KL686" s="28"/>
      <c r="KP686" s="28"/>
      <c r="KT686" s="28"/>
      <c r="KX686" s="28"/>
      <c r="LB686" s="28"/>
      <c r="LF686" s="28"/>
      <c r="LJ686" s="28"/>
    </row>
    <row r="687" spans="1:322" ht="13.2">
      <c r="A687" s="42"/>
      <c r="B687" s="42"/>
      <c r="C687" s="42"/>
      <c r="D687" s="52"/>
      <c r="E687" s="52"/>
      <c r="O687" s="43"/>
      <c r="AL687" s="44"/>
      <c r="AM687" s="44"/>
      <c r="AN687" s="44"/>
      <c r="AO687" s="44"/>
      <c r="AP687" s="44"/>
      <c r="AQ687" s="44"/>
      <c r="AR687" s="44"/>
      <c r="AS687" s="44"/>
      <c r="AT687" s="45"/>
      <c r="AY687" s="45"/>
      <c r="BH687" s="45"/>
      <c r="BK687" s="45"/>
      <c r="BT687" s="45"/>
      <c r="BU687" s="45"/>
      <c r="CK687" s="10"/>
      <c r="EF687" s="20"/>
      <c r="FD687" s="21"/>
      <c r="FE687" s="21"/>
      <c r="FN687" s="22"/>
      <c r="FO687" s="22"/>
      <c r="FZ687" s="23"/>
      <c r="GA687" s="23"/>
      <c r="JD687" s="26"/>
      <c r="JE687" s="26"/>
      <c r="JF687" s="27"/>
      <c r="JG687" s="27"/>
      <c r="KL687" s="28"/>
      <c r="KP687" s="28"/>
      <c r="KT687" s="28"/>
      <c r="KX687" s="28"/>
      <c r="LB687" s="28"/>
      <c r="LF687" s="28"/>
      <c r="LJ687" s="28"/>
    </row>
    <row r="688" spans="1:322" ht="13.2">
      <c r="A688" s="42"/>
      <c r="B688" s="42"/>
      <c r="C688" s="42"/>
      <c r="D688" s="52"/>
      <c r="E688" s="52"/>
      <c r="O688" s="43"/>
      <c r="AL688" s="44"/>
      <c r="AM688" s="44"/>
      <c r="AN688" s="44"/>
      <c r="AO688" s="44"/>
      <c r="AP688" s="44"/>
      <c r="AQ688" s="44"/>
      <c r="AR688" s="44"/>
      <c r="AS688" s="44"/>
      <c r="AT688" s="45"/>
      <c r="AY688" s="45"/>
      <c r="BH688" s="45"/>
      <c r="BK688" s="45"/>
      <c r="BT688" s="45"/>
      <c r="BU688" s="45"/>
      <c r="CK688" s="10"/>
      <c r="EF688" s="20"/>
      <c r="FD688" s="21"/>
      <c r="FE688" s="21"/>
      <c r="FN688" s="22"/>
      <c r="FO688" s="22"/>
      <c r="FZ688" s="23"/>
      <c r="GA688" s="23"/>
      <c r="JD688" s="26"/>
      <c r="JE688" s="26"/>
      <c r="JF688" s="27"/>
      <c r="JG688" s="27"/>
      <c r="KL688" s="28"/>
      <c r="KP688" s="28"/>
      <c r="KT688" s="28"/>
      <c r="KX688" s="28"/>
      <c r="LB688" s="28"/>
      <c r="LF688" s="28"/>
      <c r="LJ688" s="28"/>
    </row>
    <row r="689" spans="1:322" ht="13.2">
      <c r="A689" s="42"/>
      <c r="B689" s="42"/>
      <c r="C689" s="42"/>
      <c r="D689" s="52"/>
      <c r="E689" s="52"/>
      <c r="O689" s="43"/>
      <c r="AL689" s="44"/>
      <c r="AM689" s="44"/>
      <c r="AN689" s="44"/>
      <c r="AO689" s="44"/>
      <c r="AP689" s="44"/>
      <c r="AQ689" s="44"/>
      <c r="AR689" s="44"/>
      <c r="AS689" s="44"/>
      <c r="AT689" s="45"/>
      <c r="AY689" s="45"/>
      <c r="BH689" s="45"/>
      <c r="BK689" s="45"/>
      <c r="BT689" s="45"/>
      <c r="BU689" s="45"/>
      <c r="CK689" s="10"/>
      <c r="EF689" s="20"/>
      <c r="FD689" s="21"/>
      <c r="FE689" s="21"/>
      <c r="FN689" s="22"/>
      <c r="FO689" s="22"/>
      <c r="FZ689" s="23"/>
      <c r="GA689" s="23"/>
      <c r="JD689" s="26"/>
      <c r="JE689" s="26"/>
      <c r="JF689" s="27"/>
      <c r="JG689" s="27"/>
      <c r="KL689" s="28"/>
      <c r="KP689" s="28"/>
      <c r="KT689" s="28"/>
      <c r="KX689" s="28"/>
      <c r="LB689" s="28"/>
      <c r="LF689" s="28"/>
      <c r="LJ689" s="28"/>
    </row>
    <row r="690" spans="1:322" ht="13.2">
      <c r="A690" s="42"/>
      <c r="B690" s="42"/>
      <c r="C690" s="42"/>
      <c r="D690" s="52"/>
      <c r="E690" s="52"/>
      <c r="O690" s="43"/>
      <c r="AL690" s="44"/>
      <c r="AM690" s="44"/>
      <c r="AN690" s="44"/>
      <c r="AO690" s="44"/>
      <c r="AP690" s="44"/>
      <c r="AQ690" s="44"/>
      <c r="AR690" s="44"/>
      <c r="AS690" s="44"/>
      <c r="AT690" s="45"/>
      <c r="AY690" s="45"/>
      <c r="BH690" s="45"/>
      <c r="BK690" s="45"/>
      <c r="BT690" s="45"/>
      <c r="BU690" s="45"/>
      <c r="CK690" s="10"/>
      <c r="EF690" s="20"/>
      <c r="FD690" s="21"/>
      <c r="FE690" s="21"/>
      <c r="FN690" s="22"/>
      <c r="FO690" s="22"/>
      <c r="FZ690" s="23"/>
      <c r="GA690" s="23"/>
      <c r="JD690" s="26"/>
      <c r="JE690" s="26"/>
      <c r="JF690" s="27"/>
      <c r="JG690" s="27"/>
      <c r="KL690" s="28"/>
      <c r="KP690" s="28"/>
      <c r="KT690" s="28"/>
      <c r="KX690" s="28"/>
      <c r="LB690" s="28"/>
      <c r="LF690" s="28"/>
      <c r="LJ690" s="28"/>
    </row>
    <row r="691" spans="1:322" ht="13.2">
      <c r="A691" s="42"/>
      <c r="B691" s="42"/>
      <c r="C691" s="42"/>
      <c r="D691" s="52"/>
      <c r="E691" s="52"/>
      <c r="O691" s="43"/>
      <c r="AL691" s="44"/>
      <c r="AM691" s="44"/>
      <c r="AN691" s="44"/>
      <c r="AO691" s="44"/>
      <c r="AP691" s="44"/>
      <c r="AQ691" s="44"/>
      <c r="AR691" s="44"/>
      <c r="AS691" s="44"/>
      <c r="AT691" s="45"/>
      <c r="AY691" s="45"/>
      <c r="BH691" s="45"/>
      <c r="BK691" s="45"/>
      <c r="BT691" s="45"/>
      <c r="BU691" s="45"/>
      <c r="CK691" s="10"/>
      <c r="EF691" s="20"/>
      <c r="FD691" s="21"/>
      <c r="FE691" s="21"/>
      <c r="FN691" s="22"/>
      <c r="FO691" s="22"/>
      <c r="FZ691" s="23"/>
      <c r="GA691" s="23"/>
      <c r="JD691" s="26"/>
      <c r="JE691" s="26"/>
      <c r="JF691" s="27"/>
      <c r="JG691" s="27"/>
      <c r="KL691" s="28"/>
      <c r="KP691" s="28"/>
      <c r="KT691" s="28"/>
      <c r="KX691" s="28"/>
      <c r="LB691" s="28"/>
      <c r="LF691" s="28"/>
      <c r="LJ691" s="28"/>
    </row>
    <row r="692" spans="1:322" ht="13.2">
      <c r="A692" s="42"/>
      <c r="B692" s="42"/>
      <c r="C692" s="42"/>
      <c r="D692" s="52"/>
      <c r="E692" s="52"/>
      <c r="O692" s="43"/>
      <c r="AL692" s="44"/>
      <c r="AM692" s="44"/>
      <c r="AN692" s="44"/>
      <c r="AO692" s="44"/>
      <c r="AP692" s="44"/>
      <c r="AQ692" s="44"/>
      <c r="AR692" s="44"/>
      <c r="AS692" s="44"/>
      <c r="AT692" s="45"/>
      <c r="AY692" s="45"/>
      <c r="BH692" s="45"/>
      <c r="BK692" s="45"/>
      <c r="BT692" s="45"/>
      <c r="BU692" s="45"/>
      <c r="CK692" s="10"/>
      <c r="EF692" s="20"/>
      <c r="FD692" s="21"/>
      <c r="FE692" s="21"/>
      <c r="FN692" s="22"/>
      <c r="FO692" s="22"/>
      <c r="FZ692" s="23"/>
      <c r="GA692" s="23"/>
      <c r="JD692" s="26"/>
      <c r="JE692" s="26"/>
      <c r="JF692" s="27"/>
      <c r="JG692" s="27"/>
      <c r="KL692" s="28"/>
      <c r="KP692" s="28"/>
      <c r="KT692" s="28"/>
      <c r="KX692" s="28"/>
      <c r="LB692" s="28"/>
      <c r="LF692" s="28"/>
      <c r="LJ692" s="28"/>
    </row>
    <row r="693" spans="1:322" ht="13.2">
      <c r="A693" s="42"/>
      <c r="B693" s="42"/>
      <c r="C693" s="42"/>
      <c r="D693" s="52"/>
      <c r="E693" s="52"/>
      <c r="O693" s="43"/>
      <c r="AL693" s="44"/>
      <c r="AM693" s="44"/>
      <c r="AN693" s="44"/>
      <c r="AO693" s="44"/>
      <c r="AP693" s="44"/>
      <c r="AQ693" s="44"/>
      <c r="AR693" s="44"/>
      <c r="AS693" s="44"/>
      <c r="AT693" s="45"/>
      <c r="AY693" s="45"/>
      <c r="BH693" s="45"/>
      <c r="BK693" s="45"/>
      <c r="BT693" s="45"/>
      <c r="BU693" s="45"/>
      <c r="CK693" s="10"/>
      <c r="EF693" s="20"/>
      <c r="FD693" s="21"/>
      <c r="FE693" s="21"/>
      <c r="FN693" s="22"/>
      <c r="FO693" s="22"/>
      <c r="FZ693" s="23"/>
      <c r="GA693" s="23"/>
      <c r="JD693" s="26"/>
      <c r="JE693" s="26"/>
      <c r="JF693" s="27"/>
      <c r="JG693" s="27"/>
      <c r="KL693" s="28"/>
      <c r="KP693" s="28"/>
      <c r="KT693" s="28"/>
      <c r="KX693" s="28"/>
      <c r="LB693" s="28"/>
      <c r="LF693" s="28"/>
      <c r="LJ693" s="28"/>
    </row>
    <row r="694" spans="1:322" ht="13.2">
      <c r="A694" s="42"/>
      <c r="B694" s="42"/>
      <c r="C694" s="42"/>
      <c r="D694" s="52"/>
      <c r="E694" s="52"/>
      <c r="O694" s="43"/>
      <c r="AL694" s="44"/>
      <c r="AM694" s="44"/>
      <c r="AN694" s="44"/>
      <c r="AO694" s="44"/>
      <c r="AP694" s="44"/>
      <c r="AQ694" s="44"/>
      <c r="AR694" s="44"/>
      <c r="AS694" s="44"/>
      <c r="AT694" s="45"/>
      <c r="AY694" s="45"/>
      <c r="BH694" s="45"/>
      <c r="BK694" s="45"/>
      <c r="BT694" s="45"/>
      <c r="BU694" s="45"/>
      <c r="CK694" s="10"/>
      <c r="EF694" s="20"/>
      <c r="FD694" s="21"/>
      <c r="FE694" s="21"/>
      <c r="FN694" s="22"/>
      <c r="FO694" s="22"/>
      <c r="FZ694" s="23"/>
      <c r="GA694" s="23"/>
      <c r="JD694" s="26"/>
      <c r="JE694" s="26"/>
      <c r="JF694" s="27"/>
      <c r="JG694" s="27"/>
      <c r="KL694" s="28"/>
      <c r="KP694" s="28"/>
      <c r="KT694" s="28"/>
      <c r="KX694" s="28"/>
      <c r="LB694" s="28"/>
      <c r="LF694" s="28"/>
      <c r="LJ694" s="28"/>
    </row>
    <row r="695" spans="1:322" ht="13.2">
      <c r="A695" s="42"/>
      <c r="B695" s="42"/>
      <c r="C695" s="42"/>
      <c r="D695" s="52"/>
      <c r="E695" s="52"/>
      <c r="O695" s="43"/>
      <c r="AL695" s="44"/>
      <c r="AM695" s="44"/>
      <c r="AN695" s="44"/>
      <c r="AO695" s="44"/>
      <c r="AP695" s="44"/>
      <c r="AQ695" s="44"/>
      <c r="AR695" s="44"/>
      <c r="AS695" s="44"/>
      <c r="AT695" s="45"/>
      <c r="AY695" s="45"/>
      <c r="BH695" s="45"/>
      <c r="BK695" s="45"/>
      <c r="BT695" s="45"/>
      <c r="BU695" s="45"/>
      <c r="CK695" s="10"/>
      <c r="EF695" s="20"/>
      <c r="FD695" s="21"/>
      <c r="FE695" s="21"/>
      <c r="FN695" s="22"/>
      <c r="FO695" s="22"/>
      <c r="FZ695" s="23"/>
      <c r="GA695" s="23"/>
      <c r="JD695" s="26"/>
      <c r="JE695" s="26"/>
      <c r="JF695" s="27"/>
      <c r="JG695" s="27"/>
      <c r="KL695" s="28"/>
      <c r="KP695" s="28"/>
      <c r="KT695" s="28"/>
      <c r="KX695" s="28"/>
      <c r="LB695" s="28"/>
      <c r="LF695" s="28"/>
      <c r="LJ695" s="28"/>
    </row>
    <row r="696" spans="1:322" ht="13.2">
      <c r="A696" s="42"/>
      <c r="B696" s="42"/>
      <c r="C696" s="42"/>
      <c r="D696" s="52"/>
      <c r="E696" s="52"/>
      <c r="O696" s="43"/>
      <c r="AL696" s="44"/>
      <c r="AM696" s="44"/>
      <c r="AN696" s="44"/>
      <c r="AO696" s="44"/>
      <c r="AP696" s="44"/>
      <c r="AQ696" s="44"/>
      <c r="AR696" s="44"/>
      <c r="AS696" s="44"/>
      <c r="AT696" s="45"/>
      <c r="AY696" s="45"/>
      <c r="BH696" s="45"/>
      <c r="BK696" s="45"/>
      <c r="BT696" s="45"/>
      <c r="BU696" s="45"/>
      <c r="CK696" s="10"/>
      <c r="EF696" s="20"/>
      <c r="FD696" s="21"/>
      <c r="FE696" s="21"/>
      <c r="FN696" s="22"/>
      <c r="FO696" s="22"/>
      <c r="FZ696" s="23"/>
      <c r="GA696" s="23"/>
      <c r="JD696" s="26"/>
      <c r="JE696" s="26"/>
      <c r="JF696" s="27"/>
      <c r="JG696" s="27"/>
      <c r="KL696" s="28"/>
      <c r="KP696" s="28"/>
      <c r="KT696" s="28"/>
      <c r="KX696" s="28"/>
      <c r="LB696" s="28"/>
      <c r="LF696" s="28"/>
      <c r="LJ696" s="28"/>
    </row>
    <row r="697" spans="1:322" ht="13.2">
      <c r="A697" s="42"/>
      <c r="B697" s="42"/>
      <c r="C697" s="42"/>
      <c r="D697" s="52"/>
      <c r="E697" s="52"/>
      <c r="O697" s="43"/>
      <c r="AL697" s="44"/>
      <c r="AM697" s="44"/>
      <c r="AN697" s="44"/>
      <c r="AO697" s="44"/>
      <c r="AP697" s="44"/>
      <c r="AQ697" s="44"/>
      <c r="AR697" s="44"/>
      <c r="AS697" s="44"/>
      <c r="AT697" s="45"/>
      <c r="AY697" s="45"/>
      <c r="BH697" s="45"/>
      <c r="BK697" s="45"/>
      <c r="BT697" s="45"/>
      <c r="BU697" s="45"/>
      <c r="CK697" s="10"/>
      <c r="EF697" s="20"/>
      <c r="FD697" s="21"/>
      <c r="FE697" s="21"/>
      <c r="FN697" s="22"/>
      <c r="FO697" s="22"/>
      <c r="FZ697" s="23"/>
      <c r="GA697" s="23"/>
      <c r="JD697" s="26"/>
      <c r="JE697" s="26"/>
      <c r="JF697" s="27"/>
      <c r="JG697" s="27"/>
      <c r="KL697" s="28"/>
      <c r="KP697" s="28"/>
      <c r="KT697" s="28"/>
      <c r="KX697" s="28"/>
      <c r="LB697" s="28"/>
      <c r="LF697" s="28"/>
      <c r="LJ697" s="28"/>
    </row>
    <row r="698" spans="1:322" ht="13.2">
      <c r="A698" s="42"/>
      <c r="B698" s="42"/>
      <c r="C698" s="42"/>
      <c r="D698" s="52"/>
      <c r="E698" s="52"/>
      <c r="O698" s="43"/>
      <c r="AL698" s="44"/>
      <c r="AM698" s="44"/>
      <c r="AN698" s="44"/>
      <c r="AO698" s="44"/>
      <c r="AP698" s="44"/>
      <c r="AQ698" s="44"/>
      <c r="AR698" s="44"/>
      <c r="AS698" s="44"/>
      <c r="AT698" s="45"/>
      <c r="AY698" s="45"/>
      <c r="BH698" s="45"/>
      <c r="BK698" s="45"/>
      <c r="BT698" s="45"/>
      <c r="BU698" s="45"/>
      <c r="CK698" s="10"/>
      <c r="EF698" s="20"/>
      <c r="FD698" s="21"/>
      <c r="FE698" s="21"/>
      <c r="FN698" s="22"/>
      <c r="FO698" s="22"/>
      <c r="FZ698" s="23"/>
      <c r="GA698" s="23"/>
      <c r="JD698" s="26"/>
      <c r="JE698" s="26"/>
      <c r="JF698" s="27"/>
      <c r="JG698" s="27"/>
      <c r="KL698" s="28"/>
      <c r="KP698" s="28"/>
      <c r="KT698" s="28"/>
      <c r="KX698" s="28"/>
      <c r="LB698" s="28"/>
      <c r="LF698" s="28"/>
      <c r="LJ698" s="28"/>
    </row>
    <row r="699" spans="1:322" ht="13.2">
      <c r="A699" s="42"/>
      <c r="B699" s="42"/>
      <c r="C699" s="42"/>
      <c r="D699" s="52"/>
      <c r="E699" s="52"/>
      <c r="O699" s="43"/>
      <c r="AL699" s="44"/>
      <c r="AM699" s="44"/>
      <c r="AN699" s="44"/>
      <c r="AO699" s="44"/>
      <c r="AP699" s="44"/>
      <c r="AQ699" s="44"/>
      <c r="AR699" s="44"/>
      <c r="AS699" s="44"/>
      <c r="AT699" s="45"/>
      <c r="AY699" s="45"/>
      <c r="BH699" s="45"/>
      <c r="BK699" s="45"/>
      <c r="BT699" s="45"/>
      <c r="BU699" s="45"/>
      <c r="CK699" s="10"/>
      <c r="EF699" s="20"/>
      <c r="FD699" s="21"/>
      <c r="FE699" s="21"/>
      <c r="FN699" s="22"/>
      <c r="FO699" s="22"/>
      <c r="FZ699" s="23"/>
      <c r="GA699" s="23"/>
      <c r="JD699" s="26"/>
      <c r="JE699" s="26"/>
      <c r="JF699" s="27"/>
      <c r="JG699" s="27"/>
      <c r="KL699" s="28"/>
      <c r="KP699" s="28"/>
      <c r="KT699" s="28"/>
      <c r="KX699" s="28"/>
      <c r="LB699" s="28"/>
      <c r="LF699" s="28"/>
      <c r="LJ699" s="28"/>
    </row>
    <row r="700" spans="1:322" ht="13.2">
      <c r="A700" s="42"/>
      <c r="B700" s="42"/>
      <c r="C700" s="42"/>
      <c r="D700" s="52"/>
      <c r="E700" s="52"/>
      <c r="O700" s="43"/>
      <c r="AL700" s="44"/>
      <c r="AM700" s="44"/>
      <c r="AN700" s="44"/>
      <c r="AO700" s="44"/>
      <c r="AP700" s="44"/>
      <c r="AQ700" s="44"/>
      <c r="AR700" s="44"/>
      <c r="AS700" s="44"/>
      <c r="AT700" s="45"/>
      <c r="AY700" s="45"/>
      <c r="BH700" s="45"/>
      <c r="BK700" s="45"/>
      <c r="BT700" s="45"/>
      <c r="BU700" s="45"/>
      <c r="CK700" s="10"/>
      <c r="EF700" s="20"/>
      <c r="FD700" s="21"/>
      <c r="FE700" s="21"/>
      <c r="FN700" s="22"/>
      <c r="FO700" s="22"/>
      <c r="FZ700" s="23"/>
      <c r="GA700" s="23"/>
      <c r="JD700" s="26"/>
      <c r="JE700" s="26"/>
      <c r="JF700" s="27"/>
      <c r="JG700" s="27"/>
      <c r="KL700" s="28"/>
      <c r="KP700" s="28"/>
      <c r="KT700" s="28"/>
      <c r="KX700" s="28"/>
      <c r="LB700" s="28"/>
      <c r="LF700" s="28"/>
      <c r="LJ700" s="28"/>
    </row>
    <row r="701" spans="1:322" ht="13.2">
      <c r="A701" s="42"/>
      <c r="B701" s="42"/>
      <c r="C701" s="42"/>
      <c r="D701" s="52"/>
      <c r="E701" s="52"/>
      <c r="O701" s="43"/>
      <c r="AL701" s="44"/>
      <c r="AM701" s="44"/>
      <c r="AN701" s="44"/>
      <c r="AO701" s="44"/>
      <c r="AP701" s="44"/>
      <c r="AQ701" s="44"/>
      <c r="AR701" s="44"/>
      <c r="AS701" s="44"/>
      <c r="AT701" s="45"/>
      <c r="AY701" s="45"/>
      <c r="BH701" s="45"/>
      <c r="BK701" s="45"/>
      <c r="BT701" s="45"/>
      <c r="BU701" s="45"/>
      <c r="CK701" s="10"/>
      <c r="EF701" s="20"/>
      <c r="FD701" s="21"/>
      <c r="FE701" s="21"/>
      <c r="FN701" s="22"/>
      <c r="FO701" s="22"/>
      <c r="FZ701" s="23"/>
      <c r="GA701" s="23"/>
      <c r="JD701" s="26"/>
      <c r="JE701" s="26"/>
      <c r="JF701" s="27"/>
      <c r="JG701" s="27"/>
      <c r="KL701" s="28"/>
      <c r="KP701" s="28"/>
      <c r="KT701" s="28"/>
      <c r="KX701" s="28"/>
      <c r="LB701" s="28"/>
      <c r="LF701" s="28"/>
      <c r="LJ701" s="28"/>
    </row>
    <row r="702" spans="1:322" ht="13.2">
      <c r="A702" s="42"/>
      <c r="B702" s="42"/>
      <c r="C702" s="42"/>
      <c r="D702" s="52"/>
      <c r="E702" s="52"/>
      <c r="O702" s="43"/>
      <c r="AL702" s="44"/>
      <c r="AM702" s="44"/>
      <c r="AN702" s="44"/>
      <c r="AO702" s="44"/>
      <c r="AP702" s="44"/>
      <c r="AQ702" s="44"/>
      <c r="AR702" s="44"/>
      <c r="AS702" s="44"/>
      <c r="AT702" s="45"/>
      <c r="AY702" s="45"/>
      <c r="BH702" s="45"/>
      <c r="BK702" s="45"/>
      <c r="BT702" s="45"/>
      <c r="BU702" s="45"/>
      <c r="CK702" s="10"/>
      <c r="EF702" s="20"/>
      <c r="FD702" s="21"/>
      <c r="FE702" s="21"/>
      <c r="FN702" s="22"/>
      <c r="FO702" s="22"/>
      <c r="FZ702" s="23"/>
      <c r="GA702" s="23"/>
      <c r="JD702" s="26"/>
      <c r="JE702" s="26"/>
      <c r="JF702" s="27"/>
      <c r="JG702" s="27"/>
      <c r="KL702" s="28"/>
      <c r="KP702" s="28"/>
      <c r="KT702" s="28"/>
      <c r="KX702" s="28"/>
      <c r="LB702" s="28"/>
      <c r="LF702" s="28"/>
      <c r="LJ702" s="28"/>
    </row>
    <row r="703" spans="1:322" ht="13.2">
      <c r="A703" s="42"/>
      <c r="B703" s="42"/>
      <c r="C703" s="42"/>
      <c r="D703" s="52"/>
      <c r="E703" s="52"/>
      <c r="O703" s="43"/>
      <c r="AL703" s="44"/>
      <c r="AM703" s="44"/>
      <c r="AN703" s="44"/>
      <c r="AO703" s="44"/>
      <c r="AP703" s="44"/>
      <c r="AQ703" s="44"/>
      <c r="AR703" s="44"/>
      <c r="AS703" s="44"/>
      <c r="AT703" s="45"/>
      <c r="AY703" s="45"/>
      <c r="BH703" s="45"/>
      <c r="BK703" s="45"/>
      <c r="BT703" s="45"/>
      <c r="BU703" s="45"/>
      <c r="CK703" s="10"/>
      <c r="EF703" s="20"/>
      <c r="FD703" s="21"/>
      <c r="FE703" s="21"/>
      <c r="FN703" s="22"/>
      <c r="FO703" s="22"/>
      <c r="FZ703" s="23"/>
      <c r="GA703" s="23"/>
      <c r="JD703" s="26"/>
      <c r="JE703" s="26"/>
      <c r="JF703" s="27"/>
      <c r="JG703" s="27"/>
      <c r="KL703" s="28"/>
      <c r="KP703" s="28"/>
      <c r="KT703" s="28"/>
      <c r="KX703" s="28"/>
      <c r="LB703" s="28"/>
      <c r="LF703" s="28"/>
      <c r="LJ703" s="28"/>
    </row>
    <row r="704" spans="1:322" ht="13.2">
      <c r="A704" s="42"/>
      <c r="B704" s="42"/>
      <c r="C704" s="42"/>
      <c r="D704" s="52"/>
      <c r="E704" s="52"/>
      <c r="O704" s="43"/>
      <c r="AL704" s="44"/>
      <c r="AM704" s="44"/>
      <c r="AN704" s="44"/>
      <c r="AO704" s="44"/>
      <c r="AP704" s="44"/>
      <c r="AQ704" s="44"/>
      <c r="AR704" s="44"/>
      <c r="AS704" s="44"/>
      <c r="AT704" s="45"/>
      <c r="AY704" s="45"/>
      <c r="BH704" s="45"/>
      <c r="BK704" s="45"/>
      <c r="BT704" s="45"/>
      <c r="BU704" s="45"/>
      <c r="CK704" s="10"/>
      <c r="EF704" s="20"/>
      <c r="FD704" s="21"/>
      <c r="FE704" s="21"/>
      <c r="FN704" s="22"/>
      <c r="FO704" s="22"/>
      <c r="FZ704" s="23"/>
      <c r="GA704" s="23"/>
      <c r="JD704" s="26"/>
      <c r="JE704" s="26"/>
      <c r="JF704" s="27"/>
      <c r="JG704" s="27"/>
      <c r="KL704" s="28"/>
      <c r="KP704" s="28"/>
      <c r="KT704" s="28"/>
      <c r="KX704" s="28"/>
      <c r="LB704" s="28"/>
      <c r="LF704" s="28"/>
      <c r="LJ704" s="28"/>
    </row>
    <row r="705" spans="1:322" ht="13.2">
      <c r="A705" s="42"/>
      <c r="B705" s="42"/>
      <c r="C705" s="42"/>
      <c r="D705" s="52"/>
      <c r="E705" s="52"/>
      <c r="O705" s="43"/>
      <c r="AL705" s="44"/>
      <c r="AM705" s="44"/>
      <c r="AN705" s="44"/>
      <c r="AO705" s="44"/>
      <c r="AP705" s="44"/>
      <c r="AQ705" s="44"/>
      <c r="AR705" s="44"/>
      <c r="AS705" s="44"/>
      <c r="AT705" s="45"/>
      <c r="AY705" s="45"/>
      <c r="BH705" s="45"/>
      <c r="BK705" s="45"/>
      <c r="BT705" s="45"/>
      <c r="BU705" s="45"/>
      <c r="CK705" s="10"/>
      <c r="EF705" s="20"/>
      <c r="FD705" s="21"/>
      <c r="FE705" s="21"/>
      <c r="FN705" s="22"/>
      <c r="FO705" s="22"/>
      <c r="FZ705" s="23"/>
      <c r="GA705" s="23"/>
      <c r="JD705" s="26"/>
      <c r="JE705" s="26"/>
      <c r="JF705" s="27"/>
      <c r="JG705" s="27"/>
      <c r="KL705" s="28"/>
      <c r="KP705" s="28"/>
      <c r="KT705" s="28"/>
      <c r="KX705" s="28"/>
      <c r="LB705" s="28"/>
      <c r="LF705" s="28"/>
      <c r="LJ705" s="28"/>
    </row>
    <row r="706" spans="1:322" ht="13.2">
      <c r="A706" s="42"/>
      <c r="B706" s="42"/>
      <c r="C706" s="42"/>
      <c r="D706" s="52"/>
      <c r="E706" s="52"/>
      <c r="O706" s="43"/>
      <c r="AL706" s="44"/>
      <c r="AM706" s="44"/>
      <c r="AN706" s="44"/>
      <c r="AO706" s="44"/>
      <c r="AP706" s="44"/>
      <c r="AQ706" s="44"/>
      <c r="AR706" s="44"/>
      <c r="AS706" s="44"/>
      <c r="AT706" s="45"/>
      <c r="AY706" s="45"/>
      <c r="BH706" s="45"/>
      <c r="BK706" s="45"/>
      <c r="BT706" s="45"/>
      <c r="BU706" s="45"/>
      <c r="CK706" s="10"/>
      <c r="EF706" s="20"/>
      <c r="FD706" s="21"/>
      <c r="FE706" s="21"/>
      <c r="FN706" s="22"/>
      <c r="FO706" s="22"/>
      <c r="FZ706" s="23"/>
      <c r="GA706" s="23"/>
      <c r="JD706" s="26"/>
      <c r="JE706" s="26"/>
      <c r="JF706" s="27"/>
      <c r="JG706" s="27"/>
      <c r="KL706" s="28"/>
      <c r="KP706" s="28"/>
      <c r="KT706" s="28"/>
      <c r="KX706" s="28"/>
      <c r="LB706" s="28"/>
      <c r="LF706" s="28"/>
      <c r="LJ706" s="28"/>
    </row>
    <row r="707" spans="1:322" ht="13.2">
      <c r="A707" s="42"/>
      <c r="B707" s="42"/>
      <c r="C707" s="42"/>
      <c r="D707" s="52"/>
      <c r="E707" s="52"/>
      <c r="O707" s="43"/>
      <c r="AL707" s="44"/>
      <c r="AM707" s="44"/>
      <c r="AN707" s="44"/>
      <c r="AO707" s="44"/>
      <c r="AP707" s="44"/>
      <c r="AQ707" s="44"/>
      <c r="AR707" s="44"/>
      <c r="AS707" s="44"/>
      <c r="AT707" s="45"/>
      <c r="AY707" s="45"/>
      <c r="BH707" s="45"/>
      <c r="BK707" s="45"/>
      <c r="BT707" s="45"/>
      <c r="BU707" s="45"/>
      <c r="CK707" s="10"/>
      <c r="EF707" s="20"/>
      <c r="FD707" s="21"/>
      <c r="FE707" s="21"/>
      <c r="FN707" s="22"/>
      <c r="FO707" s="22"/>
      <c r="FZ707" s="23"/>
      <c r="GA707" s="23"/>
      <c r="JD707" s="26"/>
      <c r="JE707" s="26"/>
      <c r="JF707" s="27"/>
      <c r="JG707" s="27"/>
      <c r="KL707" s="28"/>
      <c r="KP707" s="28"/>
      <c r="KT707" s="28"/>
      <c r="KX707" s="28"/>
      <c r="LB707" s="28"/>
      <c r="LF707" s="28"/>
      <c r="LJ707" s="28"/>
    </row>
    <row r="708" spans="1:322" ht="13.2">
      <c r="A708" s="42"/>
      <c r="B708" s="42"/>
      <c r="C708" s="42"/>
      <c r="D708" s="52"/>
      <c r="E708" s="52"/>
      <c r="O708" s="43"/>
      <c r="AL708" s="44"/>
      <c r="AM708" s="44"/>
      <c r="AN708" s="44"/>
      <c r="AO708" s="44"/>
      <c r="AP708" s="44"/>
      <c r="AQ708" s="44"/>
      <c r="AR708" s="44"/>
      <c r="AS708" s="44"/>
      <c r="AT708" s="45"/>
      <c r="AY708" s="45"/>
      <c r="BH708" s="45"/>
      <c r="BK708" s="45"/>
      <c r="BT708" s="45"/>
      <c r="BU708" s="45"/>
      <c r="CK708" s="10"/>
      <c r="EF708" s="20"/>
      <c r="FD708" s="21"/>
      <c r="FE708" s="21"/>
      <c r="FN708" s="22"/>
      <c r="FO708" s="22"/>
      <c r="FZ708" s="23"/>
      <c r="GA708" s="23"/>
      <c r="JD708" s="26"/>
      <c r="JE708" s="26"/>
      <c r="JF708" s="27"/>
      <c r="JG708" s="27"/>
      <c r="KL708" s="28"/>
      <c r="KP708" s="28"/>
      <c r="KT708" s="28"/>
      <c r="KX708" s="28"/>
      <c r="LB708" s="28"/>
      <c r="LF708" s="28"/>
      <c r="LJ708" s="28"/>
    </row>
    <row r="709" spans="1:322" ht="13.2">
      <c r="A709" s="42"/>
      <c r="B709" s="42"/>
      <c r="C709" s="42"/>
      <c r="D709" s="52"/>
      <c r="E709" s="52"/>
      <c r="O709" s="43"/>
      <c r="AL709" s="44"/>
      <c r="AM709" s="44"/>
      <c r="AN709" s="44"/>
      <c r="AO709" s="44"/>
      <c r="AP709" s="44"/>
      <c r="AQ709" s="44"/>
      <c r="AR709" s="44"/>
      <c r="AS709" s="44"/>
      <c r="AT709" s="45"/>
      <c r="AY709" s="45"/>
      <c r="BH709" s="45"/>
      <c r="BK709" s="45"/>
      <c r="BT709" s="45"/>
      <c r="BU709" s="45"/>
      <c r="CK709" s="10"/>
      <c r="EF709" s="20"/>
      <c r="FD709" s="21"/>
      <c r="FE709" s="21"/>
      <c r="FN709" s="22"/>
      <c r="FO709" s="22"/>
      <c r="FZ709" s="23"/>
      <c r="GA709" s="23"/>
      <c r="JD709" s="26"/>
      <c r="JE709" s="26"/>
      <c r="JF709" s="27"/>
      <c r="JG709" s="27"/>
      <c r="KL709" s="28"/>
      <c r="KP709" s="28"/>
      <c r="KT709" s="28"/>
      <c r="KX709" s="28"/>
      <c r="LB709" s="28"/>
      <c r="LF709" s="28"/>
      <c r="LJ709" s="28"/>
    </row>
    <row r="710" spans="1:322" ht="13.2">
      <c r="A710" s="42"/>
      <c r="B710" s="42"/>
      <c r="C710" s="42"/>
      <c r="D710" s="52"/>
      <c r="E710" s="52"/>
      <c r="O710" s="43"/>
      <c r="AL710" s="44"/>
      <c r="AM710" s="44"/>
      <c r="AN710" s="44"/>
      <c r="AO710" s="44"/>
      <c r="AP710" s="44"/>
      <c r="AQ710" s="44"/>
      <c r="AR710" s="44"/>
      <c r="AS710" s="44"/>
      <c r="AT710" s="45"/>
      <c r="AY710" s="45"/>
      <c r="BH710" s="45"/>
      <c r="BK710" s="45"/>
      <c r="BT710" s="45"/>
      <c r="BU710" s="45"/>
      <c r="CK710" s="10"/>
      <c r="EF710" s="20"/>
      <c r="FD710" s="21"/>
      <c r="FE710" s="21"/>
      <c r="FN710" s="22"/>
      <c r="FO710" s="22"/>
      <c r="FZ710" s="23"/>
      <c r="GA710" s="23"/>
      <c r="JD710" s="26"/>
      <c r="JE710" s="26"/>
      <c r="JF710" s="27"/>
      <c r="JG710" s="27"/>
      <c r="KL710" s="28"/>
      <c r="KP710" s="28"/>
      <c r="KT710" s="28"/>
      <c r="KX710" s="28"/>
      <c r="LB710" s="28"/>
      <c r="LF710" s="28"/>
      <c r="LJ710" s="28"/>
    </row>
    <row r="711" spans="1:322" ht="13.2">
      <c r="A711" s="42"/>
      <c r="B711" s="42"/>
      <c r="C711" s="42"/>
      <c r="D711" s="52"/>
      <c r="E711" s="52"/>
      <c r="O711" s="43"/>
      <c r="AL711" s="44"/>
      <c r="AM711" s="44"/>
      <c r="AN711" s="44"/>
      <c r="AO711" s="44"/>
      <c r="AP711" s="44"/>
      <c r="AQ711" s="44"/>
      <c r="AR711" s="44"/>
      <c r="AS711" s="44"/>
      <c r="AT711" s="45"/>
      <c r="AY711" s="45"/>
      <c r="BH711" s="45"/>
      <c r="BK711" s="45"/>
      <c r="BT711" s="45"/>
      <c r="BU711" s="45"/>
      <c r="CK711" s="10"/>
      <c r="EF711" s="20"/>
      <c r="FD711" s="21"/>
      <c r="FE711" s="21"/>
      <c r="FN711" s="22"/>
      <c r="FO711" s="22"/>
      <c r="FZ711" s="23"/>
      <c r="GA711" s="23"/>
      <c r="JD711" s="26"/>
      <c r="JE711" s="26"/>
      <c r="JF711" s="27"/>
      <c r="JG711" s="27"/>
      <c r="KL711" s="28"/>
      <c r="KP711" s="28"/>
      <c r="KT711" s="28"/>
      <c r="KX711" s="28"/>
      <c r="LB711" s="28"/>
      <c r="LF711" s="28"/>
      <c r="LJ711" s="28"/>
    </row>
    <row r="712" spans="1:322" ht="13.2">
      <c r="A712" s="42"/>
      <c r="B712" s="42"/>
      <c r="C712" s="42"/>
      <c r="D712" s="52"/>
      <c r="E712" s="52"/>
      <c r="O712" s="43"/>
      <c r="AL712" s="44"/>
      <c r="AM712" s="44"/>
      <c r="AN712" s="44"/>
      <c r="AO712" s="44"/>
      <c r="AP712" s="44"/>
      <c r="AQ712" s="44"/>
      <c r="AR712" s="44"/>
      <c r="AS712" s="44"/>
      <c r="AT712" s="45"/>
      <c r="AY712" s="45"/>
      <c r="BH712" s="45"/>
      <c r="BK712" s="45"/>
      <c r="BT712" s="45"/>
      <c r="BU712" s="45"/>
      <c r="CK712" s="10"/>
      <c r="EF712" s="20"/>
      <c r="FD712" s="21"/>
      <c r="FE712" s="21"/>
      <c r="FN712" s="22"/>
      <c r="FO712" s="22"/>
      <c r="FZ712" s="23"/>
      <c r="GA712" s="23"/>
      <c r="JD712" s="26"/>
      <c r="JE712" s="26"/>
      <c r="JF712" s="27"/>
      <c r="JG712" s="27"/>
      <c r="KL712" s="28"/>
      <c r="KP712" s="28"/>
      <c r="KT712" s="28"/>
      <c r="KX712" s="28"/>
      <c r="LB712" s="28"/>
      <c r="LF712" s="28"/>
      <c r="LJ712" s="28"/>
    </row>
    <row r="713" spans="1:322" ht="13.2">
      <c r="A713" s="42"/>
      <c r="B713" s="42"/>
      <c r="C713" s="42"/>
      <c r="D713" s="52"/>
      <c r="E713" s="52"/>
      <c r="O713" s="43"/>
      <c r="AL713" s="44"/>
      <c r="AM713" s="44"/>
      <c r="AN713" s="44"/>
      <c r="AO713" s="44"/>
      <c r="AP713" s="44"/>
      <c r="AQ713" s="44"/>
      <c r="AR713" s="44"/>
      <c r="AS713" s="44"/>
      <c r="AT713" s="45"/>
      <c r="AY713" s="45"/>
      <c r="BH713" s="45"/>
      <c r="BK713" s="45"/>
      <c r="BT713" s="45"/>
      <c r="BU713" s="45"/>
      <c r="CK713" s="10"/>
      <c r="EF713" s="20"/>
      <c r="FD713" s="21"/>
      <c r="FE713" s="21"/>
      <c r="FN713" s="22"/>
      <c r="FO713" s="22"/>
      <c r="FZ713" s="23"/>
      <c r="GA713" s="23"/>
      <c r="JD713" s="26"/>
      <c r="JE713" s="26"/>
      <c r="JF713" s="27"/>
      <c r="JG713" s="27"/>
      <c r="KL713" s="28"/>
      <c r="KP713" s="28"/>
      <c r="KT713" s="28"/>
      <c r="KX713" s="28"/>
      <c r="LB713" s="28"/>
      <c r="LF713" s="28"/>
      <c r="LJ713" s="28"/>
    </row>
    <row r="714" spans="1:322" ht="13.2">
      <c r="A714" s="42"/>
      <c r="B714" s="42"/>
      <c r="C714" s="42"/>
      <c r="D714" s="52"/>
      <c r="E714" s="52"/>
      <c r="O714" s="43"/>
      <c r="AL714" s="44"/>
      <c r="AM714" s="44"/>
      <c r="AN714" s="44"/>
      <c r="AO714" s="44"/>
      <c r="AP714" s="44"/>
      <c r="AQ714" s="44"/>
      <c r="AR714" s="44"/>
      <c r="AS714" s="44"/>
      <c r="AT714" s="45"/>
      <c r="AY714" s="45"/>
      <c r="BH714" s="45"/>
      <c r="BK714" s="45"/>
      <c r="BT714" s="45"/>
      <c r="BU714" s="45"/>
      <c r="CK714" s="10"/>
      <c r="EF714" s="20"/>
      <c r="FD714" s="21"/>
      <c r="FE714" s="21"/>
      <c r="FN714" s="22"/>
      <c r="FO714" s="22"/>
      <c r="FZ714" s="23"/>
      <c r="GA714" s="23"/>
      <c r="JD714" s="26"/>
      <c r="JE714" s="26"/>
      <c r="JF714" s="27"/>
      <c r="JG714" s="27"/>
      <c r="KL714" s="28"/>
      <c r="KP714" s="28"/>
      <c r="KT714" s="28"/>
      <c r="KX714" s="28"/>
      <c r="LB714" s="28"/>
      <c r="LF714" s="28"/>
      <c r="LJ714" s="28"/>
    </row>
    <row r="715" spans="1:322" ht="13.2">
      <c r="A715" s="42"/>
      <c r="B715" s="42"/>
      <c r="C715" s="42"/>
      <c r="D715" s="52"/>
      <c r="E715" s="52"/>
      <c r="O715" s="43"/>
      <c r="AL715" s="44"/>
      <c r="AM715" s="44"/>
      <c r="AN715" s="44"/>
      <c r="AO715" s="44"/>
      <c r="AP715" s="44"/>
      <c r="AQ715" s="44"/>
      <c r="AR715" s="44"/>
      <c r="AS715" s="44"/>
      <c r="AT715" s="45"/>
      <c r="AY715" s="45"/>
      <c r="BH715" s="45"/>
      <c r="BK715" s="45"/>
      <c r="BT715" s="45"/>
      <c r="BU715" s="45"/>
      <c r="CK715" s="10"/>
      <c r="EF715" s="20"/>
      <c r="FD715" s="21"/>
      <c r="FE715" s="21"/>
      <c r="FN715" s="22"/>
      <c r="FO715" s="22"/>
      <c r="FZ715" s="23"/>
      <c r="GA715" s="23"/>
      <c r="JD715" s="26"/>
      <c r="JE715" s="26"/>
      <c r="JF715" s="27"/>
      <c r="JG715" s="27"/>
      <c r="KL715" s="28"/>
      <c r="KP715" s="28"/>
      <c r="KT715" s="28"/>
      <c r="KX715" s="28"/>
      <c r="LB715" s="28"/>
      <c r="LF715" s="28"/>
      <c r="LJ715" s="28"/>
    </row>
    <row r="716" spans="1:322" ht="13.2">
      <c r="A716" s="42"/>
      <c r="B716" s="42"/>
      <c r="C716" s="42"/>
      <c r="D716" s="52"/>
      <c r="E716" s="52"/>
      <c r="O716" s="43"/>
      <c r="AL716" s="44"/>
      <c r="AM716" s="44"/>
      <c r="AN716" s="44"/>
      <c r="AO716" s="44"/>
      <c r="AP716" s="44"/>
      <c r="AQ716" s="44"/>
      <c r="AR716" s="44"/>
      <c r="AS716" s="44"/>
      <c r="AT716" s="45"/>
      <c r="AY716" s="45"/>
      <c r="BH716" s="45"/>
      <c r="BK716" s="45"/>
      <c r="BT716" s="45"/>
      <c r="BU716" s="45"/>
      <c r="CK716" s="10"/>
      <c r="EF716" s="20"/>
      <c r="FD716" s="21"/>
      <c r="FE716" s="21"/>
      <c r="FN716" s="22"/>
      <c r="FO716" s="22"/>
      <c r="FZ716" s="23"/>
      <c r="GA716" s="23"/>
      <c r="JD716" s="26"/>
      <c r="JE716" s="26"/>
      <c r="JF716" s="27"/>
      <c r="JG716" s="27"/>
      <c r="KL716" s="28"/>
      <c r="KP716" s="28"/>
      <c r="KT716" s="28"/>
      <c r="KX716" s="28"/>
      <c r="LB716" s="28"/>
      <c r="LF716" s="28"/>
      <c r="LJ716" s="28"/>
    </row>
    <row r="717" spans="1:322" ht="13.2">
      <c r="A717" s="42"/>
      <c r="B717" s="42"/>
      <c r="C717" s="42"/>
      <c r="D717" s="52"/>
      <c r="E717" s="52"/>
      <c r="O717" s="43"/>
      <c r="AL717" s="44"/>
      <c r="AM717" s="44"/>
      <c r="AN717" s="44"/>
      <c r="AO717" s="44"/>
      <c r="AP717" s="44"/>
      <c r="AQ717" s="44"/>
      <c r="AR717" s="44"/>
      <c r="AS717" s="44"/>
      <c r="AT717" s="45"/>
      <c r="AY717" s="45"/>
      <c r="BH717" s="45"/>
      <c r="BK717" s="45"/>
      <c r="BT717" s="45"/>
      <c r="BU717" s="45"/>
      <c r="CK717" s="10"/>
      <c r="EF717" s="20"/>
      <c r="FD717" s="21"/>
      <c r="FE717" s="21"/>
      <c r="FN717" s="22"/>
      <c r="FO717" s="22"/>
      <c r="FZ717" s="23"/>
      <c r="GA717" s="23"/>
      <c r="JD717" s="26"/>
      <c r="JE717" s="26"/>
      <c r="JF717" s="27"/>
      <c r="JG717" s="27"/>
      <c r="KL717" s="28"/>
      <c r="KP717" s="28"/>
      <c r="KT717" s="28"/>
      <c r="KX717" s="28"/>
      <c r="LB717" s="28"/>
      <c r="LF717" s="28"/>
      <c r="LJ717" s="28"/>
    </row>
    <row r="718" spans="1:322" ht="13.2">
      <c r="A718" s="42"/>
      <c r="B718" s="42"/>
      <c r="C718" s="42"/>
      <c r="D718" s="52"/>
      <c r="E718" s="52"/>
      <c r="O718" s="43"/>
      <c r="AL718" s="44"/>
      <c r="AM718" s="44"/>
      <c r="AN718" s="44"/>
      <c r="AO718" s="44"/>
      <c r="AP718" s="44"/>
      <c r="AQ718" s="44"/>
      <c r="AR718" s="44"/>
      <c r="AS718" s="44"/>
      <c r="AT718" s="45"/>
      <c r="AY718" s="45"/>
      <c r="BH718" s="45"/>
      <c r="BK718" s="45"/>
      <c r="BT718" s="45"/>
      <c r="BU718" s="45"/>
      <c r="CK718" s="10"/>
      <c r="EF718" s="20"/>
      <c r="FD718" s="21"/>
      <c r="FE718" s="21"/>
      <c r="FN718" s="22"/>
      <c r="FO718" s="22"/>
      <c r="FZ718" s="23"/>
      <c r="GA718" s="23"/>
      <c r="JD718" s="26"/>
      <c r="JE718" s="26"/>
      <c r="JF718" s="27"/>
      <c r="JG718" s="27"/>
      <c r="KL718" s="28"/>
      <c r="KP718" s="28"/>
      <c r="KT718" s="28"/>
      <c r="KX718" s="28"/>
      <c r="LB718" s="28"/>
      <c r="LF718" s="28"/>
      <c r="LJ718" s="28"/>
    </row>
    <row r="719" spans="1:322" ht="13.2">
      <c r="A719" s="42"/>
      <c r="B719" s="42"/>
      <c r="C719" s="42"/>
      <c r="D719" s="52"/>
      <c r="E719" s="52"/>
      <c r="O719" s="43"/>
      <c r="AL719" s="44"/>
      <c r="AM719" s="44"/>
      <c r="AN719" s="44"/>
      <c r="AO719" s="44"/>
      <c r="AP719" s="44"/>
      <c r="AQ719" s="44"/>
      <c r="AR719" s="44"/>
      <c r="AS719" s="44"/>
      <c r="AT719" s="45"/>
      <c r="AY719" s="45"/>
      <c r="BH719" s="45"/>
      <c r="BK719" s="45"/>
      <c r="BT719" s="45"/>
      <c r="BU719" s="45"/>
      <c r="CK719" s="10"/>
      <c r="EF719" s="20"/>
      <c r="FD719" s="21"/>
      <c r="FE719" s="21"/>
      <c r="FN719" s="22"/>
      <c r="FO719" s="22"/>
      <c r="FZ719" s="23"/>
      <c r="GA719" s="23"/>
      <c r="JD719" s="26"/>
      <c r="JE719" s="26"/>
      <c r="JF719" s="27"/>
      <c r="JG719" s="27"/>
      <c r="KL719" s="28"/>
      <c r="KP719" s="28"/>
      <c r="KT719" s="28"/>
      <c r="KX719" s="28"/>
      <c r="LB719" s="28"/>
      <c r="LF719" s="28"/>
      <c r="LJ719" s="28"/>
    </row>
    <row r="720" spans="1:322" ht="13.2">
      <c r="A720" s="42"/>
      <c r="B720" s="42"/>
      <c r="C720" s="42"/>
      <c r="D720" s="52"/>
      <c r="E720" s="52"/>
      <c r="O720" s="43"/>
      <c r="AL720" s="44"/>
      <c r="AM720" s="44"/>
      <c r="AN720" s="44"/>
      <c r="AO720" s="44"/>
      <c r="AP720" s="44"/>
      <c r="AQ720" s="44"/>
      <c r="AR720" s="44"/>
      <c r="AS720" s="44"/>
      <c r="AT720" s="45"/>
      <c r="AY720" s="45"/>
      <c r="BH720" s="45"/>
      <c r="BK720" s="45"/>
      <c r="BT720" s="45"/>
      <c r="BU720" s="45"/>
      <c r="CK720" s="10"/>
      <c r="EF720" s="20"/>
      <c r="FD720" s="21"/>
      <c r="FE720" s="21"/>
      <c r="FN720" s="22"/>
      <c r="FO720" s="22"/>
      <c r="FZ720" s="23"/>
      <c r="GA720" s="23"/>
      <c r="JD720" s="26"/>
      <c r="JE720" s="26"/>
      <c r="JF720" s="27"/>
      <c r="JG720" s="27"/>
      <c r="KL720" s="28"/>
      <c r="KP720" s="28"/>
      <c r="KT720" s="28"/>
      <c r="KX720" s="28"/>
      <c r="LB720" s="28"/>
      <c r="LF720" s="28"/>
      <c r="LJ720" s="28"/>
    </row>
    <row r="721" spans="1:322" ht="13.2">
      <c r="A721" s="42"/>
      <c r="B721" s="42"/>
      <c r="C721" s="42"/>
      <c r="D721" s="52"/>
      <c r="E721" s="52"/>
      <c r="O721" s="43"/>
      <c r="AL721" s="44"/>
      <c r="AM721" s="44"/>
      <c r="AN721" s="44"/>
      <c r="AO721" s="44"/>
      <c r="AP721" s="44"/>
      <c r="AQ721" s="44"/>
      <c r="AR721" s="44"/>
      <c r="AS721" s="44"/>
      <c r="AT721" s="45"/>
      <c r="AY721" s="45"/>
      <c r="BH721" s="45"/>
      <c r="BK721" s="45"/>
      <c r="BT721" s="45"/>
      <c r="BU721" s="45"/>
      <c r="CK721" s="10"/>
      <c r="EF721" s="20"/>
      <c r="FD721" s="21"/>
      <c r="FE721" s="21"/>
      <c r="FN721" s="22"/>
      <c r="FO721" s="22"/>
      <c r="FZ721" s="23"/>
      <c r="GA721" s="23"/>
      <c r="JD721" s="26"/>
      <c r="JE721" s="26"/>
      <c r="JF721" s="27"/>
      <c r="JG721" s="27"/>
      <c r="KL721" s="28"/>
      <c r="KP721" s="28"/>
      <c r="KT721" s="28"/>
      <c r="KX721" s="28"/>
      <c r="LB721" s="28"/>
      <c r="LF721" s="28"/>
      <c r="LJ721" s="28"/>
    </row>
    <row r="722" spans="1:322" ht="13.2">
      <c r="A722" s="42"/>
      <c r="B722" s="42"/>
      <c r="C722" s="42"/>
      <c r="D722" s="52"/>
      <c r="E722" s="52"/>
      <c r="O722" s="43"/>
      <c r="AL722" s="44"/>
      <c r="AM722" s="44"/>
      <c r="AN722" s="44"/>
      <c r="AO722" s="44"/>
      <c r="AP722" s="44"/>
      <c r="AQ722" s="44"/>
      <c r="AR722" s="44"/>
      <c r="AS722" s="44"/>
      <c r="AT722" s="45"/>
      <c r="AY722" s="45"/>
      <c r="BH722" s="45"/>
      <c r="BK722" s="45"/>
      <c r="BT722" s="45"/>
      <c r="BU722" s="45"/>
      <c r="CK722" s="10"/>
      <c r="EF722" s="20"/>
      <c r="FD722" s="21"/>
      <c r="FE722" s="21"/>
      <c r="FN722" s="22"/>
      <c r="FO722" s="22"/>
      <c r="FZ722" s="23"/>
      <c r="GA722" s="23"/>
      <c r="JD722" s="26"/>
      <c r="JE722" s="26"/>
      <c r="JF722" s="27"/>
      <c r="JG722" s="27"/>
      <c r="KL722" s="28"/>
      <c r="KP722" s="28"/>
      <c r="KT722" s="28"/>
      <c r="KX722" s="28"/>
      <c r="LB722" s="28"/>
      <c r="LF722" s="28"/>
      <c r="LJ722" s="28"/>
    </row>
    <row r="723" spans="1:322" ht="13.2">
      <c r="A723" s="42"/>
      <c r="B723" s="42"/>
      <c r="C723" s="42"/>
      <c r="D723" s="52"/>
      <c r="E723" s="52"/>
      <c r="O723" s="43"/>
      <c r="AL723" s="44"/>
      <c r="AM723" s="44"/>
      <c r="AN723" s="44"/>
      <c r="AO723" s="44"/>
      <c r="AP723" s="44"/>
      <c r="AQ723" s="44"/>
      <c r="AR723" s="44"/>
      <c r="AS723" s="44"/>
      <c r="AT723" s="45"/>
      <c r="AY723" s="45"/>
      <c r="BH723" s="45"/>
      <c r="BK723" s="45"/>
      <c r="BT723" s="45"/>
      <c r="BU723" s="45"/>
      <c r="CK723" s="10"/>
      <c r="EF723" s="20"/>
      <c r="FD723" s="21"/>
      <c r="FE723" s="21"/>
      <c r="FN723" s="22"/>
      <c r="FO723" s="22"/>
      <c r="FZ723" s="23"/>
      <c r="GA723" s="23"/>
      <c r="JD723" s="26"/>
      <c r="JE723" s="26"/>
      <c r="JF723" s="27"/>
      <c r="JG723" s="27"/>
      <c r="KL723" s="28"/>
      <c r="KP723" s="28"/>
      <c r="KT723" s="28"/>
      <c r="KX723" s="28"/>
      <c r="LB723" s="28"/>
      <c r="LF723" s="28"/>
      <c r="LJ723" s="28"/>
    </row>
    <row r="724" spans="1:322" ht="13.2">
      <c r="A724" s="42"/>
      <c r="B724" s="42"/>
      <c r="C724" s="42"/>
      <c r="D724" s="52"/>
      <c r="E724" s="52"/>
      <c r="O724" s="43"/>
      <c r="AL724" s="44"/>
      <c r="AM724" s="44"/>
      <c r="AN724" s="44"/>
      <c r="AO724" s="44"/>
      <c r="AP724" s="44"/>
      <c r="AQ724" s="44"/>
      <c r="AR724" s="44"/>
      <c r="AS724" s="44"/>
      <c r="AT724" s="45"/>
      <c r="AY724" s="45"/>
      <c r="BH724" s="45"/>
      <c r="BK724" s="45"/>
      <c r="BT724" s="45"/>
      <c r="BU724" s="45"/>
      <c r="CK724" s="10"/>
      <c r="EF724" s="20"/>
      <c r="FD724" s="21"/>
      <c r="FE724" s="21"/>
      <c r="FN724" s="22"/>
      <c r="FO724" s="22"/>
      <c r="FZ724" s="23"/>
      <c r="GA724" s="23"/>
      <c r="JD724" s="26"/>
      <c r="JE724" s="26"/>
      <c r="JF724" s="27"/>
      <c r="JG724" s="27"/>
      <c r="KL724" s="28"/>
      <c r="KP724" s="28"/>
      <c r="KT724" s="28"/>
      <c r="KX724" s="28"/>
      <c r="LB724" s="28"/>
      <c r="LF724" s="28"/>
      <c r="LJ724" s="28"/>
    </row>
    <row r="725" spans="1:322" ht="13.2">
      <c r="A725" s="42"/>
      <c r="B725" s="42"/>
      <c r="C725" s="42"/>
      <c r="D725" s="52"/>
      <c r="E725" s="52"/>
      <c r="O725" s="43"/>
      <c r="AL725" s="44"/>
      <c r="AM725" s="44"/>
      <c r="AN725" s="44"/>
      <c r="AO725" s="44"/>
      <c r="AP725" s="44"/>
      <c r="AQ725" s="44"/>
      <c r="AR725" s="44"/>
      <c r="AS725" s="44"/>
      <c r="AT725" s="45"/>
      <c r="AY725" s="45"/>
      <c r="BH725" s="45"/>
      <c r="BK725" s="45"/>
      <c r="BT725" s="45"/>
      <c r="BU725" s="45"/>
      <c r="CK725" s="10"/>
      <c r="EF725" s="20"/>
      <c r="FD725" s="21"/>
      <c r="FE725" s="21"/>
      <c r="FN725" s="22"/>
      <c r="FO725" s="22"/>
      <c r="FZ725" s="23"/>
      <c r="GA725" s="23"/>
      <c r="JD725" s="26"/>
      <c r="JE725" s="26"/>
      <c r="JF725" s="27"/>
      <c r="JG725" s="27"/>
      <c r="KL725" s="28"/>
      <c r="KP725" s="28"/>
      <c r="KT725" s="28"/>
      <c r="KX725" s="28"/>
      <c r="LB725" s="28"/>
      <c r="LF725" s="28"/>
      <c r="LJ725" s="28"/>
    </row>
    <row r="726" spans="1:322" ht="13.2">
      <c r="A726" s="42"/>
      <c r="B726" s="42"/>
      <c r="C726" s="42"/>
      <c r="D726" s="52"/>
      <c r="E726" s="52"/>
      <c r="O726" s="43"/>
      <c r="AL726" s="44"/>
      <c r="AM726" s="44"/>
      <c r="AN726" s="44"/>
      <c r="AO726" s="44"/>
      <c r="AP726" s="44"/>
      <c r="AQ726" s="44"/>
      <c r="AR726" s="44"/>
      <c r="AS726" s="44"/>
      <c r="AT726" s="45"/>
      <c r="AY726" s="45"/>
      <c r="BH726" s="45"/>
      <c r="BK726" s="45"/>
      <c r="BT726" s="45"/>
      <c r="BU726" s="45"/>
      <c r="CK726" s="10"/>
      <c r="EF726" s="20"/>
      <c r="FD726" s="21"/>
      <c r="FE726" s="21"/>
      <c r="FN726" s="22"/>
      <c r="FO726" s="22"/>
      <c r="FZ726" s="23"/>
      <c r="GA726" s="23"/>
      <c r="JD726" s="26"/>
      <c r="JE726" s="26"/>
      <c r="JF726" s="27"/>
      <c r="JG726" s="27"/>
      <c r="KL726" s="28"/>
      <c r="KP726" s="28"/>
      <c r="KT726" s="28"/>
      <c r="KX726" s="28"/>
      <c r="LB726" s="28"/>
      <c r="LF726" s="28"/>
      <c r="LJ726" s="28"/>
    </row>
    <row r="727" spans="1:322" ht="13.2">
      <c r="A727" s="42"/>
      <c r="B727" s="42"/>
      <c r="C727" s="42"/>
      <c r="D727" s="52"/>
      <c r="E727" s="52"/>
      <c r="O727" s="43"/>
      <c r="AL727" s="44"/>
      <c r="AM727" s="44"/>
      <c r="AN727" s="44"/>
      <c r="AO727" s="44"/>
      <c r="AP727" s="44"/>
      <c r="AQ727" s="44"/>
      <c r="AR727" s="44"/>
      <c r="AS727" s="44"/>
      <c r="AT727" s="45"/>
      <c r="AY727" s="45"/>
      <c r="BH727" s="45"/>
      <c r="BK727" s="45"/>
      <c r="BT727" s="45"/>
      <c r="BU727" s="45"/>
      <c r="CK727" s="10"/>
      <c r="EF727" s="20"/>
      <c r="FD727" s="21"/>
      <c r="FE727" s="21"/>
      <c r="FN727" s="22"/>
      <c r="FO727" s="22"/>
      <c r="FZ727" s="23"/>
      <c r="GA727" s="23"/>
      <c r="JD727" s="26"/>
      <c r="JE727" s="26"/>
      <c r="JF727" s="27"/>
      <c r="JG727" s="27"/>
      <c r="KL727" s="28"/>
      <c r="KP727" s="28"/>
      <c r="KT727" s="28"/>
      <c r="KX727" s="28"/>
      <c r="LB727" s="28"/>
      <c r="LF727" s="28"/>
      <c r="LJ727" s="28"/>
    </row>
    <row r="728" spans="1:322" ht="13.2">
      <c r="A728" s="42"/>
      <c r="B728" s="42"/>
      <c r="C728" s="42"/>
      <c r="D728" s="52"/>
      <c r="E728" s="52"/>
      <c r="O728" s="43"/>
      <c r="AL728" s="44"/>
      <c r="AM728" s="44"/>
      <c r="AN728" s="44"/>
      <c r="AO728" s="44"/>
      <c r="AP728" s="44"/>
      <c r="AQ728" s="44"/>
      <c r="AR728" s="44"/>
      <c r="AS728" s="44"/>
      <c r="AT728" s="45"/>
      <c r="AY728" s="45"/>
      <c r="BH728" s="45"/>
      <c r="BK728" s="45"/>
      <c r="BT728" s="45"/>
      <c r="BU728" s="45"/>
      <c r="CK728" s="10"/>
      <c r="EF728" s="20"/>
      <c r="FD728" s="21"/>
      <c r="FE728" s="21"/>
      <c r="FN728" s="22"/>
      <c r="FO728" s="22"/>
      <c r="FZ728" s="23"/>
      <c r="GA728" s="23"/>
      <c r="JD728" s="26"/>
      <c r="JE728" s="26"/>
      <c r="JF728" s="27"/>
      <c r="JG728" s="27"/>
      <c r="KL728" s="28"/>
      <c r="KP728" s="28"/>
      <c r="KT728" s="28"/>
      <c r="KX728" s="28"/>
      <c r="LB728" s="28"/>
      <c r="LF728" s="28"/>
      <c r="LJ728" s="28"/>
    </row>
    <row r="729" spans="1:322" ht="13.2">
      <c r="A729" s="42"/>
      <c r="B729" s="42"/>
      <c r="C729" s="42"/>
      <c r="D729" s="52"/>
      <c r="E729" s="52"/>
      <c r="O729" s="43"/>
      <c r="AL729" s="44"/>
      <c r="AM729" s="44"/>
      <c r="AN729" s="44"/>
      <c r="AO729" s="44"/>
      <c r="AP729" s="44"/>
      <c r="AQ729" s="44"/>
      <c r="AR729" s="44"/>
      <c r="AS729" s="44"/>
      <c r="AT729" s="45"/>
      <c r="AY729" s="45"/>
      <c r="BH729" s="45"/>
      <c r="BK729" s="45"/>
      <c r="BT729" s="45"/>
      <c r="BU729" s="45"/>
      <c r="CK729" s="10"/>
      <c r="EF729" s="20"/>
      <c r="FD729" s="21"/>
      <c r="FE729" s="21"/>
      <c r="FN729" s="22"/>
      <c r="FO729" s="22"/>
      <c r="FZ729" s="23"/>
      <c r="GA729" s="23"/>
      <c r="JD729" s="26"/>
      <c r="JE729" s="26"/>
      <c r="JF729" s="27"/>
      <c r="JG729" s="27"/>
      <c r="KL729" s="28"/>
      <c r="KP729" s="28"/>
      <c r="KT729" s="28"/>
      <c r="KX729" s="28"/>
      <c r="LB729" s="28"/>
      <c r="LF729" s="28"/>
      <c r="LJ729" s="28"/>
    </row>
    <row r="730" spans="1:322" ht="13.2">
      <c r="A730" s="42"/>
      <c r="B730" s="42"/>
      <c r="C730" s="42"/>
      <c r="D730" s="52"/>
      <c r="E730" s="52"/>
      <c r="O730" s="43"/>
      <c r="AL730" s="44"/>
      <c r="AM730" s="44"/>
      <c r="AN730" s="44"/>
      <c r="AO730" s="44"/>
      <c r="AP730" s="44"/>
      <c r="AQ730" s="44"/>
      <c r="AR730" s="44"/>
      <c r="AS730" s="44"/>
      <c r="AT730" s="45"/>
      <c r="AY730" s="45"/>
      <c r="BH730" s="45"/>
      <c r="BK730" s="45"/>
      <c r="BT730" s="45"/>
      <c r="BU730" s="45"/>
      <c r="CK730" s="10"/>
      <c r="EF730" s="20"/>
      <c r="FD730" s="21"/>
      <c r="FE730" s="21"/>
      <c r="FN730" s="22"/>
      <c r="FO730" s="22"/>
      <c r="FZ730" s="23"/>
      <c r="GA730" s="23"/>
      <c r="JD730" s="26"/>
      <c r="JE730" s="26"/>
      <c r="JF730" s="27"/>
      <c r="JG730" s="27"/>
      <c r="KL730" s="28"/>
      <c r="KP730" s="28"/>
      <c r="KT730" s="28"/>
      <c r="KX730" s="28"/>
      <c r="LB730" s="28"/>
      <c r="LF730" s="28"/>
      <c r="LJ730" s="28"/>
    </row>
    <row r="731" spans="1:322" ht="13.2">
      <c r="A731" s="42"/>
      <c r="B731" s="42"/>
      <c r="C731" s="42"/>
      <c r="D731" s="52"/>
      <c r="E731" s="52"/>
      <c r="O731" s="43"/>
      <c r="AL731" s="44"/>
      <c r="AM731" s="44"/>
      <c r="AN731" s="44"/>
      <c r="AO731" s="44"/>
      <c r="AP731" s="44"/>
      <c r="AQ731" s="44"/>
      <c r="AR731" s="44"/>
      <c r="AS731" s="44"/>
      <c r="AT731" s="45"/>
      <c r="AY731" s="45"/>
      <c r="BH731" s="45"/>
      <c r="BK731" s="45"/>
      <c r="BT731" s="45"/>
      <c r="BU731" s="45"/>
      <c r="CK731" s="10"/>
      <c r="EF731" s="20"/>
      <c r="FD731" s="21"/>
      <c r="FE731" s="21"/>
      <c r="FN731" s="22"/>
      <c r="FO731" s="22"/>
      <c r="FZ731" s="23"/>
      <c r="GA731" s="23"/>
      <c r="JD731" s="26"/>
      <c r="JE731" s="26"/>
      <c r="JF731" s="27"/>
      <c r="JG731" s="27"/>
      <c r="KL731" s="28"/>
      <c r="KP731" s="28"/>
      <c r="KT731" s="28"/>
      <c r="KX731" s="28"/>
      <c r="LB731" s="28"/>
      <c r="LF731" s="28"/>
      <c r="LJ731" s="28"/>
    </row>
    <row r="732" spans="1:322" ht="13.2">
      <c r="A732" s="42"/>
      <c r="B732" s="42"/>
      <c r="C732" s="42"/>
      <c r="D732" s="52"/>
      <c r="E732" s="52"/>
      <c r="O732" s="43"/>
      <c r="AL732" s="44"/>
      <c r="AM732" s="44"/>
      <c r="AN732" s="44"/>
      <c r="AO732" s="44"/>
      <c r="AP732" s="44"/>
      <c r="AQ732" s="44"/>
      <c r="AR732" s="44"/>
      <c r="AS732" s="44"/>
      <c r="AT732" s="45"/>
      <c r="AY732" s="45"/>
      <c r="BH732" s="45"/>
      <c r="BK732" s="45"/>
      <c r="BT732" s="45"/>
      <c r="BU732" s="45"/>
      <c r="CK732" s="10"/>
      <c r="EF732" s="20"/>
      <c r="FD732" s="21"/>
      <c r="FE732" s="21"/>
      <c r="FN732" s="22"/>
      <c r="FO732" s="22"/>
      <c r="FZ732" s="23"/>
      <c r="GA732" s="23"/>
      <c r="JD732" s="26"/>
      <c r="JE732" s="26"/>
      <c r="JF732" s="27"/>
      <c r="JG732" s="27"/>
      <c r="KL732" s="28"/>
      <c r="KP732" s="28"/>
      <c r="KT732" s="28"/>
      <c r="KX732" s="28"/>
      <c r="LB732" s="28"/>
      <c r="LF732" s="28"/>
      <c r="LJ732" s="28"/>
    </row>
    <row r="733" spans="1:322" ht="13.2">
      <c r="A733" s="42"/>
      <c r="B733" s="42"/>
      <c r="C733" s="42"/>
      <c r="D733" s="52"/>
      <c r="E733" s="52"/>
      <c r="O733" s="43"/>
      <c r="AL733" s="44"/>
      <c r="AM733" s="44"/>
      <c r="AN733" s="44"/>
      <c r="AO733" s="44"/>
      <c r="AP733" s="44"/>
      <c r="AQ733" s="44"/>
      <c r="AR733" s="44"/>
      <c r="AS733" s="44"/>
      <c r="AT733" s="45"/>
      <c r="AY733" s="45"/>
      <c r="BH733" s="45"/>
      <c r="BK733" s="45"/>
      <c r="BT733" s="45"/>
      <c r="BU733" s="45"/>
      <c r="CK733" s="10"/>
      <c r="EF733" s="20"/>
      <c r="FD733" s="21"/>
      <c r="FE733" s="21"/>
      <c r="FN733" s="22"/>
      <c r="FO733" s="22"/>
      <c r="FZ733" s="23"/>
      <c r="GA733" s="23"/>
      <c r="JD733" s="26"/>
      <c r="JE733" s="26"/>
      <c r="JF733" s="27"/>
      <c r="JG733" s="27"/>
      <c r="KL733" s="28"/>
      <c r="KP733" s="28"/>
      <c r="KT733" s="28"/>
      <c r="KX733" s="28"/>
      <c r="LB733" s="28"/>
      <c r="LF733" s="28"/>
      <c r="LJ733" s="28"/>
    </row>
    <row r="734" spans="1:322" ht="13.2">
      <c r="A734" s="42"/>
      <c r="B734" s="42"/>
      <c r="C734" s="42"/>
      <c r="D734" s="52"/>
      <c r="E734" s="52"/>
      <c r="O734" s="43"/>
      <c r="AL734" s="44"/>
      <c r="AM734" s="44"/>
      <c r="AN734" s="44"/>
      <c r="AO734" s="44"/>
      <c r="AP734" s="44"/>
      <c r="AQ734" s="44"/>
      <c r="AR734" s="44"/>
      <c r="AS734" s="44"/>
      <c r="AT734" s="45"/>
      <c r="AY734" s="45"/>
      <c r="BH734" s="45"/>
      <c r="BK734" s="45"/>
      <c r="BT734" s="45"/>
      <c r="BU734" s="45"/>
      <c r="CK734" s="10"/>
      <c r="EF734" s="20"/>
      <c r="FD734" s="21"/>
      <c r="FE734" s="21"/>
      <c r="FN734" s="22"/>
      <c r="FO734" s="22"/>
      <c r="FZ734" s="23"/>
      <c r="GA734" s="23"/>
      <c r="JD734" s="26"/>
      <c r="JE734" s="26"/>
      <c r="JF734" s="27"/>
      <c r="JG734" s="27"/>
      <c r="KL734" s="28"/>
      <c r="KP734" s="28"/>
      <c r="KT734" s="28"/>
      <c r="KX734" s="28"/>
      <c r="LB734" s="28"/>
      <c r="LF734" s="28"/>
      <c r="LJ734" s="28"/>
    </row>
    <row r="735" spans="1:322" ht="13.2">
      <c r="A735" s="42"/>
      <c r="B735" s="42"/>
      <c r="C735" s="42"/>
      <c r="D735" s="52"/>
      <c r="E735" s="52"/>
      <c r="O735" s="43"/>
      <c r="AL735" s="44"/>
      <c r="AM735" s="44"/>
      <c r="AN735" s="44"/>
      <c r="AO735" s="44"/>
      <c r="AP735" s="44"/>
      <c r="AQ735" s="44"/>
      <c r="AR735" s="44"/>
      <c r="AS735" s="44"/>
      <c r="AT735" s="45"/>
      <c r="AY735" s="45"/>
      <c r="BH735" s="45"/>
      <c r="BK735" s="45"/>
      <c r="BT735" s="45"/>
      <c r="BU735" s="45"/>
      <c r="CK735" s="10"/>
      <c r="EF735" s="20"/>
      <c r="FD735" s="21"/>
      <c r="FE735" s="21"/>
      <c r="FN735" s="22"/>
      <c r="FO735" s="22"/>
      <c r="FZ735" s="23"/>
      <c r="GA735" s="23"/>
      <c r="JD735" s="26"/>
      <c r="JE735" s="26"/>
      <c r="JF735" s="27"/>
      <c r="JG735" s="27"/>
      <c r="KL735" s="28"/>
      <c r="KP735" s="28"/>
      <c r="KT735" s="28"/>
      <c r="KX735" s="28"/>
      <c r="LB735" s="28"/>
      <c r="LF735" s="28"/>
      <c r="LJ735" s="28"/>
    </row>
    <row r="736" spans="1:322" ht="13.2">
      <c r="A736" s="42"/>
      <c r="B736" s="42"/>
      <c r="C736" s="42"/>
      <c r="D736" s="52"/>
      <c r="E736" s="52"/>
      <c r="O736" s="43"/>
      <c r="AL736" s="44"/>
      <c r="AM736" s="44"/>
      <c r="AN736" s="44"/>
      <c r="AO736" s="44"/>
      <c r="AP736" s="44"/>
      <c r="AQ736" s="44"/>
      <c r="AR736" s="44"/>
      <c r="AS736" s="44"/>
      <c r="AT736" s="45"/>
      <c r="AY736" s="45"/>
      <c r="BH736" s="45"/>
      <c r="BK736" s="45"/>
      <c r="BT736" s="45"/>
      <c r="BU736" s="45"/>
      <c r="CK736" s="10"/>
      <c r="EF736" s="20"/>
      <c r="FD736" s="21"/>
      <c r="FE736" s="21"/>
      <c r="FN736" s="22"/>
      <c r="FO736" s="22"/>
      <c r="FZ736" s="23"/>
      <c r="GA736" s="23"/>
      <c r="JD736" s="26"/>
      <c r="JE736" s="26"/>
      <c r="JF736" s="27"/>
      <c r="JG736" s="27"/>
      <c r="KL736" s="28"/>
      <c r="KP736" s="28"/>
      <c r="KT736" s="28"/>
      <c r="KX736" s="28"/>
      <c r="LB736" s="28"/>
      <c r="LF736" s="28"/>
      <c r="LJ736" s="28"/>
    </row>
    <row r="737" spans="1:322" ht="13.2">
      <c r="A737" s="42"/>
      <c r="B737" s="42"/>
      <c r="C737" s="42"/>
      <c r="D737" s="52"/>
      <c r="E737" s="52"/>
      <c r="O737" s="43"/>
      <c r="AL737" s="44"/>
      <c r="AM737" s="44"/>
      <c r="AN737" s="44"/>
      <c r="AO737" s="44"/>
      <c r="AP737" s="44"/>
      <c r="AQ737" s="44"/>
      <c r="AR737" s="44"/>
      <c r="AS737" s="44"/>
      <c r="AT737" s="45"/>
      <c r="AY737" s="45"/>
      <c r="BH737" s="45"/>
      <c r="BK737" s="45"/>
      <c r="BT737" s="45"/>
      <c r="BU737" s="45"/>
      <c r="CK737" s="10"/>
      <c r="EF737" s="20"/>
      <c r="FD737" s="21"/>
      <c r="FE737" s="21"/>
      <c r="FN737" s="22"/>
      <c r="FO737" s="22"/>
      <c r="FZ737" s="23"/>
      <c r="GA737" s="23"/>
      <c r="JD737" s="26"/>
      <c r="JE737" s="26"/>
      <c r="JF737" s="27"/>
      <c r="JG737" s="27"/>
      <c r="KL737" s="28"/>
      <c r="KP737" s="28"/>
      <c r="KT737" s="28"/>
      <c r="KX737" s="28"/>
      <c r="LB737" s="28"/>
      <c r="LF737" s="28"/>
      <c r="LJ737" s="28"/>
    </row>
    <row r="738" spans="1:322" ht="13.2">
      <c r="A738" s="42"/>
      <c r="B738" s="42"/>
      <c r="C738" s="42"/>
      <c r="D738" s="52"/>
      <c r="E738" s="52"/>
      <c r="O738" s="43"/>
      <c r="AL738" s="44"/>
      <c r="AM738" s="44"/>
      <c r="AN738" s="44"/>
      <c r="AO738" s="44"/>
      <c r="AP738" s="44"/>
      <c r="AQ738" s="44"/>
      <c r="AR738" s="44"/>
      <c r="AS738" s="44"/>
      <c r="AT738" s="45"/>
      <c r="AY738" s="45"/>
      <c r="BH738" s="45"/>
      <c r="BK738" s="45"/>
      <c r="BT738" s="45"/>
      <c r="BU738" s="45"/>
      <c r="CK738" s="10"/>
      <c r="EF738" s="20"/>
      <c r="FD738" s="21"/>
      <c r="FE738" s="21"/>
      <c r="FN738" s="22"/>
      <c r="FO738" s="22"/>
      <c r="FZ738" s="23"/>
      <c r="GA738" s="23"/>
      <c r="JD738" s="26"/>
      <c r="JE738" s="26"/>
      <c r="JF738" s="27"/>
      <c r="JG738" s="27"/>
      <c r="KL738" s="28"/>
      <c r="KP738" s="28"/>
      <c r="KT738" s="28"/>
      <c r="KX738" s="28"/>
      <c r="LB738" s="28"/>
      <c r="LF738" s="28"/>
      <c r="LJ738" s="28"/>
    </row>
    <row r="739" spans="1:322" ht="13.2">
      <c r="A739" s="42"/>
      <c r="B739" s="42"/>
      <c r="C739" s="42"/>
      <c r="D739" s="52"/>
      <c r="E739" s="52"/>
      <c r="O739" s="43"/>
      <c r="AL739" s="44"/>
      <c r="AM739" s="44"/>
      <c r="AN739" s="44"/>
      <c r="AO739" s="44"/>
      <c r="AP739" s="44"/>
      <c r="AQ739" s="44"/>
      <c r="AR739" s="44"/>
      <c r="AS739" s="44"/>
      <c r="AT739" s="45"/>
      <c r="AY739" s="45"/>
      <c r="BH739" s="45"/>
      <c r="BK739" s="45"/>
      <c r="BT739" s="45"/>
      <c r="BU739" s="45"/>
      <c r="CK739" s="10"/>
      <c r="EF739" s="20"/>
      <c r="FD739" s="21"/>
      <c r="FE739" s="21"/>
      <c r="FN739" s="22"/>
      <c r="FO739" s="22"/>
      <c r="FZ739" s="23"/>
      <c r="GA739" s="23"/>
      <c r="JD739" s="26"/>
      <c r="JE739" s="26"/>
      <c r="JF739" s="27"/>
      <c r="JG739" s="27"/>
      <c r="KL739" s="28"/>
      <c r="KP739" s="28"/>
      <c r="KT739" s="28"/>
      <c r="KX739" s="28"/>
      <c r="LB739" s="28"/>
      <c r="LF739" s="28"/>
      <c r="LJ739" s="28"/>
    </row>
    <row r="740" spans="1:322" ht="13.2">
      <c r="A740" s="42"/>
      <c r="B740" s="42"/>
      <c r="C740" s="42"/>
      <c r="D740" s="52"/>
      <c r="E740" s="52"/>
      <c r="O740" s="43"/>
      <c r="AL740" s="44"/>
      <c r="AM740" s="44"/>
      <c r="AN740" s="44"/>
      <c r="AO740" s="44"/>
      <c r="AP740" s="44"/>
      <c r="AQ740" s="44"/>
      <c r="AR740" s="44"/>
      <c r="AS740" s="44"/>
      <c r="AT740" s="45"/>
      <c r="AY740" s="45"/>
      <c r="BH740" s="45"/>
      <c r="BK740" s="45"/>
      <c r="BT740" s="45"/>
      <c r="BU740" s="45"/>
      <c r="CK740" s="10"/>
      <c r="EF740" s="20"/>
      <c r="FD740" s="21"/>
      <c r="FE740" s="21"/>
      <c r="FN740" s="22"/>
      <c r="FO740" s="22"/>
      <c r="FZ740" s="23"/>
      <c r="GA740" s="23"/>
      <c r="JD740" s="26"/>
      <c r="JE740" s="26"/>
      <c r="JF740" s="27"/>
      <c r="JG740" s="27"/>
      <c r="KL740" s="28"/>
      <c r="KP740" s="28"/>
      <c r="KT740" s="28"/>
      <c r="KX740" s="28"/>
      <c r="LB740" s="28"/>
      <c r="LF740" s="28"/>
      <c r="LJ740" s="28"/>
    </row>
    <row r="741" spans="1:322" ht="13.2">
      <c r="A741" s="42"/>
      <c r="B741" s="42"/>
      <c r="C741" s="42"/>
      <c r="D741" s="52"/>
      <c r="E741" s="52"/>
      <c r="O741" s="43"/>
      <c r="AL741" s="44"/>
      <c r="AM741" s="44"/>
      <c r="AN741" s="44"/>
      <c r="AO741" s="44"/>
      <c r="AP741" s="44"/>
      <c r="AQ741" s="44"/>
      <c r="AR741" s="44"/>
      <c r="AS741" s="44"/>
      <c r="AT741" s="45"/>
      <c r="AY741" s="45"/>
      <c r="BH741" s="45"/>
      <c r="BK741" s="45"/>
      <c r="BT741" s="45"/>
      <c r="BU741" s="45"/>
      <c r="CK741" s="10"/>
      <c r="EF741" s="20"/>
      <c r="FD741" s="21"/>
      <c r="FE741" s="21"/>
      <c r="FN741" s="22"/>
      <c r="FO741" s="22"/>
      <c r="FZ741" s="23"/>
      <c r="GA741" s="23"/>
      <c r="JD741" s="26"/>
      <c r="JE741" s="26"/>
      <c r="JF741" s="27"/>
      <c r="JG741" s="27"/>
      <c r="KL741" s="28"/>
      <c r="KP741" s="28"/>
      <c r="KT741" s="28"/>
      <c r="KX741" s="28"/>
      <c r="LB741" s="28"/>
      <c r="LF741" s="28"/>
      <c r="LJ741" s="28"/>
    </row>
    <row r="742" spans="1:322" ht="13.2">
      <c r="A742" s="42"/>
      <c r="B742" s="42"/>
      <c r="C742" s="42"/>
      <c r="D742" s="52"/>
      <c r="E742" s="52"/>
      <c r="O742" s="43"/>
      <c r="AL742" s="44"/>
      <c r="AM742" s="44"/>
      <c r="AN742" s="44"/>
      <c r="AO742" s="44"/>
      <c r="AP742" s="44"/>
      <c r="AQ742" s="44"/>
      <c r="AR742" s="44"/>
      <c r="AS742" s="44"/>
      <c r="AT742" s="45"/>
      <c r="AY742" s="45"/>
      <c r="BH742" s="45"/>
      <c r="BK742" s="45"/>
      <c r="BT742" s="45"/>
      <c r="BU742" s="45"/>
      <c r="CK742" s="10"/>
      <c r="EF742" s="20"/>
      <c r="FD742" s="21"/>
      <c r="FE742" s="21"/>
      <c r="FN742" s="22"/>
      <c r="FO742" s="22"/>
      <c r="FZ742" s="23"/>
      <c r="GA742" s="23"/>
      <c r="JD742" s="26"/>
      <c r="JE742" s="26"/>
      <c r="JF742" s="27"/>
      <c r="JG742" s="27"/>
      <c r="KL742" s="28"/>
      <c r="KP742" s="28"/>
      <c r="KT742" s="28"/>
      <c r="KX742" s="28"/>
      <c r="LB742" s="28"/>
      <c r="LF742" s="28"/>
      <c r="LJ742" s="28"/>
    </row>
    <row r="743" spans="1:322" ht="13.2">
      <c r="A743" s="42"/>
      <c r="B743" s="42"/>
      <c r="C743" s="42"/>
      <c r="D743" s="52"/>
      <c r="E743" s="52"/>
      <c r="O743" s="43"/>
      <c r="AL743" s="44"/>
      <c r="AM743" s="44"/>
      <c r="AN743" s="44"/>
      <c r="AO743" s="44"/>
      <c r="AP743" s="44"/>
      <c r="AQ743" s="44"/>
      <c r="AR743" s="44"/>
      <c r="AS743" s="44"/>
      <c r="AT743" s="45"/>
      <c r="AY743" s="45"/>
      <c r="BH743" s="45"/>
      <c r="BK743" s="45"/>
      <c r="BT743" s="45"/>
      <c r="BU743" s="45"/>
      <c r="CK743" s="10"/>
      <c r="EF743" s="20"/>
      <c r="FD743" s="21"/>
      <c r="FE743" s="21"/>
      <c r="FN743" s="22"/>
      <c r="FO743" s="22"/>
      <c r="FZ743" s="23"/>
      <c r="GA743" s="23"/>
      <c r="JD743" s="26"/>
      <c r="JE743" s="26"/>
      <c r="JF743" s="27"/>
      <c r="JG743" s="27"/>
      <c r="KL743" s="28"/>
      <c r="KP743" s="28"/>
      <c r="KT743" s="28"/>
      <c r="KX743" s="28"/>
      <c r="LB743" s="28"/>
      <c r="LF743" s="28"/>
      <c r="LJ743" s="28"/>
    </row>
    <row r="744" spans="1:322" ht="13.2">
      <c r="A744" s="42"/>
      <c r="B744" s="42"/>
      <c r="C744" s="42"/>
      <c r="D744" s="52"/>
      <c r="E744" s="52"/>
      <c r="O744" s="43"/>
      <c r="AL744" s="44"/>
      <c r="AM744" s="44"/>
      <c r="AN744" s="44"/>
      <c r="AO744" s="44"/>
      <c r="AP744" s="44"/>
      <c r="AQ744" s="44"/>
      <c r="AR744" s="44"/>
      <c r="AS744" s="44"/>
      <c r="AT744" s="45"/>
      <c r="AY744" s="45"/>
      <c r="BH744" s="45"/>
      <c r="BK744" s="45"/>
      <c r="BT744" s="45"/>
      <c r="BU744" s="45"/>
      <c r="CK744" s="10"/>
      <c r="EF744" s="20"/>
      <c r="FD744" s="21"/>
      <c r="FE744" s="21"/>
      <c r="FN744" s="22"/>
      <c r="FO744" s="22"/>
      <c r="FZ744" s="23"/>
      <c r="GA744" s="23"/>
      <c r="JD744" s="26"/>
      <c r="JE744" s="26"/>
      <c r="JF744" s="27"/>
      <c r="JG744" s="27"/>
      <c r="KL744" s="28"/>
      <c r="KP744" s="28"/>
      <c r="KT744" s="28"/>
      <c r="KX744" s="28"/>
      <c r="LB744" s="28"/>
      <c r="LF744" s="28"/>
      <c r="LJ744" s="28"/>
    </row>
    <row r="745" spans="1:322" ht="13.2">
      <c r="A745" s="42"/>
      <c r="B745" s="42"/>
      <c r="C745" s="42"/>
      <c r="D745" s="52"/>
      <c r="E745" s="52"/>
      <c r="O745" s="43"/>
      <c r="AL745" s="44"/>
      <c r="AM745" s="44"/>
      <c r="AN745" s="44"/>
      <c r="AO745" s="44"/>
      <c r="AP745" s="44"/>
      <c r="AQ745" s="44"/>
      <c r="AR745" s="44"/>
      <c r="AS745" s="44"/>
      <c r="AT745" s="45"/>
      <c r="AY745" s="45"/>
      <c r="BH745" s="45"/>
      <c r="BK745" s="45"/>
      <c r="BT745" s="45"/>
      <c r="BU745" s="45"/>
      <c r="CK745" s="10"/>
      <c r="EF745" s="20"/>
      <c r="FD745" s="21"/>
      <c r="FE745" s="21"/>
      <c r="FN745" s="22"/>
      <c r="FO745" s="22"/>
      <c r="FZ745" s="23"/>
      <c r="GA745" s="23"/>
      <c r="JD745" s="26"/>
      <c r="JE745" s="26"/>
      <c r="JF745" s="27"/>
      <c r="JG745" s="27"/>
      <c r="KL745" s="28"/>
      <c r="KP745" s="28"/>
      <c r="KT745" s="28"/>
      <c r="KX745" s="28"/>
      <c r="LB745" s="28"/>
      <c r="LF745" s="28"/>
      <c r="LJ745" s="28"/>
    </row>
    <row r="746" spans="1:322" ht="13.2">
      <c r="A746" s="42"/>
      <c r="B746" s="42"/>
      <c r="C746" s="42"/>
      <c r="D746" s="52"/>
      <c r="E746" s="52"/>
      <c r="O746" s="43"/>
      <c r="AL746" s="44"/>
      <c r="AM746" s="44"/>
      <c r="AN746" s="44"/>
      <c r="AO746" s="44"/>
      <c r="AP746" s="44"/>
      <c r="AQ746" s="44"/>
      <c r="AR746" s="44"/>
      <c r="AS746" s="44"/>
      <c r="AT746" s="45"/>
      <c r="AY746" s="45"/>
      <c r="BH746" s="45"/>
      <c r="BK746" s="45"/>
      <c r="BT746" s="45"/>
      <c r="BU746" s="45"/>
      <c r="CK746" s="10"/>
      <c r="EF746" s="20"/>
      <c r="FD746" s="21"/>
      <c r="FE746" s="21"/>
      <c r="FN746" s="22"/>
      <c r="FO746" s="22"/>
      <c r="FZ746" s="23"/>
      <c r="GA746" s="23"/>
      <c r="JD746" s="26"/>
      <c r="JE746" s="26"/>
      <c r="JF746" s="27"/>
      <c r="JG746" s="27"/>
      <c r="KL746" s="28"/>
      <c r="KP746" s="28"/>
      <c r="KT746" s="28"/>
      <c r="KX746" s="28"/>
      <c r="LB746" s="28"/>
      <c r="LF746" s="28"/>
      <c r="LJ746" s="28"/>
    </row>
    <row r="747" spans="1:322" ht="13.2">
      <c r="A747" s="42"/>
      <c r="B747" s="42"/>
      <c r="C747" s="42"/>
      <c r="D747" s="52"/>
      <c r="E747" s="52"/>
      <c r="O747" s="43"/>
      <c r="AL747" s="44"/>
      <c r="AM747" s="44"/>
      <c r="AN747" s="44"/>
      <c r="AO747" s="44"/>
      <c r="AP747" s="44"/>
      <c r="AQ747" s="44"/>
      <c r="AR747" s="44"/>
      <c r="AS747" s="44"/>
      <c r="AT747" s="45"/>
      <c r="AY747" s="45"/>
      <c r="BH747" s="45"/>
      <c r="BK747" s="45"/>
      <c r="BT747" s="45"/>
      <c r="BU747" s="45"/>
      <c r="CK747" s="10"/>
      <c r="EF747" s="20"/>
      <c r="FD747" s="21"/>
      <c r="FE747" s="21"/>
      <c r="FN747" s="22"/>
      <c r="FO747" s="22"/>
      <c r="FZ747" s="23"/>
      <c r="GA747" s="23"/>
      <c r="JD747" s="26"/>
      <c r="JE747" s="26"/>
      <c r="JF747" s="27"/>
      <c r="JG747" s="27"/>
      <c r="KL747" s="28"/>
      <c r="KP747" s="28"/>
      <c r="KT747" s="28"/>
      <c r="KX747" s="28"/>
      <c r="LB747" s="28"/>
      <c r="LF747" s="28"/>
      <c r="LJ747" s="28"/>
    </row>
    <row r="748" spans="1:322" ht="13.2">
      <c r="A748" s="42"/>
      <c r="B748" s="42"/>
      <c r="C748" s="42"/>
      <c r="D748" s="52"/>
      <c r="E748" s="52"/>
      <c r="O748" s="43"/>
      <c r="AL748" s="44"/>
      <c r="AM748" s="44"/>
      <c r="AN748" s="44"/>
      <c r="AO748" s="44"/>
      <c r="AP748" s="44"/>
      <c r="AQ748" s="44"/>
      <c r="AR748" s="44"/>
      <c r="AS748" s="44"/>
      <c r="AT748" s="45"/>
      <c r="AY748" s="45"/>
      <c r="BH748" s="45"/>
      <c r="BK748" s="45"/>
      <c r="BT748" s="45"/>
      <c r="BU748" s="45"/>
      <c r="CK748" s="10"/>
      <c r="EF748" s="20"/>
      <c r="FD748" s="21"/>
      <c r="FE748" s="21"/>
      <c r="FN748" s="22"/>
      <c r="FO748" s="22"/>
      <c r="FZ748" s="23"/>
      <c r="GA748" s="23"/>
      <c r="JD748" s="26"/>
      <c r="JE748" s="26"/>
      <c r="JF748" s="27"/>
      <c r="JG748" s="27"/>
      <c r="KL748" s="28"/>
      <c r="KP748" s="28"/>
      <c r="KT748" s="28"/>
      <c r="KX748" s="28"/>
      <c r="LB748" s="28"/>
      <c r="LF748" s="28"/>
      <c r="LJ748" s="28"/>
    </row>
    <row r="749" spans="1:322" ht="13.2">
      <c r="A749" s="42"/>
      <c r="B749" s="42"/>
      <c r="C749" s="42"/>
      <c r="D749" s="52"/>
      <c r="E749" s="52"/>
      <c r="O749" s="43"/>
      <c r="AL749" s="44"/>
      <c r="AM749" s="44"/>
      <c r="AN749" s="44"/>
      <c r="AO749" s="44"/>
      <c r="AP749" s="44"/>
      <c r="AQ749" s="44"/>
      <c r="AR749" s="44"/>
      <c r="AS749" s="44"/>
      <c r="AT749" s="45"/>
      <c r="AY749" s="45"/>
      <c r="BH749" s="45"/>
      <c r="BK749" s="45"/>
      <c r="BT749" s="45"/>
      <c r="BU749" s="45"/>
      <c r="CK749" s="10"/>
      <c r="EF749" s="20"/>
      <c r="FD749" s="21"/>
      <c r="FE749" s="21"/>
      <c r="FN749" s="22"/>
      <c r="FO749" s="22"/>
      <c r="FZ749" s="23"/>
      <c r="GA749" s="23"/>
      <c r="JD749" s="26"/>
      <c r="JE749" s="26"/>
      <c r="JF749" s="27"/>
      <c r="JG749" s="27"/>
      <c r="KL749" s="28"/>
      <c r="KP749" s="28"/>
      <c r="KT749" s="28"/>
      <c r="KX749" s="28"/>
      <c r="LB749" s="28"/>
      <c r="LF749" s="28"/>
      <c r="LJ749" s="28"/>
    </row>
    <row r="750" spans="1:322" ht="13.2">
      <c r="A750" s="42"/>
      <c r="B750" s="42"/>
      <c r="C750" s="42"/>
      <c r="D750" s="52"/>
      <c r="E750" s="52"/>
      <c r="O750" s="43"/>
      <c r="AL750" s="44"/>
      <c r="AM750" s="44"/>
      <c r="AN750" s="44"/>
      <c r="AO750" s="44"/>
      <c r="AP750" s="44"/>
      <c r="AQ750" s="44"/>
      <c r="AR750" s="44"/>
      <c r="AS750" s="44"/>
      <c r="AT750" s="45"/>
      <c r="AY750" s="45"/>
      <c r="BH750" s="45"/>
      <c r="BK750" s="45"/>
      <c r="BT750" s="45"/>
      <c r="BU750" s="45"/>
      <c r="CK750" s="10"/>
      <c r="EF750" s="20"/>
      <c r="FD750" s="21"/>
      <c r="FE750" s="21"/>
      <c r="FN750" s="22"/>
      <c r="FO750" s="22"/>
      <c r="FZ750" s="23"/>
      <c r="GA750" s="23"/>
      <c r="JD750" s="26"/>
      <c r="JE750" s="26"/>
      <c r="JF750" s="27"/>
      <c r="JG750" s="27"/>
      <c r="KL750" s="28"/>
      <c r="KP750" s="28"/>
      <c r="KT750" s="28"/>
      <c r="KX750" s="28"/>
      <c r="LB750" s="28"/>
      <c r="LF750" s="28"/>
      <c r="LJ750" s="28"/>
    </row>
    <row r="751" spans="1:322" ht="13.2">
      <c r="A751" s="42"/>
      <c r="B751" s="42"/>
      <c r="C751" s="42"/>
      <c r="D751" s="52"/>
      <c r="E751" s="52"/>
      <c r="O751" s="43"/>
      <c r="AL751" s="44"/>
      <c r="AM751" s="44"/>
      <c r="AN751" s="44"/>
      <c r="AO751" s="44"/>
      <c r="AP751" s="44"/>
      <c r="AQ751" s="44"/>
      <c r="AR751" s="44"/>
      <c r="AS751" s="44"/>
      <c r="AT751" s="45"/>
      <c r="AY751" s="45"/>
      <c r="BH751" s="45"/>
      <c r="BK751" s="45"/>
      <c r="BT751" s="45"/>
      <c r="BU751" s="45"/>
      <c r="CK751" s="10"/>
      <c r="EF751" s="20"/>
      <c r="FD751" s="21"/>
      <c r="FE751" s="21"/>
      <c r="FN751" s="22"/>
      <c r="FO751" s="22"/>
      <c r="FZ751" s="23"/>
      <c r="GA751" s="23"/>
      <c r="JD751" s="26"/>
      <c r="JE751" s="26"/>
      <c r="JF751" s="27"/>
      <c r="JG751" s="27"/>
      <c r="KL751" s="28"/>
      <c r="KP751" s="28"/>
      <c r="KT751" s="28"/>
      <c r="KX751" s="28"/>
      <c r="LB751" s="28"/>
      <c r="LF751" s="28"/>
      <c r="LJ751" s="28"/>
    </row>
    <row r="752" spans="1:322" ht="13.2">
      <c r="A752" s="42"/>
      <c r="B752" s="42"/>
      <c r="C752" s="42"/>
      <c r="D752" s="52"/>
      <c r="E752" s="52"/>
      <c r="O752" s="43"/>
      <c r="AL752" s="44"/>
      <c r="AM752" s="44"/>
      <c r="AN752" s="44"/>
      <c r="AO752" s="44"/>
      <c r="AP752" s="44"/>
      <c r="AQ752" s="44"/>
      <c r="AR752" s="44"/>
      <c r="AS752" s="44"/>
      <c r="AT752" s="45"/>
      <c r="AY752" s="45"/>
      <c r="BH752" s="45"/>
      <c r="BK752" s="45"/>
      <c r="BT752" s="45"/>
      <c r="BU752" s="45"/>
      <c r="CK752" s="10"/>
      <c r="EF752" s="20"/>
      <c r="FD752" s="21"/>
      <c r="FE752" s="21"/>
      <c r="FN752" s="22"/>
      <c r="FO752" s="22"/>
      <c r="FZ752" s="23"/>
      <c r="GA752" s="23"/>
      <c r="JD752" s="26"/>
      <c r="JE752" s="26"/>
      <c r="JF752" s="27"/>
      <c r="JG752" s="27"/>
      <c r="KL752" s="28"/>
      <c r="KP752" s="28"/>
      <c r="KT752" s="28"/>
      <c r="KX752" s="28"/>
      <c r="LB752" s="28"/>
      <c r="LF752" s="28"/>
      <c r="LJ752" s="28"/>
    </row>
    <row r="753" spans="1:322" ht="13.2">
      <c r="A753" s="42"/>
      <c r="B753" s="42"/>
      <c r="C753" s="42"/>
      <c r="D753" s="52"/>
      <c r="E753" s="52"/>
      <c r="O753" s="43"/>
      <c r="AL753" s="44"/>
      <c r="AM753" s="44"/>
      <c r="AN753" s="44"/>
      <c r="AO753" s="44"/>
      <c r="AP753" s="44"/>
      <c r="AQ753" s="44"/>
      <c r="AR753" s="44"/>
      <c r="AS753" s="44"/>
      <c r="AT753" s="45"/>
      <c r="AY753" s="45"/>
      <c r="BH753" s="45"/>
      <c r="BK753" s="45"/>
      <c r="BT753" s="45"/>
      <c r="BU753" s="45"/>
      <c r="CK753" s="10"/>
      <c r="EF753" s="20"/>
      <c r="FD753" s="21"/>
      <c r="FE753" s="21"/>
      <c r="FN753" s="22"/>
      <c r="FO753" s="22"/>
      <c r="FZ753" s="23"/>
      <c r="GA753" s="23"/>
      <c r="JD753" s="26"/>
      <c r="JE753" s="26"/>
      <c r="JF753" s="27"/>
      <c r="JG753" s="27"/>
      <c r="KL753" s="28"/>
      <c r="KP753" s="28"/>
      <c r="KT753" s="28"/>
      <c r="KX753" s="28"/>
      <c r="LB753" s="28"/>
      <c r="LF753" s="28"/>
      <c r="LJ753" s="28"/>
    </row>
    <row r="754" spans="1:322" ht="13.2">
      <c r="A754" s="42"/>
      <c r="B754" s="42"/>
      <c r="C754" s="42"/>
      <c r="D754" s="52"/>
      <c r="E754" s="52"/>
      <c r="O754" s="43"/>
      <c r="AL754" s="44"/>
      <c r="AM754" s="44"/>
      <c r="AN754" s="44"/>
      <c r="AO754" s="44"/>
      <c r="AP754" s="44"/>
      <c r="AQ754" s="44"/>
      <c r="AR754" s="44"/>
      <c r="AS754" s="44"/>
      <c r="AT754" s="45"/>
      <c r="AY754" s="45"/>
      <c r="BH754" s="45"/>
      <c r="BK754" s="45"/>
      <c r="BT754" s="45"/>
      <c r="BU754" s="45"/>
      <c r="CK754" s="10"/>
      <c r="EF754" s="20"/>
      <c r="FD754" s="21"/>
      <c r="FE754" s="21"/>
      <c r="FN754" s="22"/>
      <c r="FO754" s="22"/>
      <c r="FZ754" s="23"/>
      <c r="GA754" s="23"/>
      <c r="JD754" s="26"/>
      <c r="JE754" s="26"/>
      <c r="JF754" s="27"/>
      <c r="JG754" s="27"/>
      <c r="KL754" s="28"/>
      <c r="KP754" s="28"/>
      <c r="KT754" s="28"/>
      <c r="KX754" s="28"/>
      <c r="LB754" s="28"/>
      <c r="LF754" s="28"/>
      <c r="LJ754" s="28"/>
    </row>
    <row r="755" spans="1:322" ht="13.2">
      <c r="A755" s="42"/>
      <c r="B755" s="42"/>
      <c r="C755" s="42"/>
      <c r="D755" s="52"/>
      <c r="E755" s="52"/>
      <c r="O755" s="43"/>
      <c r="AL755" s="44"/>
      <c r="AM755" s="44"/>
      <c r="AN755" s="44"/>
      <c r="AO755" s="44"/>
      <c r="AP755" s="44"/>
      <c r="AQ755" s="44"/>
      <c r="AR755" s="44"/>
      <c r="AS755" s="44"/>
      <c r="AT755" s="45"/>
      <c r="AY755" s="45"/>
      <c r="BH755" s="45"/>
      <c r="BK755" s="45"/>
      <c r="BT755" s="45"/>
      <c r="BU755" s="45"/>
      <c r="CK755" s="10"/>
      <c r="EF755" s="20"/>
      <c r="FD755" s="21"/>
      <c r="FE755" s="21"/>
      <c r="FN755" s="22"/>
      <c r="FO755" s="22"/>
      <c r="FZ755" s="23"/>
      <c r="GA755" s="23"/>
      <c r="JD755" s="26"/>
      <c r="JE755" s="26"/>
      <c r="JF755" s="27"/>
      <c r="JG755" s="27"/>
      <c r="KL755" s="28"/>
      <c r="KP755" s="28"/>
      <c r="KT755" s="28"/>
      <c r="KX755" s="28"/>
      <c r="LB755" s="28"/>
      <c r="LF755" s="28"/>
      <c r="LJ755" s="28"/>
    </row>
    <row r="756" spans="1:322" ht="13.2">
      <c r="A756" s="42"/>
      <c r="B756" s="42"/>
      <c r="C756" s="42"/>
      <c r="D756" s="52"/>
      <c r="E756" s="52"/>
      <c r="O756" s="43"/>
      <c r="AL756" s="44"/>
      <c r="AM756" s="44"/>
      <c r="AN756" s="44"/>
      <c r="AO756" s="44"/>
      <c r="AP756" s="44"/>
      <c r="AQ756" s="44"/>
      <c r="AR756" s="44"/>
      <c r="AS756" s="44"/>
      <c r="AT756" s="45"/>
      <c r="AY756" s="45"/>
      <c r="BH756" s="45"/>
      <c r="BK756" s="45"/>
      <c r="BT756" s="45"/>
      <c r="BU756" s="45"/>
      <c r="CK756" s="10"/>
      <c r="EF756" s="20"/>
      <c r="FD756" s="21"/>
      <c r="FE756" s="21"/>
      <c r="FN756" s="22"/>
      <c r="FO756" s="22"/>
      <c r="FZ756" s="23"/>
      <c r="GA756" s="23"/>
      <c r="JD756" s="26"/>
      <c r="JE756" s="26"/>
      <c r="JF756" s="27"/>
      <c r="JG756" s="27"/>
      <c r="KL756" s="28"/>
      <c r="KP756" s="28"/>
      <c r="KT756" s="28"/>
      <c r="KX756" s="28"/>
      <c r="LB756" s="28"/>
      <c r="LF756" s="28"/>
      <c r="LJ756" s="28"/>
    </row>
    <row r="757" spans="1:322" ht="13.2">
      <c r="A757" s="42"/>
      <c r="B757" s="42"/>
      <c r="C757" s="42"/>
      <c r="D757" s="52"/>
      <c r="E757" s="52"/>
      <c r="O757" s="43"/>
      <c r="AL757" s="44"/>
      <c r="AM757" s="44"/>
      <c r="AN757" s="44"/>
      <c r="AO757" s="44"/>
      <c r="AP757" s="44"/>
      <c r="AQ757" s="44"/>
      <c r="AR757" s="44"/>
      <c r="AS757" s="44"/>
      <c r="AT757" s="45"/>
      <c r="AY757" s="45"/>
      <c r="BH757" s="45"/>
      <c r="BK757" s="45"/>
      <c r="BT757" s="45"/>
      <c r="BU757" s="45"/>
      <c r="CK757" s="10"/>
      <c r="EF757" s="20"/>
      <c r="FD757" s="21"/>
      <c r="FE757" s="21"/>
      <c r="FN757" s="22"/>
      <c r="FO757" s="22"/>
      <c r="FZ757" s="23"/>
      <c r="GA757" s="23"/>
      <c r="JD757" s="26"/>
      <c r="JE757" s="26"/>
      <c r="JF757" s="27"/>
      <c r="JG757" s="27"/>
      <c r="KL757" s="28"/>
      <c r="KP757" s="28"/>
      <c r="KT757" s="28"/>
      <c r="KX757" s="28"/>
      <c r="LB757" s="28"/>
      <c r="LF757" s="28"/>
      <c r="LJ757" s="28"/>
    </row>
    <row r="758" spans="1:322" ht="13.2">
      <c r="A758" s="42"/>
      <c r="B758" s="42"/>
      <c r="C758" s="42"/>
      <c r="D758" s="52"/>
      <c r="E758" s="52"/>
      <c r="O758" s="43"/>
      <c r="AL758" s="44"/>
      <c r="AM758" s="44"/>
      <c r="AN758" s="44"/>
      <c r="AO758" s="44"/>
      <c r="AP758" s="44"/>
      <c r="AQ758" s="44"/>
      <c r="AR758" s="44"/>
      <c r="AS758" s="44"/>
      <c r="AT758" s="45"/>
      <c r="AY758" s="45"/>
      <c r="BH758" s="45"/>
      <c r="BK758" s="45"/>
      <c r="BT758" s="45"/>
      <c r="BU758" s="45"/>
      <c r="CK758" s="10"/>
      <c r="EF758" s="20"/>
      <c r="FD758" s="21"/>
      <c r="FE758" s="21"/>
      <c r="FN758" s="22"/>
      <c r="FO758" s="22"/>
      <c r="FZ758" s="23"/>
      <c r="GA758" s="23"/>
      <c r="JD758" s="26"/>
      <c r="JE758" s="26"/>
      <c r="JF758" s="27"/>
      <c r="JG758" s="27"/>
      <c r="KL758" s="28"/>
      <c r="KP758" s="28"/>
      <c r="KT758" s="28"/>
      <c r="KX758" s="28"/>
      <c r="LB758" s="28"/>
      <c r="LF758" s="28"/>
      <c r="LJ758" s="28"/>
    </row>
    <row r="759" spans="1:322" ht="13.2">
      <c r="A759" s="42"/>
      <c r="B759" s="42"/>
      <c r="C759" s="42"/>
      <c r="D759" s="52"/>
      <c r="E759" s="52"/>
      <c r="O759" s="43"/>
      <c r="AL759" s="44"/>
      <c r="AM759" s="44"/>
      <c r="AN759" s="44"/>
      <c r="AO759" s="44"/>
      <c r="AP759" s="44"/>
      <c r="AQ759" s="44"/>
      <c r="AR759" s="44"/>
      <c r="AS759" s="44"/>
      <c r="AT759" s="45"/>
      <c r="AY759" s="45"/>
      <c r="BH759" s="45"/>
      <c r="BK759" s="45"/>
      <c r="BT759" s="45"/>
      <c r="BU759" s="45"/>
      <c r="CK759" s="10"/>
      <c r="EF759" s="20"/>
      <c r="FD759" s="21"/>
      <c r="FE759" s="21"/>
      <c r="FN759" s="22"/>
      <c r="FO759" s="22"/>
      <c r="FZ759" s="23"/>
      <c r="GA759" s="23"/>
      <c r="JD759" s="26"/>
      <c r="JE759" s="26"/>
      <c r="JF759" s="27"/>
      <c r="JG759" s="27"/>
      <c r="KL759" s="28"/>
      <c r="KP759" s="28"/>
      <c r="KT759" s="28"/>
      <c r="KX759" s="28"/>
      <c r="LB759" s="28"/>
      <c r="LF759" s="28"/>
      <c r="LJ759" s="28"/>
    </row>
    <row r="760" spans="1:322" ht="13.2">
      <c r="A760" s="42"/>
      <c r="B760" s="42"/>
      <c r="C760" s="42"/>
      <c r="D760" s="52"/>
      <c r="E760" s="52"/>
      <c r="O760" s="43"/>
      <c r="AL760" s="44"/>
      <c r="AM760" s="44"/>
      <c r="AN760" s="44"/>
      <c r="AO760" s="44"/>
      <c r="AP760" s="44"/>
      <c r="AQ760" s="44"/>
      <c r="AR760" s="44"/>
      <c r="AS760" s="44"/>
      <c r="AT760" s="45"/>
      <c r="AY760" s="45"/>
      <c r="BH760" s="45"/>
      <c r="BK760" s="45"/>
      <c r="BT760" s="45"/>
      <c r="BU760" s="45"/>
      <c r="CK760" s="10"/>
      <c r="EF760" s="20"/>
      <c r="FD760" s="21"/>
      <c r="FE760" s="21"/>
      <c r="FN760" s="22"/>
      <c r="FO760" s="22"/>
      <c r="FZ760" s="23"/>
      <c r="GA760" s="23"/>
      <c r="JD760" s="26"/>
      <c r="JE760" s="26"/>
      <c r="JF760" s="27"/>
      <c r="JG760" s="27"/>
      <c r="KL760" s="28"/>
      <c r="KP760" s="28"/>
      <c r="KT760" s="28"/>
      <c r="KX760" s="28"/>
      <c r="LB760" s="28"/>
      <c r="LF760" s="28"/>
      <c r="LJ760" s="28"/>
    </row>
    <row r="761" spans="1:322" ht="13.2">
      <c r="A761" s="42"/>
      <c r="B761" s="42"/>
      <c r="C761" s="42"/>
      <c r="D761" s="52"/>
      <c r="E761" s="52"/>
      <c r="O761" s="43"/>
      <c r="AL761" s="44"/>
      <c r="AM761" s="44"/>
      <c r="AN761" s="44"/>
      <c r="AO761" s="44"/>
      <c r="AP761" s="44"/>
      <c r="AQ761" s="44"/>
      <c r="AR761" s="44"/>
      <c r="AS761" s="44"/>
      <c r="AT761" s="45"/>
      <c r="AY761" s="45"/>
      <c r="BH761" s="45"/>
      <c r="BK761" s="45"/>
      <c r="BT761" s="45"/>
      <c r="BU761" s="45"/>
      <c r="CK761" s="10"/>
      <c r="EF761" s="20"/>
      <c r="FD761" s="21"/>
      <c r="FE761" s="21"/>
      <c r="FN761" s="22"/>
      <c r="FO761" s="22"/>
      <c r="FZ761" s="23"/>
      <c r="GA761" s="23"/>
      <c r="JD761" s="26"/>
      <c r="JE761" s="26"/>
      <c r="JF761" s="27"/>
      <c r="JG761" s="27"/>
      <c r="KL761" s="28"/>
      <c r="KP761" s="28"/>
      <c r="KT761" s="28"/>
      <c r="KX761" s="28"/>
      <c r="LB761" s="28"/>
      <c r="LF761" s="28"/>
      <c r="LJ761" s="28"/>
    </row>
    <row r="762" spans="1:322" ht="13.2">
      <c r="A762" s="42"/>
      <c r="B762" s="42"/>
      <c r="C762" s="42"/>
      <c r="D762" s="52"/>
      <c r="E762" s="52"/>
      <c r="O762" s="43"/>
      <c r="AL762" s="44"/>
      <c r="AM762" s="44"/>
      <c r="AN762" s="44"/>
      <c r="AO762" s="44"/>
      <c r="AP762" s="44"/>
      <c r="AQ762" s="44"/>
      <c r="AR762" s="44"/>
      <c r="AS762" s="44"/>
      <c r="AT762" s="45"/>
      <c r="AY762" s="45"/>
      <c r="BH762" s="45"/>
      <c r="BK762" s="45"/>
      <c r="BT762" s="45"/>
      <c r="BU762" s="45"/>
      <c r="CK762" s="10"/>
      <c r="EF762" s="20"/>
      <c r="FD762" s="21"/>
      <c r="FE762" s="21"/>
      <c r="FN762" s="22"/>
      <c r="FO762" s="22"/>
      <c r="FZ762" s="23"/>
      <c r="GA762" s="23"/>
      <c r="JD762" s="26"/>
      <c r="JE762" s="26"/>
      <c r="JF762" s="27"/>
      <c r="JG762" s="27"/>
      <c r="KL762" s="28"/>
      <c r="KP762" s="28"/>
      <c r="KT762" s="28"/>
      <c r="KX762" s="28"/>
      <c r="LB762" s="28"/>
      <c r="LF762" s="28"/>
      <c r="LJ762" s="28"/>
    </row>
    <row r="763" spans="1:322" ht="13.2">
      <c r="A763" s="42"/>
      <c r="B763" s="42"/>
      <c r="C763" s="42"/>
      <c r="D763" s="52"/>
      <c r="E763" s="52"/>
      <c r="O763" s="43"/>
      <c r="AL763" s="44"/>
      <c r="AM763" s="44"/>
      <c r="AN763" s="44"/>
      <c r="AO763" s="44"/>
      <c r="AP763" s="44"/>
      <c r="AQ763" s="44"/>
      <c r="AR763" s="44"/>
      <c r="AS763" s="44"/>
      <c r="AT763" s="45"/>
      <c r="AY763" s="45"/>
      <c r="BH763" s="45"/>
      <c r="BK763" s="45"/>
      <c r="BT763" s="45"/>
      <c r="BU763" s="45"/>
      <c r="CK763" s="10"/>
      <c r="EF763" s="20"/>
      <c r="FD763" s="21"/>
      <c r="FE763" s="21"/>
      <c r="FN763" s="22"/>
      <c r="FO763" s="22"/>
      <c r="FZ763" s="23"/>
      <c r="GA763" s="23"/>
      <c r="JD763" s="26"/>
      <c r="JE763" s="26"/>
      <c r="JF763" s="27"/>
      <c r="JG763" s="27"/>
      <c r="KL763" s="28"/>
      <c r="KP763" s="28"/>
      <c r="KT763" s="28"/>
      <c r="KX763" s="28"/>
      <c r="LB763" s="28"/>
      <c r="LF763" s="28"/>
      <c r="LJ763" s="28"/>
    </row>
    <row r="764" spans="1:322" ht="13.2">
      <c r="A764" s="42"/>
      <c r="B764" s="42"/>
      <c r="C764" s="42"/>
      <c r="D764" s="52"/>
      <c r="E764" s="52"/>
      <c r="O764" s="43"/>
      <c r="AL764" s="44"/>
      <c r="AM764" s="44"/>
      <c r="AN764" s="44"/>
      <c r="AO764" s="44"/>
      <c r="AP764" s="44"/>
      <c r="AQ764" s="44"/>
      <c r="AR764" s="44"/>
      <c r="AS764" s="44"/>
      <c r="AT764" s="45"/>
      <c r="AY764" s="45"/>
      <c r="BH764" s="45"/>
      <c r="BK764" s="45"/>
      <c r="BT764" s="45"/>
      <c r="BU764" s="45"/>
      <c r="CK764" s="10"/>
      <c r="EF764" s="20"/>
      <c r="FD764" s="21"/>
      <c r="FE764" s="21"/>
      <c r="FN764" s="22"/>
      <c r="FO764" s="22"/>
      <c r="FZ764" s="23"/>
      <c r="GA764" s="23"/>
      <c r="JD764" s="26"/>
      <c r="JE764" s="26"/>
      <c r="JF764" s="27"/>
      <c r="JG764" s="27"/>
      <c r="KL764" s="28"/>
      <c r="KP764" s="28"/>
      <c r="KT764" s="28"/>
      <c r="KX764" s="28"/>
      <c r="LB764" s="28"/>
      <c r="LF764" s="28"/>
      <c r="LJ764" s="28"/>
    </row>
    <row r="765" spans="1:322" ht="13.2">
      <c r="A765" s="42"/>
      <c r="B765" s="42"/>
      <c r="C765" s="42"/>
      <c r="D765" s="52"/>
      <c r="E765" s="52"/>
      <c r="O765" s="43"/>
      <c r="AL765" s="44"/>
      <c r="AM765" s="44"/>
      <c r="AN765" s="44"/>
      <c r="AO765" s="44"/>
      <c r="AP765" s="44"/>
      <c r="AQ765" s="44"/>
      <c r="AR765" s="44"/>
      <c r="AS765" s="44"/>
      <c r="AT765" s="45"/>
      <c r="AY765" s="45"/>
      <c r="BH765" s="45"/>
      <c r="BK765" s="45"/>
      <c r="BT765" s="45"/>
      <c r="BU765" s="45"/>
      <c r="CK765" s="10"/>
      <c r="EF765" s="20"/>
      <c r="FD765" s="21"/>
      <c r="FE765" s="21"/>
      <c r="FN765" s="22"/>
      <c r="FO765" s="22"/>
      <c r="FZ765" s="23"/>
      <c r="GA765" s="23"/>
      <c r="JD765" s="26"/>
      <c r="JE765" s="26"/>
      <c r="JF765" s="27"/>
      <c r="JG765" s="27"/>
      <c r="KL765" s="28"/>
      <c r="KP765" s="28"/>
      <c r="KT765" s="28"/>
      <c r="KX765" s="28"/>
      <c r="LB765" s="28"/>
      <c r="LF765" s="28"/>
      <c r="LJ765" s="28"/>
    </row>
    <row r="766" spans="1:322" ht="13.2">
      <c r="A766" s="42"/>
      <c r="B766" s="42"/>
      <c r="C766" s="42"/>
      <c r="D766" s="52"/>
      <c r="E766" s="52"/>
      <c r="O766" s="43"/>
      <c r="AL766" s="44"/>
      <c r="AM766" s="44"/>
      <c r="AN766" s="44"/>
      <c r="AO766" s="44"/>
      <c r="AP766" s="44"/>
      <c r="AQ766" s="44"/>
      <c r="AR766" s="44"/>
      <c r="AS766" s="44"/>
      <c r="AT766" s="45"/>
      <c r="AY766" s="45"/>
      <c r="BH766" s="45"/>
      <c r="BK766" s="45"/>
      <c r="BT766" s="45"/>
      <c r="BU766" s="45"/>
      <c r="CK766" s="10"/>
      <c r="EF766" s="20"/>
      <c r="FD766" s="21"/>
      <c r="FE766" s="21"/>
      <c r="FN766" s="22"/>
      <c r="FO766" s="22"/>
      <c r="FZ766" s="23"/>
      <c r="GA766" s="23"/>
      <c r="JD766" s="26"/>
      <c r="JE766" s="26"/>
      <c r="JF766" s="27"/>
      <c r="JG766" s="27"/>
      <c r="KL766" s="28"/>
      <c r="KP766" s="28"/>
      <c r="KT766" s="28"/>
      <c r="KX766" s="28"/>
      <c r="LB766" s="28"/>
      <c r="LF766" s="28"/>
      <c r="LJ766" s="28"/>
    </row>
    <row r="767" spans="1:322" ht="13.2">
      <c r="A767" s="42"/>
      <c r="B767" s="42"/>
      <c r="C767" s="42"/>
      <c r="D767" s="52"/>
      <c r="E767" s="52"/>
      <c r="O767" s="43"/>
      <c r="AL767" s="44"/>
      <c r="AM767" s="44"/>
      <c r="AN767" s="44"/>
      <c r="AO767" s="44"/>
      <c r="AP767" s="44"/>
      <c r="AQ767" s="44"/>
      <c r="AR767" s="44"/>
      <c r="AS767" s="44"/>
      <c r="AT767" s="45"/>
      <c r="AY767" s="45"/>
      <c r="BH767" s="45"/>
      <c r="BK767" s="45"/>
      <c r="BT767" s="45"/>
      <c r="BU767" s="45"/>
      <c r="CK767" s="10"/>
      <c r="EF767" s="20"/>
      <c r="FD767" s="21"/>
      <c r="FE767" s="21"/>
      <c r="FN767" s="22"/>
      <c r="FO767" s="22"/>
      <c r="FZ767" s="23"/>
      <c r="GA767" s="23"/>
      <c r="JD767" s="26"/>
      <c r="JE767" s="26"/>
      <c r="JF767" s="27"/>
      <c r="JG767" s="27"/>
      <c r="KL767" s="28"/>
      <c r="KP767" s="28"/>
      <c r="KT767" s="28"/>
      <c r="KX767" s="28"/>
      <c r="LB767" s="28"/>
      <c r="LF767" s="28"/>
      <c r="LJ767" s="28"/>
    </row>
    <row r="768" spans="1:322" ht="13.2">
      <c r="A768" s="42"/>
      <c r="B768" s="42"/>
      <c r="C768" s="42"/>
      <c r="D768" s="52"/>
      <c r="E768" s="52"/>
      <c r="O768" s="43"/>
      <c r="AL768" s="44"/>
      <c r="AM768" s="44"/>
      <c r="AN768" s="44"/>
      <c r="AO768" s="44"/>
      <c r="AP768" s="44"/>
      <c r="AQ768" s="44"/>
      <c r="AR768" s="44"/>
      <c r="AS768" s="44"/>
      <c r="AT768" s="45"/>
      <c r="AY768" s="45"/>
      <c r="BH768" s="45"/>
      <c r="BK768" s="45"/>
      <c r="BT768" s="45"/>
      <c r="BU768" s="45"/>
      <c r="CK768" s="10"/>
      <c r="EF768" s="20"/>
      <c r="FD768" s="21"/>
      <c r="FE768" s="21"/>
      <c r="FN768" s="22"/>
      <c r="FO768" s="22"/>
      <c r="FZ768" s="23"/>
      <c r="GA768" s="23"/>
      <c r="JD768" s="26"/>
      <c r="JE768" s="26"/>
      <c r="JF768" s="27"/>
      <c r="JG768" s="27"/>
      <c r="KL768" s="28"/>
      <c r="KP768" s="28"/>
      <c r="KT768" s="28"/>
      <c r="KX768" s="28"/>
      <c r="LB768" s="28"/>
      <c r="LF768" s="28"/>
      <c r="LJ768" s="28"/>
    </row>
    <row r="769" spans="1:322" ht="13.2">
      <c r="A769" s="42"/>
      <c r="B769" s="42"/>
      <c r="C769" s="42"/>
      <c r="D769" s="52"/>
      <c r="E769" s="52"/>
      <c r="O769" s="43"/>
      <c r="AL769" s="44"/>
      <c r="AM769" s="44"/>
      <c r="AN769" s="44"/>
      <c r="AO769" s="44"/>
      <c r="AP769" s="44"/>
      <c r="AQ769" s="44"/>
      <c r="AR769" s="44"/>
      <c r="AS769" s="44"/>
      <c r="AT769" s="45"/>
      <c r="AY769" s="45"/>
      <c r="BH769" s="45"/>
      <c r="BK769" s="45"/>
      <c r="BT769" s="45"/>
      <c r="BU769" s="45"/>
      <c r="CK769" s="10"/>
      <c r="EF769" s="20"/>
      <c r="FD769" s="21"/>
      <c r="FE769" s="21"/>
      <c r="FN769" s="22"/>
      <c r="FO769" s="22"/>
      <c r="FZ769" s="23"/>
      <c r="GA769" s="23"/>
      <c r="JD769" s="26"/>
      <c r="JE769" s="26"/>
      <c r="JF769" s="27"/>
      <c r="JG769" s="27"/>
      <c r="KL769" s="28"/>
      <c r="KP769" s="28"/>
      <c r="KT769" s="28"/>
      <c r="KX769" s="28"/>
      <c r="LB769" s="28"/>
      <c r="LF769" s="28"/>
      <c r="LJ769" s="28"/>
    </row>
    <row r="770" spans="1:322" ht="13.2">
      <c r="A770" s="42"/>
      <c r="B770" s="42"/>
      <c r="C770" s="42"/>
      <c r="D770" s="52"/>
      <c r="E770" s="52"/>
      <c r="O770" s="43"/>
      <c r="AL770" s="44"/>
      <c r="AM770" s="44"/>
      <c r="AN770" s="44"/>
      <c r="AO770" s="44"/>
      <c r="AP770" s="44"/>
      <c r="AQ770" s="44"/>
      <c r="AR770" s="44"/>
      <c r="AS770" s="44"/>
      <c r="AT770" s="45"/>
      <c r="AY770" s="45"/>
      <c r="BH770" s="45"/>
      <c r="BK770" s="45"/>
      <c r="BT770" s="45"/>
      <c r="BU770" s="45"/>
      <c r="CK770" s="10"/>
      <c r="EF770" s="20"/>
      <c r="FD770" s="21"/>
      <c r="FE770" s="21"/>
      <c r="FN770" s="22"/>
      <c r="FO770" s="22"/>
      <c r="FZ770" s="23"/>
      <c r="GA770" s="23"/>
      <c r="JD770" s="26"/>
      <c r="JE770" s="26"/>
      <c r="JF770" s="27"/>
      <c r="JG770" s="27"/>
      <c r="KL770" s="28"/>
      <c r="KP770" s="28"/>
      <c r="KT770" s="28"/>
      <c r="KX770" s="28"/>
      <c r="LB770" s="28"/>
      <c r="LF770" s="28"/>
      <c r="LJ770" s="28"/>
    </row>
    <row r="771" spans="1:322" ht="13.2">
      <c r="A771" s="42"/>
      <c r="B771" s="42"/>
      <c r="C771" s="42"/>
      <c r="D771" s="52"/>
      <c r="E771" s="52"/>
      <c r="O771" s="43"/>
      <c r="AL771" s="44"/>
      <c r="AM771" s="44"/>
      <c r="AN771" s="44"/>
      <c r="AO771" s="44"/>
      <c r="AP771" s="44"/>
      <c r="AQ771" s="44"/>
      <c r="AR771" s="44"/>
      <c r="AS771" s="44"/>
      <c r="AT771" s="45"/>
      <c r="AY771" s="45"/>
      <c r="BH771" s="45"/>
      <c r="BK771" s="45"/>
      <c r="BT771" s="45"/>
      <c r="BU771" s="45"/>
      <c r="CK771" s="10"/>
      <c r="EF771" s="20"/>
      <c r="FD771" s="21"/>
      <c r="FE771" s="21"/>
      <c r="FN771" s="22"/>
      <c r="FO771" s="22"/>
      <c r="FZ771" s="23"/>
      <c r="GA771" s="23"/>
      <c r="JD771" s="26"/>
      <c r="JE771" s="26"/>
      <c r="JF771" s="27"/>
      <c r="JG771" s="27"/>
      <c r="KL771" s="28"/>
      <c r="KP771" s="28"/>
      <c r="KT771" s="28"/>
      <c r="KX771" s="28"/>
      <c r="LB771" s="28"/>
      <c r="LF771" s="28"/>
      <c r="LJ771" s="28"/>
    </row>
    <row r="772" spans="1:322" ht="13.2">
      <c r="A772" s="42"/>
      <c r="B772" s="42"/>
      <c r="C772" s="42"/>
      <c r="D772" s="52"/>
      <c r="E772" s="52"/>
      <c r="O772" s="43"/>
      <c r="AL772" s="44"/>
      <c r="AM772" s="44"/>
      <c r="AN772" s="44"/>
      <c r="AO772" s="44"/>
      <c r="AP772" s="44"/>
      <c r="AQ772" s="44"/>
      <c r="AR772" s="44"/>
      <c r="AS772" s="44"/>
      <c r="AT772" s="45"/>
      <c r="AY772" s="45"/>
      <c r="BH772" s="45"/>
      <c r="BK772" s="45"/>
      <c r="BT772" s="45"/>
      <c r="BU772" s="45"/>
      <c r="CK772" s="10"/>
      <c r="EF772" s="20"/>
      <c r="FD772" s="21"/>
      <c r="FE772" s="21"/>
      <c r="FN772" s="22"/>
      <c r="FO772" s="22"/>
      <c r="FZ772" s="23"/>
      <c r="GA772" s="23"/>
      <c r="JD772" s="26"/>
      <c r="JE772" s="26"/>
      <c r="JF772" s="27"/>
      <c r="JG772" s="27"/>
      <c r="KL772" s="28"/>
      <c r="KP772" s="28"/>
      <c r="KT772" s="28"/>
      <c r="KX772" s="28"/>
      <c r="LB772" s="28"/>
      <c r="LF772" s="28"/>
      <c r="LJ772" s="28"/>
    </row>
    <row r="773" spans="1:322" ht="13.2">
      <c r="A773" s="42"/>
      <c r="B773" s="42"/>
      <c r="C773" s="42"/>
      <c r="D773" s="52"/>
      <c r="E773" s="52"/>
      <c r="O773" s="43"/>
      <c r="AL773" s="44"/>
      <c r="AM773" s="44"/>
      <c r="AN773" s="44"/>
      <c r="AO773" s="44"/>
      <c r="AP773" s="44"/>
      <c r="AQ773" s="44"/>
      <c r="AR773" s="44"/>
      <c r="AS773" s="44"/>
      <c r="AT773" s="45"/>
      <c r="AY773" s="45"/>
      <c r="BH773" s="45"/>
      <c r="BK773" s="45"/>
      <c r="BT773" s="45"/>
      <c r="BU773" s="45"/>
      <c r="CK773" s="10"/>
      <c r="EF773" s="20"/>
      <c r="FD773" s="21"/>
      <c r="FE773" s="21"/>
      <c r="FN773" s="22"/>
      <c r="FO773" s="22"/>
      <c r="FZ773" s="23"/>
      <c r="GA773" s="23"/>
      <c r="JD773" s="26"/>
      <c r="JE773" s="26"/>
      <c r="JF773" s="27"/>
      <c r="JG773" s="27"/>
      <c r="KL773" s="28"/>
      <c r="KP773" s="28"/>
      <c r="KT773" s="28"/>
      <c r="KX773" s="28"/>
      <c r="LB773" s="28"/>
      <c r="LF773" s="28"/>
      <c r="LJ773" s="28"/>
    </row>
    <row r="774" spans="1:322" ht="13.2">
      <c r="A774" s="42"/>
      <c r="B774" s="42"/>
      <c r="C774" s="42"/>
      <c r="D774" s="52"/>
      <c r="E774" s="52"/>
      <c r="O774" s="43"/>
      <c r="AL774" s="44"/>
      <c r="AM774" s="44"/>
      <c r="AN774" s="44"/>
      <c r="AO774" s="44"/>
      <c r="AP774" s="44"/>
      <c r="AQ774" s="44"/>
      <c r="AR774" s="44"/>
      <c r="AS774" s="44"/>
      <c r="AT774" s="45"/>
      <c r="AY774" s="45"/>
      <c r="BH774" s="45"/>
      <c r="BK774" s="45"/>
      <c r="BT774" s="45"/>
      <c r="BU774" s="45"/>
      <c r="CK774" s="10"/>
      <c r="EF774" s="20"/>
      <c r="FD774" s="21"/>
      <c r="FE774" s="21"/>
      <c r="FN774" s="22"/>
      <c r="FO774" s="22"/>
      <c r="FZ774" s="23"/>
      <c r="GA774" s="23"/>
      <c r="JD774" s="26"/>
      <c r="JE774" s="26"/>
      <c r="JF774" s="27"/>
      <c r="JG774" s="27"/>
      <c r="KL774" s="28"/>
      <c r="KP774" s="28"/>
      <c r="KT774" s="28"/>
      <c r="KX774" s="28"/>
      <c r="LB774" s="28"/>
      <c r="LF774" s="28"/>
      <c r="LJ774" s="28"/>
    </row>
    <row r="775" spans="1:322" ht="13.2">
      <c r="A775" s="42"/>
      <c r="B775" s="42"/>
      <c r="C775" s="42"/>
      <c r="D775" s="52"/>
      <c r="E775" s="52"/>
      <c r="O775" s="43"/>
      <c r="AL775" s="44"/>
      <c r="AM775" s="44"/>
      <c r="AN775" s="44"/>
      <c r="AO775" s="44"/>
      <c r="AP775" s="44"/>
      <c r="AQ775" s="44"/>
      <c r="AR775" s="44"/>
      <c r="AS775" s="44"/>
      <c r="AT775" s="45"/>
      <c r="AY775" s="45"/>
      <c r="BH775" s="45"/>
      <c r="BK775" s="45"/>
      <c r="BT775" s="45"/>
      <c r="BU775" s="45"/>
      <c r="CK775" s="10"/>
      <c r="EF775" s="20"/>
      <c r="FD775" s="21"/>
      <c r="FE775" s="21"/>
      <c r="FN775" s="22"/>
      <c r="FO775" s="22"/>
      <c r="FZ775" s="23"/>
      <c r="GA775" s="23"/>
      <c r="JD775" s="26"/>
      <c r="JE775" s="26"/>
      <c r="JF775" s="27"/>
      <c r="JG775" s="27"/>
      <c r="KL775" s="28"/>
      <c r="KP775" s="28"/>
      <c r="KT775" s="28"/>
      <c r="KX775" s="28"/>
      <c r="LB775" s="28"/>
      <c r="LF775" s="28"/>
      <c r="LJ775" s="28"/>
    </row>
    <row r="776" spans="1:322" ht="13.2">
      <c r="A776" s="42"/>
      <c r="B776" s="42"/>
      <c r="C776" s="42"/>
      <c r="D776" s="52"/>
      <c r="E776" s="52"/>
      <c r="O776" s="43"/>
      <c r="AL776" s="44"/>
      <c r="AM776" s="44"/>
      <c r="AN776" s="44"/>
      <c r="AO776" s="44"/>
      <c r="AP776" s="44"/>
      <c r="AQ776" s="44"/>
      <c r="AR776" s="44"/>
      <c r="AS776" s="44"/>
      <c r="AT776" s="45"/>
      <c r="AY776" s="45"/>
      <c r="BH776" s="45"/>
      <c r="BK776" s="45"/>
      <c r="BT776" s="45"/>
      <c r="BU776" s="45"/>
      <c r="CK776" s="10"/>
      <c r="EF776" s="20"/>
      <c r="FD776" s="21"/>
      <c r="FE776" s="21"/>
      <c r="FN776" s="22"/>
      <c r="FO776" s="22"/>
      <c r="FZ776" s="23"/>
      <c r="GA776" s="23"/>
      <c r="JD776" s="26"/>
      <c r="JE776" s="26"/>
      <c r="JF776" s="27"/>
      <c r="JG776" s="27"/>
      <c r="KL776" s="28"/>
      <c r="KP776" s="28"/>
      <c r="KT776" s="28"/>
      <c r="KX776" s="28"/>
      <c r="LB776" s="28"/>
      <c r="LF776" s="28"/>
      <c r="LJ776" s="28"/>
    </row>
    <row r="777" spans="1:322" ht="13.2">
      <c r="A777" s="42"/>
      <c r="B777" s="42"/>
      <c r="C777" s="42"/>
      <c r="D777" s="52"/>
      <c r="E777" s="52"/>
      <c r="O777" s="43"/>
      <c r="AL777" s="44"/>
      <c r="AM777" s="44"/>
      <c r="AN777" s="44"/>
      <c r="AO777" s="44"/>
      <c r="AP777" s="44"/>
      <c r="AQ777" s="44"/>
      <c r="AR777" s="44"/>
      <c r="AS777" s="44"/>
      <c r="AT777" s="45"/>
      <c r="AY777" s="45"/>
      <c r="BH777" s="45"/>
      <c r="BK777" s="45"/>
      <c r="BT777" s="45"/>
      <c r="BU777" s="45"/>
      <c r="CK777" s="10"/>
      <c r="EF777" s="20"/>
      <c r="FD777" s="21"/>
      <c r="FE777" s="21"/>
      <c r="FN777" s="22"/>
      <c r="FO777" s="22"/>
      <c r="FZ777" s="23"/>
      <c r="GA777" s="23"/>
      <c r="JD777" s="26"/>
      <c r="JE777" s="26"/>
      <c r="JF777" s="27"/>
      <c r="JG777" s="27"/>
      <c r="KL777" s="28"/>
      <c r="KP777" s="28"/>
      <c r="KT777" s="28"/>
      <c r="KX777" s="28"/>
      <c r="LB777" s="28"/>
      <c r="LF777" s="28"/>
      <c r="LJ777" s="28"/>
    </row>
    <row r="778" spans="1:322" ht="13.2">
      <c r="A778" s="42"/>
      <c r="B778" s="42"/>
      <c r="C778" s="42"/>
      <c r="D778" s="52"/>
      <c r="E778" s="52"/>
      <c r="O778" s="43"/>
      <c r="AL778" s="44"/>
      <c r="AM778" s="44"/>
      <c r="AN778" s="44"/>
      <c r="AO778" s="44"/>
      <c r="AP778" s="44"/>
      <c r="AQ778" s="44"/>
      <c r="AR778" s="44"/>
      <c r="AS778" s="44"/>
      <c r="AT778" s="45"/>
      <c r="AY778" s="45"/>
      <c r="BH778" s="45"/>
      <c r="BK778" s="45"/>
      <c r="BT778" s="45"/>
      <c r="BU778" s="45"/>
      <c r="CK778" s="10"/>
      <c r="EF778" s="20"/>
      <c r="FD778" s="21"/>
      <c r="FE778" s="21"/>
      <c r="FN778" s="22"/>
      <c r="FO778" s="22"/>
      <c r="FZ778" s="23"/>
      <c r="GA778" s="23"/>
      <c r="JD778" s="26"/>
      <c r="JE778" s="26"/>
      <c r="JF778" s="27"/>
      <c r="JG778" s="27"/>
      <c r="KL778" s="28"/>
      <c r="KP778" s="28"/>
      <c r="KT778" s="28"/>
      <c r="KX778" s="28"/>
      <c r="LB778" s="28"/>
      <c r="LF778" s="28"/>
      <c r="LJ778" s="28"/>
    </row>
    <row r="779" spans="1:322" ht="13.2">
      <c r="A779" s="42"/>
      <c r="B779" s="42"/>
      <c r="C779" s="42"/>
      <c r="D779" s="52"/>
      <c r="E779" s="52"/>
      <c r="O779" s="43"/>
      <c r="AL779" s="44"/>
      <c r="AM779" s="44"/>
      <c r="AN779" s="44"/>
      <c r="AO779" s="44"/>
      <c r="AP779" s="44"/>
      <c r="AQ779" s="44"/>
      <c r="AR779" s="44"/>
      <c r="AS779" s="44"/>
      <c r="AT779" s="45"/>
      <c r="AY779" s="45"/>
      <c r="BH779" s="45"/>
      <c r="BK779" s="45"/>
      <c r="BT779" s="45"/>
      <c r="BU779" s="45"/>
      <c r="CK779" s="10"/>
      <c r="EF779" s="20"/>
      <c r="FD779" s="21"/>
      <c r="FE779" s="21"/>
      <c r="FN779" s="22"/>
      <c r="FO779" s="22"/>
      <c r="FZ779" s="23"/>
      <c r="GA779" s="23"/>
      <c r="JD779" s="26"/>
      <c r="JE779" s="26"/>
      <c r="JF779" s="27"/>
      <c r="JG779" s="27"/>
      <c r="KL779" s="28"/>
      <c r="KP779" s="28"/>
      <c r="KT779" s="28"/>
      <c r="KX779" s="28"/>
      <c r="LB779" s="28"/>
      <c r="LF779" s="28"/>
      <c r="LJ779" s="28"/>
    </row>
    <row r="780" spans="1:322" ht="13.2">
      <c r="A780" s="42"/>
      <c r="B780" s="42"/>
      <c r="C780" s="42"/>
      <c r="D780" s="52"/>
      <c r="E780" s="52"/>
      <c r="O780" s="43"/>
      <c r="AL780" s="44"/>
      <c r="AM780" s="44"/>
      <c r="AN780" s="44"/>
      <c r="AO780" s="44"/>
      <c r="AP780" s="44"/>
      <c r="AQ780" s="44"/>
      <c r="AR780" s="44"/>
      <c r="AS780" s="44"/>
      <c r="AT780" s="45"/>
      <c r="AY780" s="45"/>
      <c r="BH780" s="45"/>
      <c r="BK780" s="45"/>
      <c r="BT780" s="45"/>
      <c r="BU780" s="45"/>
      <c r="CK780" s="10"/>
      <c r="EF780" s="20"/>
      <c r="FD780" s="21"/>
      <c r="FE780" s="21"/>
      <c r="FN780" s="22"/>
      <c r="FO780" s="22"/>
      <c r="FZ780" s="23"/>
      <c r="GA780" s="23"/>
      <c r="JD780" s="26"/>
      <c r="JE780" s="26"/>
      <c r="JF780" s="27"/>
      <c r="JG780" s="27"/>
      <c r="KL780" s="28"/>
      <c r="KP780" s="28"/>
      <c r="KT780" s="28"/>
      <c r="KX780" s="28"/>
      <c r="LB780" s="28"/>
      <c r="LF780" s="28"/>
      <c r="LJ780" s="28"/>
    </row>
    <row r="781" spans="1:322" ht="13.2">
      <c r="A781" s="42"/>
      <c r="B781" s="42"/>
      <c r="C781" s="42"/>
      <c r="D781" s="52"/>
      <c r="E781" s="52"/>
      <c r="O781" s="43"/>
      <c r="AL781" s="44"/>
      <c r="AM781" s="44"/>
      <c r="AN781" s="44"/>
      <c r="AO781" s="44"/>
      <c r="AP781" s="44"/>
      <c r="AQ781" s="44"/>
      <c r="AR781" s="44"/>
      <c r="AS781" s="44"/>
      <c r="AT781" s="45"/>
      <c r="AY781" s="45"/>
      <c r="BH781" s="45"/>
      <c r="BK781" s="45"/>
      <c r="BT781" s="45"/>
      <c r="BU781" s="45"/>
      <c r="CK781" s="10"/>
      <c r="EF781" s="20"/>
      <c r="FD781" s="21"/>
      <c r="FE781" s="21"/>
      <c r="FN781" s="22"/>
      <c r="FO781" s="22"/>
      <c r="FZ781" s="23"/>
      <c r="GA781" s="23"/>
      <c r="JD781" s="26"/>
      <c r="JE781" s="26"/>
      <c r="JF781" s="27"/>
      <c r="JG781" s="27"/>
      <c r="KL781" s="28"/>
      <c r="KP781" s="28"/>
      <c r="KT781" s="28"/>
      <c r="KX781" s="28"/>
      <c r="LB781" s="28"/>
      <c r="LF781" s="28"/>
      <c r="LJ781" s="28"/>
    </row>
    <row r="782" spans="1:322" ht="13.2">
      <c r="A782" s="42"/>
      <c r="B782" s="42"/>
      <c r="C782" s="42"/>
      <c r="D782" s="52"/>
      <c r="E782" s="52"/>
      <c r="O782" s="43"/>
      <c r="AL782" s="44"/>
      <c r="AM782" s="44"/>
      <c r="AN782" s="44"/>
      <c r="AO782" s="44"/>
      <c r="AP782" s="44"/>
      <c r="AQ782" s="44"/>
      <c r="AR782" s="44"/>
      <c r="AS782" s="44"/>
      <c r="AT782" s="45"/>
      <c r="AY782" s="45"/>
      <c r="BH782" s="45"/>
      <c r="BK782" s="45"/>
      <c r="BT782" s="45"/>
      <c r="BU782" s="45"/>
      <c r="CK782" s="10"/>
      <c r="EF782" s="20"/>
      <c r="FD782" s="21"/>
      <c r="FE782" s="21"/>
      <c r="FN782" s="22"/>
      <c r="FO782" s="22"/>
      <c r="FZ782" s="23"/>
      <c r="GA782" s="23"/>
      <c r="JD782" s="26"/>
      <c r="JE782" s="26"/>
      <c r="JF782" s="27"/>
      <c r="JG782" s="27"/>
      <c r="KL782" s="28"/>
      <c r="KP782" s="28"/>
      <c r="KT782" s="28"/>
      <c r="KX782" s="28"/>
      <c r="LB782" s="28"/>
      <c r="LF782" s="28"/>
      <c r="LJ782" s="28"/>
    </row>
    <row r="783" spans="1:322" ht="13.2">
      <c r="A783" s="42"/>
      <c r="B783" s="42"/>
      <c r="C783" s="42"/>
      <c r="D783" s="52"/>
      <c r="E783" s="52"/>
      <c r="O783" s="43"/>
      <c r="AL783" s="44"/>
      <c r="AM783" s="44"/>
      <c r="AN783" s="44"/>
      <c r="AO783" s="44"/>
      <c r="AP783" s="44"/>
      <c r="AQ783" s="44"/>
      <c r="AR783" s="44"/>
      <c r="AS783" s="44"/>
      <c r="AT783" s="45"/>
      <c r="AY783" s="45"/>
      <c r="BH783" s="45"/>
      <c r="BK783" s="45"/>
      <c r="BT783" s="45"/>
      <c r="BU783" s="45"/>
      <c r="CK783" s="10"/>
      <c r="EF783" s="20"/>
      <c r="FD783" s="21"/>
      <c r="FE783" s="21"/>
      <c r="FN783" s="22"/>
      <c r="FO783" s="22"/>
      <c r="FZ783" s="23"/>
      <c r="GA783" s="23"/>
      <c r="JD783" s="26"/>
      <c r="JE783" s="26"/>
      <c r="JF783" s="27"/>
      <c r="JG783" s="27"/>
      <c r="KL783" s="28"/>
      <c r="KP783" s="28"/>
      <c r="KT783" s="28"/>
      <c r="KX783" s="28"/>
      <c r="LB783" s="28"/>
      <c r="LF783" s="28"/>
      <c r="LJ783" s="28"/>
    </row>
    <row r="784" spans="1:322" ht="13.2">
      <c r="A784" s="42"/>
      <c r="B784" s="42"/>
      <c r="C784" s="42"/>
      <c r="D784" s="52"/>
      <c r="E784" s="52"/>
      <c r="O784" s="43"/>
      <c r="AL784" s="44"/>
      <c r="AM784" s="44"/>
      <c r="AN784" s="44"/>
      <c r="AO784" s="44"/>
      <c r="AP784" s="44"/>
      <c r="AQ784" s="44"/>
      <c r="AR784" s="44"/>
      <c r="AS784" s="44"/>
      <c r="AT784" s="45"/>
      <c r="AY784" s="45"/>
      <c r="BH784" s="45"/>
      <c r="BK784" s="45"/>
      <c r="BT784" s="45"/>
      <c r="BU784" s="45"/>
      <c r="CK784" s="10"/>
      <c r="EF784" s="20"/>
      <c r="FD784" s="21"/>
      <c r="FE784" s="21"/>
      <c r="FN784" s="22"/>
      <c r="FO784" s="22"/>
      <c r="FZ784" s="23"/>
      <c r="GA784" s="23"/>
      <c r="JD784" s="26"/>
      <c r="JE784" s="26"/>
      <c r="JF784" s="27"/>
      <c r="JG784" s="27"/>
      <c r="KL784" s="28"/>
      <c r="KP784" s="28"/>
      <c r="KT784" s="28"/>
      <c r="KX784" s="28"/>
      <c r="LB784" s="28"/>
      <c r="LF784" s="28"/>
      <c r="LJ784" s="28"/>
    </row>
    <row r="785" spans="1:322" ht="13.2">
      <c r="A785" s="42"/>
      <c r="B785" s="42"/>
      <c r="C785" s="42"/>
      <c r="D785" s="52"/>
      <c r="E785" s="52"/>
      <c r="O785" s="43"/>
      <c r="AL785" s="44"/>
      <c r="AM785" s="44"/>
      <c r="AN785" s="44"/>
      <c r="AO785" s="44"/>
      <c r="AP785" s="44"/>
      <c r="AQ785" s="44"/>
      <c r="AR785" s="44"/>
      <c r="AS785" s="44"/>
      <c r="AT785" s="45"/>
      <c r="AY785" s="45"/>
      <c r="BH785" s="45"/>
      <c r="BK785" s="45"/>
      <c r="BT785" s="45"/>
      <c r="BU785" s="45"/>
      <c r="CK785" s="10"/>
      <c r="EF785" s="20"/>
      <c r="FD785" s="21"/>
      <c r="FE785" s="21"/>
      <c r="FN785" s="22"/>
      <c r="FO785" s="22"/>
      <c r="FZ785" s="23"/>
      <c r="GA785" s="23"/>
      <c r="JD785" s="26"/>
      <c r="JE785" s="26"/>
      <c r="JF785" s="27"/>
      <c r="JG785" s="27"/>
      <c r="KL785" s="28"/>
      <c r="KP785" s="28"/>
      <c r="KT785" s="28"/>
      <c r="KX785" s="28"/>
      <c r="LB785" s="28"/>
      <c r="LF785" s="28"/>
      <c r="LJ785" s="28"/>
    </row>
    <row r="786" spans="1:322" ht="13.2">
      <c r="A786" s="42"/>
      <c r="B786" s="42"/>
      <c r="C786" s="42"/>
      <c r="D786" s="52"/>
      <c r="E786" s="52"/>
      <c r="O786" s="43"/>
      <c r="AL786" s="44"/>
      <c r="AM786" s="44"/>
      <c r="AN786" s="44"/>
      <c r="AO786" s="44"/>
      <c r="AP786" s="44"/>
      <c r="AQ786" s="44"/>
      <c r="AR786" s="44"/>
      <c r="AS786" s="44"/>
      <c r="AT786" s="45"/>
      <c r="AY786" s="45"/>
      <c r="BH786" s="45"/>
      <c r="BK786" s="45"/>
      <c r="BT786" s="45"/>
      <c r="BU786" s="45"/>
      <c r="CK786" s="10"/>
      <c r="EF786" s="20"/>
      <c r="FD786" s="21"/>
      <c r="FE786" s="21"/>
      <c r="FN786" s="22"/>
      <c r="FO786" s="22"/>
      <c r="FZ786" s="23"/>
      <c r="GA786" s="23"/>
      <c r="JD786" s="26"/>
      <c r="JE786" s="26"/>
      <c r="JF786" s="27"/>
      <c r="JG786" s="27"/>
      <c r="KL786" s="28"/>
      <c r="KP786" s="28"/>
      <c r="KT786" s="28"/>
      <c r="KX786" s="28"/>
      <c r="LB786" s="28"/>
      <c r="LF786" s="28"/>
      <c r="LJ786" s="28"/>
    </row>
    <row r="787" spans="1:322" ht="13.2">
      <c r="A787" s="42"/>
      <c r="B787" s="42"/>
      <c r="C787" s="42"/>
      <c r="D787" s="52"/>
      <c r="E787" s="52"/>
      <c r="O787" s="43"/>
      <c r="AL787" s="44"/>
      <c r="AM787" s="44"/>
      <c r="AN787" s="44"/>
      <c r="AO787" s="44"/>
      <c r="AP787" s="44"/>
      <c r="AQ787" s="44"/>
      <c r="AR787" s="44"/>
      <c r="AS787" s="44"/>
      <c r="AT787" s="45"/>
      <c r="AY787" s="45"/>
      <c r="BH787" s="45"/>
      <c r="BK787" s="45"/>
      <c r="BT787" s="45"/>
      <c r="BU787" s="45"/>
      <c r="CK787" s="10"/>
      <c r="EF787" s="20"/>
      <c r="FD787" s="21"/>
      <c r="FE787" s="21"/>
      <c r="FN787" s="22"/>
      <c r="FO787" s="22"/>
      <c r="FZ787" s="23"/>
      <c r="GA787" s="23"/>
      <c r="JD787" s="26"/>
      <c r="JE787" s="26"/>
      <c r="JF787" s="27"/>
      <c r="JG787" s="27"/>
      <c r="KL787" s="28"/>
      <c r="KP787" s="28"/>
      <c r="KT787" s="28"/>
      <c r="KX787" s="28"/>
      <c r="LB787" s="28"/>
      <c r="LF787" s="28"/>
      <c r="LJ787" s="28"/>
    </row>
    <row r="788" spans="1:322" ht="13.2">
      <c r="A788" s="42"/>
      <c r="B788" s="42"/>
      <c r="C788" s="42"/>
      <c r="D788" s="52"/>
      <c r="E788" s="52"/>
      <c r="O788" s="43"/>
      <c r="AL788" s="44"/>
      <c r="AM788" s="44"/>
      <c r="AN788" s="44"/>
      <c r="AO788" s="44"/>
      <c r="AP788" s="44"/>
      <c r="AQ788" s="44"/>
      <c r="AR788" s="44"/>
      <c r="AS788" s="44"/>
      <c r="AT788" s="45"/>
      <c r="AY788" s="45"/>
      <c r="BH788" s="45"/>
      <c r="BK788" s="45"/>
      <c r="BT788" s="45"/>
      <c r="BU788" s="45"/>
      <c r="CK788" s="10"/>
      <c r="EF788" s="20"/>
      <c r="FD788" s="21"/>
      <c r="FE788" s="21"/>
      <c r="FN788" s="22"/>
      <c r="FO788" s="22"/>
      <c r="FZ788" s="23"/>
      <c r="GA788" s="23"/>
      <c r="JD788" s="26"/>
      <c r="JE788" s="26"/>
      <c r="JF788" s="27"/>
      <c r="JG788" s="27"/>
      <c r="KL788" s="28"/>
      <c r="KP788" s="28"/>
      <c r="KT788" s="28"/>
      <c r="KX788" s="28"/>
      <c r="LB788" s="28"/>
      <c r="LF788" s="28"/>
      <c r="LJ788" s="28"/>
    </row>
    <row r="789" spans="1:322" ht="13.2">
      <c r="A789" s="42"/>
      <c r="B789" s="42"/>
      <c r="C789" s="42"/>
      <c r="D789" s="52"/>
      <c r="E789" s="52"/>
      <c r="O789" s="43"/>
      <c r="AL789" s="44"/>
      <c r="AM789" s="44"/>
      <c r="AN789" s="44"/>
      <c r="AO789" s="44"/>
      <c r="AP789" s="44"/>
      <c r="AQ789" s="44"/>
      <c r="AR789" s="44"/>
      <c r="AS789" s="44"/>
      <c r="AT789" s="45"/>
      <c r="AY789" s="45"/>
      <c r="BH789" s="45"/>
      <c r="BK789" s="45"/>
      <c r="BT789" s="45"/>
      <c r="BU789" s="45"/>
      <c r="CK789" s="10"/>
      <c r="EF789" s="20"/>
      <c r="FD789" s="21"/>
      <c r="FE789" s="21"/>
      <c r="FN789" s="22"/>
      <c r="FO789" s="22"/>
      <c r="FZ789" s="23"/>
      <c r="GA789" s="23"/>
      <c r="JD789" s="26"/>
      <c r="JE789" s="26"/>
      <c r="JF789" s="27"/>
      <c r="JG789" s="27"/>
      <c r="KL789" s="28"/>
      <c r="KP789" s="28"/>
      <c r="KT789" s="28"/>
      <c r="KX789" s="28"/>
      <c r="LB789" s="28"/>
      <c r="LF789" s="28"/>
      <c r="LJ789" s="28"/>
    </row>
    <row r="790" spans="1:322" ht="13.2">
      <c r="A790" s="42"/>
      <c r="B790" s="42"/>
      <c r="C790" s="42"/>
      <c r="D790" s="52"/>
      <c r="E790" s="52"/>
      <c r="O790" s="43"/>
      <c r="AL790" s="44"/>
      <c r="AM790" s="44"/>
      <c r="AN790" s="44"/>
      <c r="AO790" s="44"/>
      <c r="AP790" s="44"/>
      <c r="AQ790" s="44"/>
      <c r="AR790" s="44"/>
      <c r="AS790" s="44"/>
      <c r="AT790" s="45"/>
      <c r="AY790" s="45"/>
      <c r="BH790" s="45"/>
      <c r="BK790" s="45"/>
      <c r="BT790" s="45"/>
      <c r="BU790" s="45"/>
      <c r="CK790" s="10"/>
      <c r="EF790" s="20"/>
      <c r="FD790" s="21"/>
      <c r="FE790" s="21"/>
      <c r="FN790" s="22"/>
      <c r="FO790" s="22"/>
      <c r="FZ790" s="23"/>
      <c r="GA790" s="23"/>
      <c r="JD790" s="26"/>
      <c r="JE790" s="26"/>
      <c r="JF790" s="27"/>
      <c r="JG790" s="27"/>
      <c r="KL790" s="28"/>
      <c r="KP790" s="28"/>
      <c r="KT790" s="28"/>
      <c r="KX790" s="28"/>
      <c r="LB790" s="28"/>
      <c r="LF790" s="28"/>
      <c r="LJ790" s="28"/>
    </row>
    <row r="791" spans="1:322" ht="13.2">
      <c r="A791" s="42"/>
      <c r="B791" s="42"/>
      <c r="C791" s="42"/>
      <c r="D791" s="52"/>
      <c r="E791" s="52"/>
      <c r="O791" s="43"/>
      <c r="AL791" s="44"/>
      <c r="AM791" s="44"/>
      <c r="AN791" s="44"/>
      <c r="AO791" s="44"/>
      <c r="AP791" s="44"/>
      <c r="AQ791" s="44"/>
      <c r="AR791" s="44"/>
      <c r="AS791" s="44"/>
      <c r="AT791" s="45"/>
      <c r="AY791" s="45"/>
      <c r="BH791" s="45"/>
      <c r="BK791" s="45"/>
      <c r="BT791" s="45"/>
      <c r="BU791" s="45"/>
      <c r="CK791" s="10"/>
      <c r="EF791" s="20"/>
      <c r="FD791" s="21"/>
      <c r="FE791" s="21"/>
      <c r="FN791" s="22"/>
      <c r="FO791" s="22"/>
      <c r="FZ791" s="23"/>
      <c r="GA791" s="23"/>
      <c r="JD791" s="26"/>
      <c r="JE791" s="26"/>
      <c r="JF791" s="27"/>
      <c r="JG791" s="27"/>
      <c r="KL791" s="28"/>
      <c r="KP791" s="28"/>
      <c r="KT791" s="28"/>
      <c r="KX791" s="28"/>
      <c r="LB791" s="28"/>
      <c r="LF791" s="28"/>
      <c r="LJ791" s="28"/>
    </row>
    <row r="792" spans="1:322" ht="13.2">
      <c r="A792" s="42"/>
      <c r="B792" s="42"/>
      <c r="C792" s="42"/>
      <c r="D792" s="52"/>
      <c r="E792" s="52"/>
      <c r="O792" s="43"/>
      <c r="AL792" s="44"/>
      <c r="AM792" s="44"/>
      <c r="AN792" s="44"/>
      <c r="AO792" s="44"/>
      <c r="AP792" s="44"/>
      <c r="AQ792" s="44"/>
      <c r="AR792" s="44"/>
      <c r="AS792" s="44"/>
      <c r="AT792" s="45"/>
      <c r="AY792" s="45"/>
      <c r="BH792" s="45"/>
      <c r="BK792" s="45"/>
      <c r="BT792" s="45"/>
      <c r="BU792" s="45"/>
      <c r="CK792" s="10"/>
      <c r="EF792" s="20"/>
      <c r="FD792" s="21"/>
      <c r="FE792" s="21"/>
      <c r="FN792" s="22"/>
      <c r="FO792" s="22"/>
      <c r="FZ792" s="23"/>
      <c r="GA792" s="23"/>
      <c r="JD792" s="26"/>
      <c r="JE792" s="26"/>
      <c r="JF792" s="27"/>
      <c r="JG792" s="27"/>
      <c r="KL792" s="28"/>
      <c r="KP792" s="28"/>
      <c r="KT792" s="28"/>
      <c r="KX792" s="28"/>
      <c r="LB792" s="28"/>
      <c r="LF792" s="28"/>
      <c r="LJ792" s="28"/>
    </row>
    <row r="793" spans="1:322" ht="13.2">
      <c r="A793" s="42"/>
      <c r="B793" s="42"/>
      <c r="C793" s="42"/>
      <c r="D793" s="52"/>
      <c r="E793" s="52"/>
      <c r="O793" s="43"/>
      <c r="AL793" s="44"/>
      <c r="AM793" s="44"/>
      <c r="AN793" s="44"/>
      <c r="AO793" s="44"/>
      <c r="AP793" s="44"/>
      <c r="AQ793" s="44"/>
      <c r="AR793" s="44"/>
      <c r="AS793" s="44"/>
      <c r="AT793" s="45"/>
      <c r="AY793" s="45"/>
      <c r="BH793" s="45"/>
      <c r="BK793" s="45"/>
      <c r="BT793" s="45"/>
      <c r="BU793" s="45"/>
      <c r="CK793" s="10"/>
      <c r="EF793" s="20"/>
      <c r="FD793" s="21"/>
      <c r="FE793" s="21"/>
      <c r="FN793" s="22"/>
      <c r="FO793" s="22"/>
      <c r="FZ793" s="23"/>
      <c r="GA793" s="23"/>
      <c r="JD793" s="26"/>
      <c r="JE793" s="26"/>
      <c r="JF793" s="27"/>
      <c r="JG793" s="27"/>
      <c r="KL793" s="28"/>
      <c r="KP793" s="28"/>
      <c r="KT793" s="28"/>
      <c r="KX793" s="28"/>
      <c r="LB793" s="28"/>
      <c r="LF793" s="28"/>
      <c r="LJ793" s="28"/>
    </row>
    <row r="794" spans="1:322" ht="13.2">
      <c r="A794" s="42"/>
      <c r="B794" s="42"/>
      <c r="C794" s="42"/>
      <c r="D794" s="52"/>
      <c r="E794" s="52"/>
      <c r="O794" s="43"/>
      <c r="AL794" s="44"/>
      <c r="AM794" s="44"/>
      <c r="AN794" s="44"/>
      <c r="AO794" s="44"/>
      <c r="AP794" s="44"/>
      <c r="AQ794" s="44"/>
      <c r="AR794" s="44"/>
      <c r="AS794" s="44"/>
      <c r="AT794" s="45"/>
      <c r="AY794" s="45"/>
      <c r="BH794" s="45"/>
      <c r="BK794" s="45"/>
      <c r="BT794" s="45"/>
      <c r="BU794" s="45"/>
      <c r="CK794" s="10"/>
      <c r="EF794" s="20"/>
      <c r="FD794" s="21"/>
      <c r="FE794" s="21"/>
      <c r="FN794" s="22"/>
      <c r="FO794" s="22"/>
      <c r="FZ794" s="23"/>
      <c r="GA794" s="23"/>
      <c r="JD794" s="26"/>
      <c r="JE794" s="26"/>
      <c r="JF794" s="27"/>
      <c r="JG794" s="27"/>
      <c r="KL794" s="28"/>
      <c r="KP794" s="28"/>
      <c r="KT794" s="28"/>
      <c r="KX794" s="28"/>
      <c r="LB794" s="28"/>
      <c r="LF794" s="28"/>
      <c r="LJ794" s="28"/>
    </row>
    <row r="795" spans="1:322" ht="13.2">
      <c r="A795" s="42"/>
      <c r="B795" s="42"/>
      <c r="C795" s="42"/>
      <c r="D795" s="52"/>
      <c r="E795" s="52"/>
      <c r="O795" s="43"/>
      <c r="AL795" s="44"/>
      <c r="AM795" s="44"/>
      <c r="AN795" s="44"/>
      <c r="AO795" s="44"/>
      <c r="AP795" s="44"/>
      <c r="AQ795" s="44"/>
      <c r="AR795" s="44"/>
      <c r="AS795" s="44"/>
      <c r="AT795" s="45"/>
      <c r="AY795" s="45"/>
      <c r="BH795" s="45"/>
      <c r="BK795" s="45"/>
      <c r="BT795" s="45"/>
      <c r="BU795" s="45"/>
      <c r="CK795" s="10"/>
      <c r="EF795" s="20"/>
      <c r="FD795" s="21"/>
      <c r="FE795" s="21"/>
      <c r="FN795" s="22"/>
      <c r="FO795" s="22"/>
      <c r="FZ795" s="23"/>
      <c r="GA795" s="23"/>
      <c r="JD795" s="26"/>
      <c r="JE795" s="26"/>
      <c r="JF795" s="27"/>
      <c r="JG795" s="27"/>
      <c r="KL795" s="28"/>
      <c r="KP795" s="28"/>
      <c r="KT795" s="28"/>
      <c r="KX795" s="28"/>
      <c r="LB795" s="28"/>
      <c r="LF795" s="28"/>
      <c r="LJ795" s="28"/>
    </row>
    <row r="796" spans="1:322" ht="13.2">
      <c r="A796" s="42"/>
      <c r="B796" s="42"/>
      <c r="C796" s="42"/>
      <c r="D796" s="52"/>
      <c r="E796" s="52"/>
      <c r="O796" s="43"/>
      <c r="AL796" s="44"/>
      <c r="AM796" s="44"/>
      <c r="AN796" s="44"/>
      <c r="AO796" s="44"/>
      <c r="AP796" s="44"/>
      <c r="AQ796" s="44"/>
      <c r="AR796" s="44"/>
      <c r="AS796" s="44"/>
      <c r="AT796" s="45"/>
      <c r="AY796" s="45"/>
      <c r="BH796" s="45"/>
      <c r="BK796" s="45"/>
      <c r="BT796" s="45"/>
      <c r="BU796" s="45"/>
      <c r="CK796" s="10"/>
      <c r="EF796" s="20"/>
      <c r="FD796" s="21"/>
      <c r="FE796" s="21"/>
      <c r="FN796" s="22"/>
      <c r="FO796" s="22"/>
      <c r="FZ796" s="23"/>
      <c r="GA796" s="23"/>
      <c r="JD796" s="26"/>
      <c r="JE796" s="26"/>
      <c r="JF796" s="27"/>
      <c r="JG796" s="27"/>
      <c r="KL796" s="28"/>
      <c r="KP796" s="28"/>
      <c r="KT796" s="28"/>
      <c r="KX796" s="28"/>
      <c r="LB796" s="28"/>
      <c r="LF796" s="28"/>
      <c r="LJ796" s="28"/>
    </row>
    <row r="797" spans="1:322" ht="13.2">
      <c r="A797" s="42"/>
      <c r="B797" s="42"/>
      <c r="C797" s="42"/>
      <c r="D797" s="52"/>
      <c r="E797" s="52"/>
      <c r="O797" s="43"/>
      <c r="AL797" s="44"/>
      <c r="AM797" s="44"/>
      <c r="AN797" s="44"/>
      <c r="AO797" s="44"/>
      <c r="AP797" s="44"/>
      <c r="AQ797" s="44"/>
      <c r="AR797" s="44"/>
      <c r="AS797" s="44"/>
      <c r="AT797" s="45"/>
      <c r="AY797" s="45"/>
      <c r="BH797" s="45"/>
      <c r="BK797" s="45"/>
      <c r="BT797" s="45"/>
      <c r="BU797" s="45"/>
      <c r="CK797" s="10"/>
      <c r="EF797" s="20"/>
      <c r="FD797" s="21"/>
      <c r="FE797" s="21"/>
      <c r="FN797" s="22"/>
      <c r="FO797" s="22"/>
      <c r="FZ797" s="23"/>
      <c r="GA797" s="23"/>
      <c r="JD797" s="26"/>
      <c r="JE797" s="26"/>
      <c r="JF797" s="27"/>
      <c r="JG797" s="27"/>
      <c r="KL797" s="28"/>
      <c r="KP797" s="28"/>
      <c r="KT797" s="28"/>
      <c r="KX797" s="28"/>
      <c r="LB797" s="28"/>
      <c r="LF797" s="28"/>
      <c r="LJ797" s="28"/>
    </row>
    <row r="798" spans="1:322" ht="13.2">
      <c r="A798" s="42"/>
      <c r="B798" s="42"/>
      <c r="C798" s="42"/>
      <c r="D798" s="52"/>
      <c r="E798" s="52"/>
      <c r="O798" s="43"/>
      <c r="AL798" s="44"/>
      <c r="AM798" s="44"/>
      <c r="AN798" s="44"/>
      <c r="AO798" s="44"/>
      <c r="AP798" s="44"/>
      <c r="AQ798" s="44"/>
      <c r="AR798" s="44"/>
      <c r="AS798" s="44"/>
      <c r="AT798" s="45"/>
      <c r="AY798" s="45"/>
      <c r="BH798" s="45"/>
      <c r="BK798" s="45"/>
      <c r="BT798" s="45"/>
      <c r="BU798" s="45"/>
      <c r="CK798" s="10"/>
      <c r="EF798" s="20"/>
      <c r="FD798" s="21"/>
      <c r="FE798" s="21"/>
      <c r="FN798" s="22"/>
      <c r="FO798" s="22"/>
      <c r="FZ798" s="23"/>
      <c r="GA798" s="23"/>
      <c r="JD798" s="26"/>
      <c r="JE798" s="26"/>
      <c r="JF798" s="27"/>
      <c r="JG798" s="27"/>
      <c r="KL798" s="28"/>
      <c r="KP798" s="28"/>
      <c r="KT798" s="28"/>
      <c r="KX798" s="28"/>
      <c r="LB798" s="28"/>
      <c r="LF798" s="28"/>
      <c r="LJ798" s="28"/>
    </row>
    <row r="799" spans="1:322" ht="13.2">
      <c r="A799" s="42"/>
      <c r="B799" s="42"/>
      <c r="C799" s="42"/>
      <c r="D799" s="52"/>
      <c r="E799" s="52"/>
      <c r="O799" s="43"/>
      <c r="AL799" s="44"/>
      <c r="AM799" s="44"/>
      <c r="AN799" s="44"/>
      <c r="AO799" s="44"/>
      <c r="AP799" s="44"/>
      <c r="AQ799" s="44"/>
      <c r="AR799" s="44"/>
      <c r="AS799" s="44"/>
      <c r="AT799" s="45"/>
      <c r="AY799" s="45"/>
      <c r="BH799" s="45"/>
      <c r="BK799" s="45"/>
      <c r="BT799" s="45"/>
      <c r="BU799" s="45"/>
      <c r="CK799" s="10"/>
      <c r="EF799" s="20"/>
      <c r="FD799" s="21"/>
      <c r="FE799" s="21"/>
      <c r="FN799" s="22"/>
      <c r="FO799" s="22"/>
      <c r="FZ799" s="23"/>
      <c r="GA799" s="23"/>
      <c r="JD799" s="26"/>
      <c r="JE799" s="26"/>
      <c r="JF799" s="27"/>
      <c r="JG799" s="27"/>
      <c r="KL799" s="28"/>
      <c r="KP799" s="28"/>
      <c r="KT799" s="28"/>
      <c r="KX799" s="28"/>
      <c r="LB799" s="28"/>
      <c r="LF799" s="28"/>
      <c r="LJ799" s="28"/>
    </row>
    <row r="800" spans="1:322" ht="13.2">
      <c r="A800" s="42"/>
      <c r="B800" s="42"/>
      <c r="C800" s="42"/>
      <c r="D800" s="52"/>
      <c r="E800" s="52"/>
      <c r="O800" s="43"/>
      <c r="AL800" s="44"/>
      <c r="AM800" s="44"/>
      <c r="AN800" s="44"/>
      <c r="AO800" s="44"/>
      <c r="AP800" s="44"/>
      <c r="AQ800" s="44"/>
      <c r="AR800" s="44"/>
      <c r="AS800" s="44"/>
      <c r="AT800" s="45"/>
      <c r="AY800" s="45"/>
      <c r="BH800" s="45"/>
      <c r="BK800" s="45"/>
      <c r="BT800" s="45"/>
      <c r="BU800" s="45"/>
      <c r="CK800" s="10"/>
      <c r="EF800" s="20"/>
      <c r="FD800" s="21"/>
      <c r="FE800" s="21"/>
      <c r="FN800" s="22"/>
      <c r="FO800" s="22"/>
      <c r="FZ800" s="23"/>
      <c r="GA800" s="23"/>
      <c r="JD800" s="26"/>
      <c r="JE800" s="26"/>
      <c r="JF800" s="27"/>
      <c r="JG800" s="27"/>
      <c r="KL800" s="28"/>
      <c r="KP800" s="28"/>
      <c r="KT800" s="28"/>
      <c r="KX800" s="28"/>
      <c r="LB800" s="28"/>
      <c r="LF800" s="28"/>
      <c r="LJ800" s="28"/>
    </row>
    <row r="801" spans="1:322" ht="13.2">
      <c r="A801" s="42"/>
      <c r="B801" s="42"/>
      <c r="C801" s="42"/>
      <c r="D801" s="52"/>
      <c r="E801" s="52"/>
      <c r="O801" s="43"/>
      <c r="AL801" s="44"/>
      <c r="AM801" s="44"/>
      <c r="AN801" s="44"/>
      <c r="AO801" s="44"/>
      <c r="AP801" s="44"/>
      <c r="AQ801" s="44"/>
      <c r="AR801" s="44"/>
      <c r="AS801" s="44"/>
      <c r="AT801" s="45"/>
      <c r="AY801" s="45"/>
      <c r="BH801" s="45"/>
      <c r="BK801" s="45"/>
      <c r="BT801" s="45"/>
      <c r="BU801" s="45"/>
      <c r="CK801" s="10"/>
      <c r="EF801" s="20"/>
      <c r="FD801" s="21"/>
      <c r="FE801" s="21"/>
      <c r="FN801" s="22"/>
      <c r="FO801" s="22"/>
      <c r="FZ801" s="23"/>
      <c r="GA801" s="23"/>
      <c r="JD801" s="26"/>
      <c r="JE801" s="26"/>
      <c r="JF801" s="27"/>
      <c r="JG801" s="27"/>
      <c r="KL801" s="28"/>
      <c r="KP801" s="28"/>
      <c r="KT801" s="28"/>
      <c r="KX801" s="28"/>
      <c r="LB801" s="28"/>
      <c r="LF801" s="28"/>
      <c r="LJ801" s="28"/>
    </row>
    <row r="802" spans="1:322" ht="13.2">
      <c r="A802" s="42"/>
      <c r="B802" s="42"/>
      <c r="C802" s="42"/>
      <c r="D802" s="52"/>
      <c r="E802" s="52"/>
      <c r="O802" s="43"/>
      <c r="AL802" s="44"/>
      <c r="AM802" s="44"/>
      <c r="AN802" s="44"/>
      <c r="AO802" s="44"/>
      <c r="AP802" s="44"/>
      <c r="AQ802" s="44"/>
      <c r="AR802" s="44"/>
      <c r="AS802" s="44"/>
      <c r="AT802" s="45"/>
      <c r="AY802" s="45"/>
      <c r="BH802" s="45"/>
      <c r="BK802" s="45"/>
      <c r="BT802" s="45"/>
      <c r="BU802" s="45"/>
      <c r="CK802" s="10"/>
      <c r="EF802" s="20"/>
      <c r="FD802" s="21"/>
      <c r="FE802" s="21"/>
      <c r="FN802" s="22"/>
      <c r="FO802" s="22"/>
      <c r="FZ802" s="23"/>
      <c r="GA802" s="23"/>
      <c r="JD802" s="26"/>
      <c r="JE802" s="26"/>
      <c r="JF802" s="27"/>
      <c r="JG802" s="27"/>
      <c r="KL802" s="28"/>
      <c r="KP802" s="28"/>
      <c r="KT802" s="28"/>
      <c r="KX802" s="28"/>
      <c r="LB802" s="28"/>
      <c r="LF802" s="28"/>
      <c r="LJ802" s="28"/>
    </row>
    <row r="803" spans="1:322" ht="13.2">
      <c r="A803" s="42"/>
      <c r="B803" s="42"/>
      <c r="C803" s="42"/>
      <c r="D803" s="52"/>
      <c r="E803" s="52"/>
      <c r="O803" s="43"/>
      <c r="AL803" s="44"/>
      <c r="AM803" s="44"/>
      <c r="AN803" s="44"/>
      <c r="AO803" s="44"/>
      <c r="AP803" s="44"/>
      <c r="AQ803" s="44"/>
      <c r="AR803" s="44"/>
      <c r="AS803" s="44"/>
      <c r="AT803" s="45"/>
      <c r="AY803" s="45"/>
      <c r="BH803" s="45"/>
      <c r="BK803" s="45"/>
      <c r="BT803" s="45"/>
      <c r="BU803" s="45"/>
      <c r="CK803" s="10"/>
      <c r="EF803" s="20"/>
      <c r="FD803" s="21"/>
      <c r="FE803" s="21"/>
      <c r="FN803" s="22"/>
      <c r="FO803" s="22"/>
      <c r="FZ803" s="23"/>
      <c r="GA803" s="23"/>
      <c r="JD803" s="26"/>
      <c r="JE803" s="26"/>
      <c r="JF803" s="27"/>
      <c r="JG803" s="27"/>
      <c r="KL803" s="28"/>
      <c r="KP803" s="28"/>
      <c r="KT803" s="28"/>
      <c r="KX803" s="28"/>
      <c r="LB803" s="28"/>
      <c r="LF803" s="28"/>
      <c r="LJ803" s="28"/>
    </row>
    <row r="804" spans="1:322" ht="13.2">
      <c r="A804" s="42"/>
      <c r="B804" s="42"/>
      <c r="C804" s="42"/>
      <c r="D804" s="52"/>
      <c r="E804" s="52"/>
      <c r="O804" s="43"/>
      <c r="AL804" s="44"/>
      <c r="AM804" s="44"/>
      <c r="AN804" s="44"/>
      <c r="AO804" s="44"/>
      <c r="AP804" s="44"/>
      <c r="AQ804" s="44"/>
      <c r="AR804" s="44"/>
      <c r="AS804" s="44"/>
      <c r="AT804" s="45"/>
      <c r="AY804" s="45"/>
      <c r="BH804" s="45"/>
      <c r="BK804" s="45"/>
      <c r="BT804" s="45"/>
      <c r="BU804" s="45"/>
      <c r="CK804" s="10"/>
      <c r="EF804" s="20"/>
      <c r="FD804" s="21"/>
      <c r="FE804" s="21"/>
      <c r="FN804" s="22"/>
      <c r="FO804" s="22"/>
      <c r="FZ804" s="23"/>
      <c r="GA804" s="23"/>
      <c r="JD804" s="26"/>
      <c r="JE804" s="26"/>
      <c r="JF804" s="27"/>
      <c r="JG804" s="27"/>
      <c r="KL804" s="28"/>
      <c r="KP804" s="28"/>
      <c r="KT804" s="28"/>
      <c r="KX804" s="28"/>
      <c r="LB804" s="28"/>
      <c r="LF804" s="28"/>
      <c r="LJ804" s="28"/>
    </row>
    <row r="805" spans="1:322" ht="13.2">
      <c r="A805" s="42"/>
      <c r="B805" s="42"/>
      <c r="C805" s="42"/>
      <c r="D805" s="52"/>
      <c r="E805" s="52"/>
      <c r="O805" s="43"/>
      <c r="AL805" s="44"/>
      <c r="AM805" s="44"/>
      <c r="AN805" s="44"/>
      <c r="AO805" s="44"/>
      <c r="AP805" s="44"/>
      <c r="AQ805" s="44"/>
      <c r="AR805" s="44"/>
      <c r="AS805" s="44"/>
      <c r="AT805" s="45"/>
      <c r="AY805" s="45"/>
      <c r="BH805" s="45"/>
      <c r="BK805" s="45"/>
      <c r="BT805" s="45"/>
      <c r="BU805" s="45"/>
      <c r="CK805" s="10"/>
      <c r="EF805" s="20"/>
      <c r="FD805" s="21"/>
      <c r="FE805" s="21"/>
      <c r="FN805" s="22"/>
      <c r="FO805" s="22"/>
      <c r="FZ805" s="23"/>
      <c r="GA805" s="23"/>
      <c r="JD805" s="26"/>
      <c r="JE805" s="26"/>
      <c r="JF805" s="27"/>
      <c r="JG805" s="27"/>
      <c r="KL805" s="28"/>
      <c r="KP805" s="28"/>
      <c r="KT805" s="28"/>
      <c r="KX805" s="28"/>
      <c r="LB805" s="28"/>
      <c r="LF805" s="28"/>
      <c r="LJ805" s="28"/>
    </row>
    <row r="806" spans="1:322" ht="13.2">
      <c r="A806" s="42"/>
      <c r="B806" s="42"/>
      <c r="C806" s="42"/>
      <c r="D806" s="52"/>
      <c r="E806" s="52"/>
      <c r="O806" s="43"/>
      <c r="AL806" s="44"/>
      <c r="AM806" s="44"/>
      <c r="AN806" s="44"/>
      <c r="AO806" s="44"/>
      <c r="AP806" s="44"/>
      <c r="AQ806" s="44"/>
      <c r="AR806" s="44"/>
      <c r="AS806" s="44"/>
      <c r="AT806" s="45"/>
      <c r="AY806" s="45"/>
      <c r="BH806" s="45"/>
      <c r="BK806" s="45"/>
      <c r="BT806" s="45"/>
      <c r="BU806" s="45"/>
      <c r="CK806" s="10"/>
      <c r="EF806" s="20"/>
      <c r="FD806" s="21"/>
      <c r="FE806" s="21"/>
      <c r="FN806" s="22"/>
      <c r="FO806" s="22"/>
      <c r="FZ806" s="23"/>
      <c r="GA806" s="23"/>
      <c r="JD806" s="26"/>
      <c r="JE806" s="26"/>
      <c r="JF806" s="27"/>
      <c r="JG806" s="27"/>
      <c r="KL806" s="28"/>
      <c r="KP806" s="28"/>
      <c r="KT806" s="28"/>
      <c r="KX806" s="28"/>
      <c r="LB806" s="28"/>
      <c r="LF806" s="28"/>
      <c r="LJ806" s="28"/>
    </row>
    <row r="807" spans="1:322" ht="13.2">
      <c r="A807" s="42"/>
      <c r="B807" s="42"/>
      <c r="C807" s="42"/>
      <c r="D807" s="52"/>
      <c r="E807" s="52"/>
      <c r="O807" s="43"/>
      <c r="AL807" s="44"/>
      <c r="AM807" s="44"/>
      <c r="AN807" s="44"/>
      <c r="AO807" s="44"/>
      <c r="AP807" s="44"/>
      <c r="AQ807" s="44"/>
      <c r="AR807" s="44"/>
      <c r="AS807" s="44"/>
      <c r="AT807" s="45"/>
      <c r="AY807" s="45"/>
      <c r="BH807" s="45"/>
      <c r="BK807" s="45"/>
      <c r="BT807" s="45"/>
      <c r="BU807" s="45"/>
      <c r="CK807" s="10"/>
      <c r="EF807" s="20"/>
      <c r="FD807" s="21"/>
      <c r="FE807" s="21"/>
      <c r="FN807" s="22"/>
      <c r="FO807" s="22"/>
      <c r="FZ807" s="23"/>
      <c r="GA807" s="23"/>
      <c r="JD807" s="26"/>
      <c r="JE807" s="26"/>
      <c r="JF807" s="27"/>
      <c r="JG807" s="27"/>
      <c r="KL807" s="28"/>
      <c r="KP807" s="28"/>
      <c r="KT807" s="28"/>
      <c r="KX807" s="28"/>
      <c r="LB807" s="28"/>
      <c r="LF807" s="28"/>
      <c r="LJ807" s="28"/>
    </row>
    <row r="808" spans="1:322" ht="13.2">
      <c r="A808" s="42"/>
      <c r="B808" s="42"/>
      <c r="C808" s="42"/>
      <c r="D808" s="52"/>
      <c r="E808" s="52"/>
      <c r="O808" s="43"/>
      <c r="AL808" s="44"/>
      <c r="AM808" s="44"/>
      <c r="AN808" s="44"/>
      <c r="AO808" s="44"/>
      <c r="AP808" s="44"/>
      <c r="AQ808" s="44"/>
      <c r="AR808" s="44"/>
      <c r="AS808" s="44"/>
      <c r="AT808" s="45"/>
      <c r="AY808" s="45"/>
      <c r="BH808" s="45"/>
      <c r="BK808" s="45"/>
      <c r="BT808" s="45"/>
      <c r="BU808" s="45"/>
      <c r="CK808" s="10"/>
      <c r="EF808" s="20"/>
      <c r="FD808" s="21"/>
      <c r="FE808" s="21"/>
      <c r="FN808" s="22"/>
      <c r="FO808" s="22"/>
      <c r="FZ808" s="23"/>
      <c r="GA808" s="23"/>
      <c r="JD808" s="26"/>
      <c r="JE808" s="26"/>
      <c r="JF808" s="27"/>
      <c r="JG808" s="27"/>
      <c r="KL808" s="28"/>
      <c r="KP808" s="28"/>
      <c r="KT808" s="28"/>
      <c r="KX808" s="28"/>
      <c r="LB808" s="28"/>
      <c r="LF808" s="28"/>
      <c r="LJ808" s="28"/>
    </row>
    <row r="809" spans="1:322" ht="13.2">
      <c r="A809" s="42"/>
      <c r="B809" s="42"/>
      <c r="C809" s="42"/>
      <c r="D809" s="52"/>
      <c r="E809" s="52"/>
      <c r="O809" s="43"/>
      <c r="AL809" s="44"/>
      <c r="AM809" s="44"/>
      <c r="AN809" s="44"/>
      <c r="AO809" s="44"/>
      <c r="AP809" s="44"/>
      <c r="AQ809" s="44"/>
      <c r="AR809" s="44"/>
      <c r="AS809" s="44"/>
      <c r="AT809" s="45"/>
      <c r="AY809" s="45"/>
      <c r="BH809" s="45"/>
      <c r="BK809" s="45"/>
      <c r="BT809" s="45"/>
      <c r="BU809" s="45"/>
      <c r="CK809" s="10"/>
      <c r="EF809" s="20"/>
      <c r="FD809" s="21"/>
      <c r="FE809" s="21"/>
      <c r="FN809" s="22"/>
      <c r="FO809" s="22"/>
      <c r="FZ809" s="23"/>
      <c r="GA809" s="23"/>
      <c r="JD809" s="26"/>
      <c r="JE809" s="26"/>
      <c r="JF809" s="27"/>
      <c r="JG809" s="27"/>
      <c r="KL809" s="28"/>
      <c r="KP809" s="28"/>
      <c r="KT809" s="28"/>
      <c r="KX809" s="28"/>
      <c r="LB809" s="28"/>
      <c r="LF809" s="28"/>
      <c r="LJ809" s="28"/>
    </row>
    <row r="810" spans="1:322" ht="13.2">
      <c r="A810" s="42"/>
      <c r="B810" s="42"/>
      <c r="C810" s="42"/>
      <c r="D810" s="52"/>
      <c r="E810" s="52"/>
      <c r="O810" s="43"/>
      <c r="AL810" s="44"/>
      <c r="AM810" s="44"/>
      <c r="AN810" s="44"/>
      <c r="AO810" s="44"/>
      <c r="AP810" s="44"/>
      <c r="AQ810" s="44"/>
      <c r="AR810" s="44"/>
      <c r="AS810" s="44"/>
      <c r="AT810" s="45"/>
      <c r="AY810" s="45"/>
      <c r="BH810" s="45"/>
      <c r="BK810" s="45"/>
      <c r="BT810" s="45"/>
      <c r="BU810" s="45"/>
      <c r="CK810" s="10"/>
      <c r="EF810" s="20"/>
      <c r="FD810" s="21"/>
      <c r="FE810" s="21"/>
      <c r="FN810" s="22"/>
      <c r="FO810" s="22"/>
      <c r="FZ810" s="23"/>
      <c r="GA810" s="23"/>
      <c r="JD810" s="26"/>
      <c r="JE810" s="26"/>
      <c r="JF810" s="27"/>
      <c r="JG810" s="27"/>
      <c r="KL810" s="28"/>
      <c r="KP810" s="28"/>
      <c r="KT810" s="28"/>
      <c r="KX810" s="28"/>
      <c r="LB810" s="28"/>
      <c r="LF810" s="28"/>
      <c r="LJ810" s="28"/>
    </row>
    <row r="811" spans="1:322" ht="13.2">
      <c r="A811" s="42"/>
      <c r="B811" s="42"/>
      <c r="C811" s="42"/>
      <c r="D811" s="52"/>
      <c r="E811" s="52"/>
      <c r="O811" s="43"/>
      <c r="AL811" s="44"/>
      <c r="AM811" s="44"/>
      <c r="AN811" s="44"/>
      <c r="AO811" s="44"/>
      <c r="AP811" s="44"/>
      <c r="AQ811" s="44"/>
      <c r="AR811" s="44"/>
      <c r="AS811" s="44"/>
      <c r="AT811" s="45"/>
      <c r="AY811" s="45"/>
      <c r="BH811" s="45"/>
      <c r="BK811" s="45"/>
      <c r="BT811" s="45"/>
      <c r="BU811" s="45"/>
      <c r="CK811" s="10"/>
      <c r="EF811" s="20"/>
      <c r="FD811" s="21"/>
      <c r="FE811" s="21"/>
      <c r="FN811" s="22"/>
      <c r="FO811" s="22"/>
      <c r="FZ811" s="23"/>
      <c r="GA811" s="23"/>
      <c r="JD811" s="26"/>
      <c r="JE811" s="26"/>
      <c r="JF811" s="27"/>
      <c r="JG811" s="27"/>
      <c r="KL811" s="28"/>
      <c r="KP811" s="28"/>
      <c r="KT811" s="28"/>
      <c r="KX811" s="28"/>
      <c r="LB811" s="28"/>
      <c r="LF811" s="28"/>
      <c r="LJ811" s="28"/>
    </row>
    <row r="812" spans="1:322" ht="13.2">
      <c r="A812" s="42"/>
      <c r="B812" s="42"/>
      <c r="C812" s="42"/>
      <c r="D812" s="52"/>
      <c r="E812" s="52"/>
      <c r="O812" s="43"/>
      <c r="AL812" s="44"/>
      <c r="AM812" s="44"/>
      <c r="AN812" s="44"/>
      <c r="AO812" s="44"/>
      <c r="AP812" s="44"/>
      <c r="AQ812" s="44"/>
      <c r="AR812" s="44"/>
      <c r="AS812" s="44"/>
      <c r="AT812" s="45"/>
      <c r="AY812" s="45"/>
      <c r="BH812" s="45"/>
      <c r="BK812" s="45"/>
      <c r="BT812" s="45"/>
      <c r="BU812" s="45"/>
      <c r="CK812" s="10"/>
      <c r="EF812" s="20"/>
      <c r="FD812" s="21"/>
      <c r="FE812" s="21"/>
      <c r="FN812" s="22"/>
      <c r="FO812" s="22"/>
      <c r="FZ812" s="23"/>
      <c r="GA812" s="23"/>
      <c r="JD812" s="26"/>
      <c r="JE812" s="26"/>
      <c r="JF812" s="27"/>
      <c r="JG812" s="27"/>
      <c r="KL812" s="28"/>
      <c r="KP812" s="28"/>
      <c r="KT812" s="28"/>
      <c r="KX812" s="28"/>
      <c r="LB812" s="28"/>
      <c r="LF812" s="28"/>
      <c r="LJ812" s="28"/>
    </row>
    <row r="813" spans="1:322" ht="13.2">
      <c r="A813" s="42"/>
      <c r="B813" s="42"/>
      <c r="C813" s="42"/>
      <c r="D813" s="52"/>
      <c r="E813" s="52"/>
      <c r="O813" s="43"/>
      <c r="AL813" s="44"/>
      <c r="AM813" s="44"/>
      <c r="AN813" s="44"/>
      <c r="AO813" s="44"/>
      <c r="AP813" s="44"/>
      <c r="AQ813" s="44"/>
      <c r="AR813" s="44"/>
      <c r="AS813" s="44"/>
      <c r="AT813" s="45"/>
      <c r="AY813" s="45"/>
      <c r="BH813" s="45"/>
      <c r="BK813" s="45"/>
      <c r="BT813" s="45"/>
      <c r="BU813" s="45"/>
      <c r="CK813" s="10"/>
      <c r="EF813" s="20"/>
      <c r="FD813" s="21"/>
      <c r="FE813" s="21"/>
      <c r="FN813" s="22"/>
      <c r="FO813" s="22"/>
      <c r="FZ813" s="23"/>
      <c r="GA813" s="23"/>
      <c r="JD813" s="26"/>
      <c r="JE813" s="26"/>
      <c r="JF813" s="27"/>
      <c r="JG813" s="27"/>
      <c r="KL813" s="28"/>
      <c r="KP813" s="28"/>
      <c r="KT813" s="28"/>
      <c r="KX813" s="28"/>
      <c r="LB813" s="28"/>
      <c r="LF813" s="28"/>
      <c r="LJ813" s="28"/>
    </row>
    <row r="814" spans="1:322" ht="13.2">
      <c r="A814" s="42"/>
      <c r="B814" s="42"/>
      <c r="C814" s="42"/>
      <c r="D814" s="52"/>
      <c r="E814" s="52"/>
      <c r="O814" s="43"/>
      <c r="AL814" s="44"/>
      <c r="AM814" s="44"/>
      <c r="AN814" s="44"/>
      <c r="AO814" s="44"/>
      <c r="AP814" s="44"/>
      <c r="AQ814" s="44"/>
      <c r="AR814" s="44"/>
      <c r="AS814" s="44"/>
      <c r="AT814" s="45"/>
      <c r="AY814" s="45"/>
      <c r="BH814" s="45"/>
      <c r="BK814" s="45"/>
      <c r="BT814" s="45"/>
      <c r="BU814" s="45"/>
      <c r="CK814" s="10"/>
      <c r="EF814" s="20"/>
      <c r="FD814" s="21"/>
      <c r="FE814" s="21"/>
      <c r="FN814" s="22"/>
      <c r="FO814" s="22"/>
      <c r="FZ814" s="23"/>
      <c r="GA814" s="23"/>
      <c r="JD814" s="26"/>
      <c r="JE814" s="26"/>
      <c r="JF814" s="27"/>
      <c r="JG814" s="27"/>
      <c r="KL814" s="28"/>
      <c r="KP814" s="28"/>
      <c r="KT814" s="28"/>
      <c r="KX814" s="28"/>
      <c r="LB814" s="28"/>
      <c r="LF814" s="28"/>
      <c r="LJ814" s="28"/>
    </row>
    <row r="815" spans="1:322" ht="13.2">
      <c r="A815" s="42"/>
      <c r="B815" s="42"/>
      <c r="C815" s="42"/>
      <c r="D815" s="52"/>
      <c r="E815" s="52"/>
      <c r="O815" s="43"/>
      <c r="AL815" s="44"/>
      <c r="AM815" s="44"/>
      <c r="AN815" s="44"/>
      <c r="AO815" s="44"/>
      <c r="AP815" s="44"/>
      <c r="AQ815" s="44"/>
      <c r="AR815" s="44"/>
      <c r="AS815" s="44"/>
      <c r="AT815" s="45"/>
      <c r="AY815" s="45"/>
      <c r="BH815" s="45"/>
      <c r="BK815" s="45"/>
      <c r="BT815" s="45"/>
      <c r="BU815" s="45"/>
      <c r="CK815" s="10"/>
      <c r="EF815" s="20"/>
      <c r="FD815" s="21"/>
      <c r="FE815" s="21"/>
      <c r="FN815" s="22"/>
      <c r="FO815" s="22"/>
      <c r="FZ815" s="23"/>
      <c r="GA815" s="23"/>
      <c r="JD815" s="26"/>
      <c r="JE815" s="26"/>
      <c r="JF815" s="27"/>
      <c r="JG815" s="27"/>
      <c r="KL815" s="28"/>
      <c r="KP815" s="28"/>
      <c r="KT815" s="28"/>
      <c r="KX815" s="28"/>
      <c r="LB815" s="28"/>
      <c r="LF815" s="28"/>
      <c r="LJ815" s="28"/>
    </row>
    <row r="816" spans="1:322" ht="13.2">
      <c r="A816" s="42"/>
      <c r="B816" s="42"/>
      <c r="C816" s="42"/>
      <c r="D816" s="52"/>
      <c r="E816" s="52"/>
      <c r="O816" s="43"/>
      <c r="AL816" s="44"/>
      <c r="AM816" s="44"/>
      <c r="AN816" s="44"/>
      <c r="AO816" s="44"/>
      <c r="AP816" s="44"/>
      <c r="AQ816" s="44"/>
      <c r="AR816" s="44"/>
      <c r="AS816" s="44"/>
      <c r="AT816" s="45"/>
      <c r="AY816" s="45"/>
      <c r="BH816" s="45"/>
      <c r="BK816" s="45"/>
      <c r="BT816" s="45"/>
      <c r="BU816" s="45"/>
      <c r="CK816" s="10"/>
      <c r="EF816" s="20"/>
      <c r="FD816" s="21"/>
      <c r="FE816" s="21"/>
      <c r="FN816" s="22"/>
      <c r="FO816" s="22"/>
      <c r="FZ816" s="23"/>
      <c r="GA816" s="23"/>
      <c r="JD816" s="26"/>
      <c r="JE816" s="26"/>
      <c r="JF816" s="27"/>
      <c r="JG816" s="27"/>
      <c r="KL816" s="28"/>
      <c r="KP816" s="28"/>
      <c r="KT816" s="28"/>
      <c r="KX816" s="28"/>
      <c r="LB816" s="28"/>
      <c r="LF816" s="28"/>
      <c r="LJ816" s="28"/>
    </row>
    <row r="817" spans="1:322" ht="13.2">
      <c r="A817" s="42"/>
      <c r="B817" s="42"/>
      <c r="C817" s="42"/>
      <c r="D817" s="52"/>
      <c r="E817" s="52"/>
      <c r="O817" s="43"/>
      <c r="AL817" s="44"/>
      <c r="AM817" s="44"/>
      <c r="AN817" s="44"/>
      <c r="AO817" s="44"/>
      <c r="AP817" s="44"/>
      <c r="AQ817" s="44"/>
      <c r="AR817" s="44"/>
      <c r="AS817" s="44"/>
      <c r="AT817" s="45"/>
      <c r="AY817" s="45"/>
      <c r="BH817" s="45"/>
      <c r="BK817" s="45"/>
      <c r="BT817" s="45"/>
      <c r="BU817" s="45"/>
      <c r="CK817" s="10"/>
      <c r="EF817" s="20"/>
      <c r="FD817" s="21"/>
      <c r="FE817" s="21"/>
      <c r="FN817" s="22"/>
      <c r="FO817" s="22"/>
      <c r="FZ817" s="23"/>
      <c r="GA817" s="23"/>
      <c r="JD817" s="26"/>
      <c r="JE817" s="26"/>
      <c r="JF817" s="27"/>
      <c r="JG817" s="27"/>
      <c r="KL817" s="28"/>
      <c r="KP817" s="28"/>
      <c r="KT817" s="28"/>
      <c r="KX817" s="28"/>
      <c r="LB817" s="28"/>
      <c r="LF817" s="28"/>
      <c r="LJ817" s="28"/>
    </row>
    <row r="818" spans="1:322" ht="13.2">
      <c r="A818" s="42"/>
      <c r="B818" s="42"/>
      <c r="C818" s="42"/>
      <c r="D818" s="52"/>
      <c r="E818" s="52"/>
      <c r="O818" s="43"/>
      <c r="AL818" s="44"/>
      <c r="AM818" s="44"/>
      <c r="AN818" s="44"/>
      <c r="AO818" s="44"/>
      <c r="AP818" s="44"/>
      <c r="AQ818" s="44"/>
      <c r="AR818" s="44"/>
      <c r="AS818" s="44"/>
      <c r="AT818" s="45"/>
      <c r="AY818" s="45"/>
      <c r="BH818" s="45"/>
      <c r="BK818" s="45"/>
      <c r="BT818" s="45"/>
      <c r="BU818" s="45"/>
      <c r="CK818" s="10"/>
      <c r="EF818" s="20"/>
      <c r="FD818" s="21"/>
      <c r="FE818" s="21"/>
      <c r="FN818" s="22"/>
      <c r="FO818" s="22"/>
      <c r="FZ818" s="23"/>
      <c r="GA818" s="23"/>
      <c r="JD818" s="26"/>
      <c r="JE818" s="26"/>
      <c r="JF818" s="27"/>
      <c r="JG818" s="27"/>
      <c r="KL818" s="28"/>
      <c r="KP818" s="28"/>
      <c r="KT818" s="28"/>
      <c r="KX818" s="28"/>
      <c r="LB818" s="28"/>
      <c r="LF818" s="28"/>
      <c r="LJ818" s="28"/>
    </row>
    <row r="819" spans="1:322" ht="13.2">
      <c r="A819" s="42"/>
      <c r="B819" s="42"/>
      <c r="C819" s="42"/>
      <c r="D819" s="52"/>
      <c r="E819" s="52"/>
      <c r="O819" s="43"/>
      <c r="AL819" s="44"/>
      <c r="AM819" s="44"/>
      <c r="AN819" s="44"/>
      <c r="AO819" s="44"/>
      <c r="AP819" s="44"/>
      <c r="AQ819" s="44"/>
      <c r="AR819" s="44"/>
      <c r="AS819" s="44"/>
      <c r="AT819" s="45"/>
      <c r="AY819" s="45"/>
      <c r="BH819" s="45"/>
      <c r="BK819" s="45"/>
      <c r="BT819" s="45"/>
      <c r="BU819" s="45"/>
      <c r="CK819" s="10"/>
      <c r="EF819" s="20"/>
      <c r="FD819" s="21"/>
      <c r="FE819" s="21"/>
      <c r="FN819" s="22"/>
      <c r="FO819" s="22"/>
      <c r="FZ819" s="23"/>
      <c r="GA819" s="23"/>
      <c r="JD819" s="26"/>
      <c r="JE819" s="26"/>
      <c r="JF819" s="27"/>
      <c r="JG819" s="27"/>
      <c r="KL819" s="28"/>
      <c r="KP819" s="28"/>
      <c r="KT819" s="28"/>
      <c r="KX819" s="28"/>
      <c r="LB819" s="28"/>
      <c r="LF819" s="28"/>
      <c r="LJ819" s="28"/>
    </row>
    <row r="820" spans="1:322" ht="13.2">
      <c r="A820" s="42"/>
      <c r="B820" s="42"/>
      <c r="C820" s="42"/>
      <c r="D820" s="52"/>
      <c r="E820" s="52"/>
      <c r="O820" s="43"/>
      <c r="AL820" s="44"/>
      <c r="AM820" s="44"/>
      <c r="AN820" s="44"/>
      <c r="AO820" s="44"/>
      <c r="AP820" s="44"/>
      <c r="AQ820" s="44"/>
      <c r="AR820" s="44"/>
      <c r="AS820" s="44"/>
      <c r="AT820" s="45"/>
      <c r="AY820" s="45"/>
      <c r="BH820" s="45"/>
      <c r="BK820" s="45"/>
      <c r="BT820" s="45"/>
      <c r="BU820" s="45"/>
      <c r="CK820" s="10"/>
      <c r="EF820" s="20"/>
      <c r="FD820" s="21"/>
      <c r="FE820" s="21"/>
      <c r="FN820" s="22"/>
      <c r="FO820" s="22"/>
      <c r="FZ820" s="23"/>
      <c r="GA820" s="23"/>
      <c r="JD820" s="26"/>
      <c r="JE820" s="26"/>
      <c r="JF820" s="27"/>
      <c r="JG820" s="27"/>
      <c r="KL820" s="28"/>
      <c r="KP820" s="28"/>
      <c r="KT820" s="28"/>
      <c r="KX820" s="28"/>
      <c r="LB820" s="28"/>
      <c r="LF820" s="28"/>
      <c r="LJ820" s="28"/>
    </row>
    <row r="821" spans="1:322" ht="13.2">
      <c r="A821" s="42"/>
      <c r="B821" s="42"/>
      <c r="C821" s="42"/>
      <c r="D821" s="52"/>
      <c r="E821" s="52"/>
      <c r="O821" s="43"/>
      <c r="AL821" s="44"/>
      <c r="AM821" s="44"/>
      <c r="AN821" s="44"/>
      <c r="AO821" s="44"/>
      <c r="AP821" s="44"/>
      <c r="AQ821" s="44"/>
      <c r="AR821" s="44"/>
      <c r="AS821" s="44"/>
      <c r="AT821" s="45"/>
      <c r="AY821" s="45"/>
      <c r="BH821" s="45"/>
      <c r="BK821" s="45"/>
      <c r="BT821" s="45"/>
      <c r="BU821" s="45"/>
      <c r="CK821" s="10"/>
      <c r="EF821" s="20"/>
      <c r="FD821" s="21"/>
      <c r="FE821" s="21"/>
      <c r="FN821" s="22"/>
      <c r="FO821" s="22"/>
      <c r="FZ821" s="23"/>
      <c r="GA821" s="23"/>
      <c r="JD821" s="26"/>
      <c r="JE821" s="26"/>
      <c r="JF821" s="27"/>
      <c r="JG821" s="27"/>
      <c r="KL821" s="28"/>
      <c r="KP821" s="28"/>
      <c r="KT821" s="28"/>
      <c r="KX821" s="28"/>
      <c r="LB821" s="28"/>
      <c r="LF821" s="28"/>
      <c r="LJ821" s="28"/>
    </row>
    <row r="822" spans="1:322" ht="13.2">
      <c r="A822" s="42"/>
      <c r="B822" s="42"/>
      <c r="C822" s="42"/>
      <c r="D822" s="52"/>
      <c r="E822" s="52"/>
      <c r="O822" s="43"/>
      <c r="AL822" s="44"/>
      <c r="AM822" s="44"/>
      <c r="AN822" s="44"/>
      <c r="AO822" s="44"/>
      <c r="AP822" s="44"/>
      <c r="AQ822" s="44"/>
      <c r="AR822" s="44"/>
      <c r="AS822" s="44"/>
      <c r="AT822" s="45"/>
      <c r="AY822" s="45"/>
      <c r="BH822" s="45"/>
      <c r="BK822" s="45"/>
      <c r="BT822" s="45"/>
      <c r="BU822" s="45"/>
      <c r="CK822" s="10"/>
      <c r="EF822" s="20"/>
      <c r="FD822" s="21"/>
      <c r="FE822" s="21"/>
      <c r="FN822" s="22"/>
      <c r="FO822" s="22"/>
      <c r="FZ822" s="23"/>
      <c r="GA822" s="23"/>
      <c r="JD822" s="26"/>
      <c r="JE822" s="26"/>
      <c r="JF822" s="27"/>
      <c r="JG822" s="27"/>
      <c r="KL822" s="28"/>
      <c r="KP822" s="28"/>
      <c r="KT822" s="28"/>
      <c r="KX822" s="28"/>
      <c r="LB822" s="28"/>
      <c r="LF822" s="28"/>
      <c r="LJ822" s="28"/>
    </row>
    <row r="823" spans="1:322" ht="13.2">
      <c r="A823" s="42"/>
      <c r="B823" s="42"/>
      <c r="C823" s="42"/>
      <c r="D823" s="52"/>
      <c r="E823" s="52"/>
      <c r="O823" s="43"/>
      <c r="AL823" s="44"/>
      <c r="AM823" s="44"/>
      <c r="AN823" s="44"/>
      <c r="AO823" s="44"/>
      <c r="AP823" s="44"/>
      <c r="AQ823" s="44"/>
      <c r="AR823" s="44"/>
      <c r="AS823" s="44"/>
      <c r="AT823" s="45"/>
      <c r="AY823" s="45"/>
      <c r="BH823" s="45"/>
      <c r="BK823" s="45"/>
      <c r="BT823" s="45"/>
      <c r="BU823" s="45"/>
      <c r="CK823" s="10"/>
      <c r="EF823" s="20"/>
      <c r="FD823" s="21"/>
      <c r="FE823" s="21"/>
      <c r="FN823" s="22"/>
      <c r="FO823" s="22"/>
      <c r="FZ823" s="23"/>
      <c r="GA823" s="23"/>
      <c r="JD823" s="26"/>
      <c r="JE823" s="26"/>
      <c r="JF823" s="27"/>
      <c r="JG823" s="27"/>
      <c r="KL823" s="28"/>
      <c r="KP823" s="28"/>
      <c r="KT823" s="28"/>
      <c r="KX823" s="28"/>
      <c r="LB823" s="28"/>
      <c r="LF823" s="28"/>
      <c r="LJ823" s="28"/>
    </row>
    <row r="824" spans="1:322" ht="13.2">
      <c r="A824" s="42"/>
      <c r="B824" s="42"/>
      <c r="C824" s="42"/>
      <c r="D824" s="52"/>
      <c r="E824" s="52"/>
      <c r="O824" s="43"/>
      <c r="AL824" s="44"/>
      <c r="AM824" s="44"/>
      <c r="AN824" s="44"/>
      <c r="AO824" s="44"/>
      <c r="AP824" s="44"/>
      <c r="AQ824" s="44"/>
      <c r="AR824" s="44"/>
      <c r="AS824" s="44"/>
      <c r="AT824" s="45"/>
      <c r="AY824" s="45"/>
      <c r="BH824" s="45"/>
      <c r="BK824" s="45"/>
      <c r="BT824" s="45"/>
      <c r="BU824" s="45"/>
      <c r="CK824" s="10"/>
      <c r="EF824" s="20"/>
      <c r="FD824" s="21"/>
      <c r="FE824" s="21"/>
      <c r="FN824" s="22"/>
      <c r="FO824" s="22"/>
      <c r="FZ824" s="23"/>
      <c r="GA824" s="23"/>
      <c r="JD824" s="26"/>
      <c r="JE824" s="26"/>
      <c r="JF824" s="27"/>
      <c r="JG824" s="27"/>
      <c r="KL824" s="28"/>
      <c r="KP824" s="28"/>
      <c r="KT824" s="28"/>
      <c r="KX824" s="28"/>
      <c r="LB824" s="28"/>
      <c r="LF824" s="28"/>
      <c r="LJ824" s="28"/>
    </row>
    <row r="825" spans="1:322" ht="13.2">
      <c r="A825" s="42"/>
      <c r="B825" s="42"/>
      <c r="C825" s="42"/>
      <c r="D825" s="52"/>
      <c r="E825" s="52"/>
      <c r="O825" s="43"/>
      <c r="AL825" s="44"/>
      <c r="AM825" s="44"/>
      <c r="AN825" s="44"/>
      <c r="AO825" s="44"/>
      <c r="AP825" s="44"/>
      <c r="AQ825" s="44"/>
      <c r="AR825" s="44"/>
      <c r="AS825" s="44"/>
      <c r="AT825" s="45"/>
      <c r="AY825" s="45"/>
      <c r="BH825" s="45"/>
      <c r="BK825" s="45"/>
      <c r="BT825" s="45"/>
      <c r="BU825" s="45"/>
      <c r="CK825" s="10"/>
      <c r="EF825" s="20"/>
      <c r="FD825" s="21"/>
      <c r="FE825" s="21"/>
      <c r="FN825" s="22"/>
      <c r="FO825" s="22"/>
      <c r="FZ825" s="23"/>
      <c r="GA825" s="23"/>
      <c r="JD825" s="26"/>
      <c r="JE825" s="26"/>
      <c r="JF825" s="27"/>
      <c r="JG825" s="27"/>
      <c r="KL825" s="28"/>
      <c r="KP825" s="28"/>
      <c r="KT825" s="28"/>
      <c r="KX825" s="28"/>
      <c r="LB825" s="28"/>
      <c r="LF825" s="28"/>
      <c r="LJ825" s="28"/>
    </row>
    <row r="826" spans="1:322" ht="13.2">
      <c r="A826" s="42"/>
      <c r="B826" s="42"/>
      <c r="C826" s="42"/>
      <c r="D826" s="52"/>
      <c r="E826" s="52"/>
      <c r="O826" s="43"/>
      <c r="AL826" s="44"/>
      <c r="AM826" s="44"/>
      <c r="AN826" s="44"/>
      <c r="AO826" s="44"/>
      <c r="AP826" s="44"/>
      <c r="AQ826" s="44"/>
      <c r="AR826" s="44"/>
      <c r="AS826" s="44"/>
      <c r="AT826" s="45"/>
      <c r="AY826" s="45"/>
      <c r="BH826" s="45"/>
      <c r="BK826" s="45"/>
      <c r="BT826" s="45"/>
      <c r="BU826" s="45"/>
      <c r="CK826" s="10"/>
      <c r="EF826" s="20"/>
      <c r="FD826" s="21"/>
      <c r="FE826" s="21"/>
      <c r="FN826" s="22"/>
      <c r="FO826" s="22"/>
      <c r="FZ826" s="23"/>
      <c r="GA826" s="23"/>
      <c r="JD826" s="26"/>
      <c r="JE826" s="26"/>
      <c r="JF826" s="27"/>
      <c r="JG826" s="27"/>
      <c r="KL826" s="28"/>
      <c r="KP826" s="28"/>
      <c r="KT826" s="28"/>
      <c r="KX826" s="28"/>
      <c r="LB826" s="28"/>
      <c r="LF826" s="28"/>
      <c r="LJ826" s="28"/>
    </row>
    <row r="827" spans="1:322" ht="13.2">
      <c r="A827" s="42"/>
      <c r="B827" s="42"/>
      <c r="C827" s="42"/>
      <c r="D827" s="52"/>
      <c r="E827" s="52"/>
      <c r="O827" s="43"/>
      <c r="AL827" s="44"/>
      <c r="AM827" s="44"/>
      <c r="AN827" s="44"/>
      <c r="AO827" s="44"/>
      <c r="AP827" s="44"/>
      <c r="AQ827" s="44"/>
      <c r="AR827" s="44"/>
      <c r="AS827" s="44"/>
      <c r="AT827" s="45"/>
      <c r="AY827" s="45"/>
      <c r="BH827" s="45"/>
      <c r="BK827" s="45"/>
      <c r="BT827" s="45"/>
      <c r="BU827" s="45"/>
      <c r="CK827" s="10"/>
      <c r="EF827" s="20"/>
      <c r="FD827" s="21"/>
      <c r="FE827" s="21"/>
      <c r="FN827" s="22"/>
      <c r="FO827" s="22"/>
      <c r="FZ827" s="23"/>
      <c r="GA827" s="23"/>
      <c r="JD827" s="26"/>
      <c r="JE827" s="26"/>
      <c r="JF827" s="27"/>
      <c r="JG827" s="27"/>
      <c r="KL827" s="28"/>
      <c r="KP827" s="28"/>
      <c r="KT827" s="28"/>
      <c r="KX827" s="28"/>
      <c r="LB827" s="28"/>
      <c r="LF827" s="28"/>
      <c r="LJ827" s="28"/>
    </row>
    <row r="828" spans="1:322" ht="13.2">
      <c r="A828" s="42"/>
      <c r="B828" s="42"/>
      <c r="C828" s="42"/>
      <c r="D828" s="52"/>
      <c r="E828" s="52"/>
      <c r="O828" s="43"/>
      <c r="AL828" s="44"/>
      <c r="AM828" s="44"/>
      <c r="AN828" s="44"/>
      <c r="AO828" s="44"/>
      <c r="AP828" s="44"/>
      <c r="AQ828" s="44"/>
      <c r="AR828" s="44"/>
      <c r="AS828" s="44"/>
      <c r="AT828" s="45"/>
      <c r="AY828" s="45"/>
      <c r="BH828" s="45"/>
      <c r="BK828" s="45"/>
      <c r="BT828" s="45"/>
      <c r="BU828" s="45"/>
      <c r="CK828" s="10"/>
      <c r="EF828" s="20"/>
      <c r="FD828" s="21"/>
      <c r="FE828" s="21"/>
      <c r="FN828" s="22"/>
      <c r="FO828" s="22"/>
      <c r="FZ828" s="23"/>
      <c r="GA828" s="23"/>
      <c r="JD828" s="26"/>
      <c r="JE828" s="26"/>
      <c r="JF828" s="27"/>
      <c r="JG828" s="27"/>
      <c r="KL828" s="28"/>
      <c r="KP828" s="28"/>
      <c r="KT828" s="28"/>
      <c r="KX828" s="28"/>
      <c r="LB828" s="28"/>
      <c r="LF828" s="28"/>
      <c r="LJ828" s="28"/>
    </row>
    <row r="829" spans="1:322" ht="13.2">
      <c r="A829" s="42"/>
      <c r="B829" s="42"/>
      <c r="C829" s="42"/>
      <c r="D829" s="52"/>
      <c r="E829" s="52"/>
      <c r="O829" s="43"/>
      <c r="AL829" s="44"/>
      <c r="AM829" s="44"/>
      <c r="AN829" s="44"/>
      <c r="AO829" s="44"/>
      <c r="AP829" s="44"/>
      <c r="AQ829" s="44"/>
      <c r="AR829" s="44"/>
      <c r="AS829" s="44"/>
      <c r="AT829" s="45"/>
      <c r="AY829" s="45"/>
      <c r="BH829" s="45"/>
      <c r="BK829" s="45"/>
      <c r="BT829" s="45"/>
      <c r="BU829" s="45"/>
      <c r="CK829" s="10"/>
      <c r="EF829" s="20"/>
      <c r="FD829" s="21"/>
      <c r="FE829" s="21"/>
      <c r="FN829" s="22"/>
      <c r="FO829" s="22"/>
      <c r="FZ829" s="23"/>
      <c r="GA829" s="23"/>
      <c r="JD829" s="26"/>
      <c r="JE829" s="26"/>
      <c r="JF829" s="27"/>
      <c r="JG829" s="27"/>
      <c r="KL829" s="28"/>
      <c r="KP829" s="28"/>
      <c r="KT829" s="28"/>
      <c r="KX829" s="28"/>
      <c r="LB829" s="28"/>
      <c r="LF829" s="28"/>
      <c r="LJ829" s="28"/>
    </row>
    <row r="830" spans="1:322" ht="13.2">
      <c r="A830" s="42"/>
      <c r="B830" s="42"/>
      <c r="C830" s="42"/>
      <c r="D830" s="52"/>
      <c r="E830" s="52"/>
      <c r="O830" s="43"/>
      <c r="AL830" s="44"/>
      <c r="AM830" s="44"/>
      <c r="AN830" s="44"/>
      <c r="AO830" s="44"/>
      <c r="AP830" s="44"/>
      <c r="AQ830" s="44"/>
      <c r="AR830" s="44"/>
      <c r="AS830" s="44"/>
      <c r="AT830" s="45"/>
      <c r="AY830" s="45"/>
      <c r="BH830" s="45"/>
      <c r="BK830" s="45"/>
      <c r="BT830" s="45"/>
      <c r="BU830" s="45"/>
      <c r="CK830" s="10"/>
      <c r="EF830" s="20"/>
      <c r="FD830" s="21"/>
      <c r="FE830" s="21"/>
      <c r="FN830" s="22"/>
      <c r="FO830" s="22"/>
      <c r="FZ830" s="23"/>
      <c r="GA830" s="23"/>
      <c r="JD830" s="26"/>
      <c r="JE830" s="26"/>
      <c r="JF830" s="27"/>
      <c r="JG830" s="27"/>
      <c r="KL830" s="28"/>
      <c r="KP830" s="28"/>
      <c r="KT830" s="28"/>
      <c r="KX830" s="28"/>
      <c r="LB830" s="28"/>
      <c r="LF830" s="28"/>
      <c r="LJ830" s="28"/>
    </row>
    <row r="831" spans="1:322" ht="13.2">
      <c r="A831" s="42"/>
      <c r="B831" s="42"/>
      <c r="C831" s="42"/>
      <c r="D831" s="52"/>
      <c r="E831" s="52"/>
      <c r="O831" s="43"/>
      <c r="AL831" s="44"/>
      <c r="AM831" s="44"/>
      <c r="AN831" s="44"/>
      <c r="AO831" s="44"/>
      <c r="AP831" s="44"/>
      <c r="AQ831" s="44"/>
      <c r="AR831" s="44"/>
      <c r="AS831" s="44"/>
      <c r="AT831" s="45"/>
      <c r="AY831" s="45"/>
      <c r="BH831" s="45"/>
      <c r="BK831" s="45"/>
      <c r="BT831" s="45"/>
      <c r="BU831" s="45"/>
      <c r="CK831" s="10"/>
      <c r="EF831" s="20"/>
      <c r="FD831" s="21"/>
      <c r="FE831" s="21"/>
      <c r="FN831" s="22"/>
      <c r="FO831" s="22"/>
      <c r="FZ831" s="23"/>
      <c r="GA831" s="23"/>
      <c r="JD831" s="26"/>
      <c r="JE831" s="26"/>
      <c r="JF831" s="27"/>
      <c r="JG831" s="27"/>
      <c r="KL831" s="28"/>
      <c r="KP831" s="28"/>
      <c r="KT831" s="28"/>
      <c r="KX831" s="28"/>
      <c r="LB831" s="28"/>
      <c r="LF831" s="28"/>
      <c r="LJ831" s="28"/>
    </row>
    <row r="832" spans="1:322" ht="13.2">
      <c r="A832" s="42"/>
      <c r="B832" s="42"/>
      <c r="C832" s="42"/>
      <c r="D832" s="52"/>
      <c r="E832" s="52"/>
      <c r="O832" s="43"/>
      <c r="AL832" s="44"/>
      <c r="AM832" s="44"/>
      <c r="AN832" s="44"/>
      <c r="AO832" s="44"/>
      <c r="AP832" s="44"/>
      <c r="AQ832" s="44"/>
      <c r="AR832" s="44"/>
      <c r="AS832" s="44"/>
      <c r="AT832" s="45"/>
      <c r="AY832" s="45"/>
      <c r="BH832" s="45"/>
      <c r="BK832" s="45"/>
      <c r="BT832" s="45"/>
      <c r="BU832" s="45"/>
      <c r="CK832" s="10"/>
      <c r="EF832" s="20"/>
      <c r="FD832" s="21"/>
      <c r="FE832" s="21"/>
      <c r="FN832" s="22"/>
      <c r="FO832" s="22"/>
      <c r="FZ832" s="23"/>
      <c r="GA832" s="23"/>
      <c r="JD832" s="26"/>
      <c r="JE832" s="26"/>
      <c r="JF832" s="27"/>
      <c r="JG832" s="27"/>
      <c r="KL832" s="28"/>
      <c r="KP832" s="28"/>
      <c r="KT832" s="28"/>
      <c r="KX832" s="28"/>
      <c r="LB832" s="28"/>
      <c r="LF832" s="28"/>
      <c r="LJ832" s="28"/>
    </row>
    <row r="833" spans="1:322" ht="13.2">
      <c r="A833" s="42"/>
      <c r="B833" s="42"/>
      <c r="C833" s="42"/>
      <c r="D833" s="52"/>
      <c r="E833" s="52"/>
      <c r="O833" s="43"/>
      <c r="AL833" s="44"/>
      <c r="AM833" s="44"/>
      <c r="AN833" s="44"/>
      <c r="AO833" s="44"/>
      <c r="AP833" s="44"/>
      <c r="AQ833" s="44"/>
      <c r="AR833" s="44"/>
      <c r="AS833" s="44"/>
      <c r="AT833" s="45"/>
      <c r="AY833" s="45"/>
      <c r="BH833" s="45"/>
      <c r="BK833" s="45"/>
      <c r="BT833" s="45"/>
      <c r="BU833" s="45"/>
      <c r="CK833" s="10"/>
      <c r="EF833" s="20"/>
      <c r="FD833" s="21"/>
      <c r="FE833" s="21"/>
      <c r="FN833" s="22"/>
      <c r="FO833" s="22"/>
      <c r="FZ833" s="23"/>
      <c r="GA833" s="23"/>
      <c r="JD833" s="26"/>
      <c r="JE833" s="26"/>
      <c r="JF833" s="27"/>
      <c r="JG833" s="27"/>
      <c r="KL833" s="28"/>
      <c r="KP833" s="28"/>
      <c r="KT833" s="28"/>
      <c r="KX833" s="28"/>
      <c r="LB833" s="28"/>
      <c r="LF833" s="28"/>
      <c r="LJ833" s="28"/>
    </row>
    <row r="834" spans="1:322" ht="13.2">
      <c r="A834" s="42"/>
      <c r="B834" s="42"/>
      <c r="C834" s="42"/>
      <c r="D834" s="52"/>
      <c r="E834" s="52"/>
      <c r="O834" s="43"/>
      <c r="AL834" s="44"/>
      <c r="AM834" s="44"/>
      <c r="AN834" s="44"/>
      <c r="AO834" s="44"/>
      <c r="AP834" s="44"/>
      <c r="AQ834" s="44"/>
      <c r="AR834" s="44"/>
      <c r="AS834" s="44"/>
      <c r="AT834" s="45"/>
      <c r="AY834" s="45"/>
      <c r="BH834" s="45"/>
      <c r="BK834" s="45"/>
      <c r="BT834" s="45"/>
      <c r="BU834" s="45"/>
      <c r="CK834" s="10"/>
      <c r="EF834" s="20"/>
      <c r="FD834" s="21"/>
      <c r="FE834" s="21"/>
      <c r="FN834" s="22"/>
      <c r="FO834" s="22"/>
      <c r="FZ834" s="23"/>
      <c r="GA834" s="23"/>
      <c r="JD834" s="26"/>
      <c r="JE834" s="26"/>
      <c r="JF834" s="27"/>
      <c r="JG834" s="27"/>
      <c r="KL834" s="28"/>
      <c r="KP834" s="28"/>
      <c r="KT834" s="28"/>
      <c r="KX834" s="28"/>
      <c r="LB834" s="28"/>
      <c r="LF834" s="28"/>
      <c r="LJ834" s="28"/>
    </row>
    <row r="835" spans="1:322" ht="13.2">
      <c r="A835" s="42"/>
      <c r="B835" s="42"/>
      <c r="C835" s="42"/>
      <c r="D835" s="52"/>
      <c r="E835" s="52"/>
      <c r="O835" s="43"/>
      <c r="AL835" s="44"/>
      <c r="AM835" s="44"/>
      <c r="AN835" s="44"/>
      <c r="AO835" s="44"/>
      <c r="AP835" s="44"/>
      <c r="AQ835" s="44"/>
      <c r="AR835" s="44"/>
      <c r="AS835" s="44"/>
      <c r="AT835" s="45"/>
      <c r="AY835" s="45"/>
      <c r="BH835" s="45"/>
      <c r="BK835" s="45"/>
      <c r="BT835" s="45"/>
      <c r="BU835" s="45"/>
      <c r="CK835" s="10"/>
      <c r="EF835" s="20"/>
      <c r="FD835" s="21"/>
      <c r="FE835" s="21"/>
      <c r="FN835" s="22"/>
      <c r="FO835" s="22"/>
      <c r="FZ835" s="23"/>
      <c r="GA835" s="23"/>
      <c r="JD835" s="26"/>
      <c r="JE835" s="26"/>
      <c r="JF835" s="27"/>
      <c r="JG835" s="27"/>
      <c r="KL835" s="28"/>
      <c r="KP835" s="28"/>
      <c r="KT835" s="28"/>
      <c r="KX835" s="28"/>
      <c r="LB835" s="28"/>
      <c r="LF835" s="28"/>
      <c r="LJ835" s="28"/>
    </row>
    <row r="836" spans="1:322" ht="13.2">
      <c r="A836" s="42"/>
      <c r="B836" s="42"/>
      <c r="C836" s="42"/>
      <c r="D836" s="52"/>
      <c r="E836" s="52"/>
      <c r="O836" s="43"/>
      <c r="AL836" s="44"/>
      <c r="AM836" s="44"/>
      <c r="AN836" s="44"/>
      <c r="AO836" s="44"/>
      <c r="AP836" s="44"/>
      <c r="AQ836" s="44"/>
      <c r="AR836" s="44"/>
      <c r="AS836" s="44"/>
      <c r="AT836" s="45"/>
      <c r="AY836" s="45"/>
      <c r="BH836" s="45"/>
      <c r="BK836" s="45"/>
      <c r="BT836" s="45"/>
      <c r="BU836" s="45"/>
      <c r="CK836" s="10"/>
      <c r="EF836" s="20"/>
      <c r="FD836" s="21"/>
      <c r="FE836" s="21"/>
      <c r="FN836" s="22"/>
      <c r="FO836" s="22"/>
      <c r="FZ836" s="23"/>
      <c r="GA836" s="23"/>
      <c r="JD836" s="26"/>
      <c r="JE836" s="26"/>
      <c r="JF836" s="27"/>
      <c r="JG836" s="27"/>
      <c r="KL836" s="28"/>
      <c r="KP836" s="28"/>
      <c r="KT836" s="28"/>
      <c r="KX836" s="28"/>
      <c r="LB836" s="28"/>
      <c r="LF836" s="28"/>
      <c r="LJ836" s="28"/>
    </row>
    <row r="837" spans="1:322" ht="13.2">
      <c r="A837" s="42"/>
      <c r="B837" s="42"/>
      <c r="C837" s="42"/>
      <c r="D837" s="52"/>
      <c r="E837" s="52"/>
      <c r="O837" s="43"/>
      <c r="AL837" s="44"/>
      <c r="AM837" s="44"/>
      <c r="AN837" s="44"/>
      <c r="AO837" s="44"/>
      <c r="AP837" s="44"/>
      <c r="AQ837" s="44"/>
      <c r="AR837" s="44"/>
      <c r="AS837" s="44"/>
      <c r="AT837" s="45"/>
      <c r="AY837" s="45"/>
      <c r="BH837" s="45"/>
      <c r="BK837" s="45"/>
      <c r="BT837" s="45"/>
      <c r="BU837" s="45"/>
      <c r="CK837" s="10"/>
      <c r="EF837" s="20"/>
      <c r="FD837" s="21"/>
      <c r="FE837" s="21"/>
      <c r="FN837" s="22"/>
      <c r="FO837" s="22"/>
      <c r="FZ837" s="23"/>
      <c r="GA837" s="23"/>
      <c r="JD837" s="26"/>
      <c r="JE837" s="26"/>
      <c r="JF837" s="27"/>
      <c r="JG837" s="27"/>
      <c r="KL837" s="28"/>
      <c r="KP837" s="28"/>
      <c r="KT837" s="28"/>
      <c r="KX837" s="28"/>
      <c r="LB837" s="28"/>
      <c r="LF837" s="28"/>
      <c r="LJ837" s="28"/>
    </row>
    <row r="838" spans="1:322" ht="13.2">
      <c r="A838" s="42"/>
      <c r="B838" s="42"/>
      <c r="C838" s="42"/>
      <c r="D838" s="52"/>
      <c r="E838" s="52"/>
      <c r="O838" s="43"/>
      <c r="AL838" s="44"/>
      <c r="AM838" s="44"/>
      <c r="AN838" s="44"/>
      <c r="AO838" s="44"/>
      <c r="AP838" s="44"/>
      <c r="AQ838" s="44"/>
      <c r="AR838" s="44"/>
      <c r="AS838" s="44"/>
      <c r="AT838" s="45"/>
      <c r="AY838" s="45"/>
      <c r="BH838" s="45"/>
      <c r="BK838" s="45"/>
      <c r="BT838" s="45"/>
      <c r="BU838" s="45"/>
      <c r="CK838" s="10"/>
      <c r="EF838" s="20"/>
      <c r="FD838" s="21"/>
      <c r="FE838" s="21"/>
      <c r="FN838" s="22"/>
      <c r="FO838" s="22"/>
      <c r="FZ838" s="23"/>
      <c r="GA838" s="23"/>
      <c r="JD838" s="26"/>
      <c r="JE838" s="26"/>
      <c r="JF838" s="27"/>
      <c r="JG838" s="27"/>
      <c r="KL838" s="28"/>
      <c r="KP838" s="28"/>
      <c r="KT838" s="28"/>
      <c r="KX838" s="28"/>
      <c r="LB838" s="28"/>
      <c r="LF838" s="28"/>
      <c r="LJ838" s="28"/>
    </row>
    <row r="839" spans="1:322" ht="13.2">
      <c r="A839" s="42"/>
      <c r="B839" s="42"/>
      <c r="C839" s="42"/>
      <c r="D839" s="52"/>
      <c r="E839" s="52"/>
      <c r="O839" s="43"/>
      <c r="AL839" s="44"/>
      <c r="AM839" s="44"/>
      <c r="AN839" s="44"/>
      <c r="AO839" s="44"/>
      <c r="AP839" s="44"/>
      <c r="AQ839" s="44"/>
      <c r="AR839" s="44"/>
      <c r="AS839" s="44"/>
      <c r="AT839" s="45"/>
      <c r="AY839" s="45"/>
      <c r="BH839" s="45"/>
      <c r="BK839" s="45"/>
      <c r="BT839" s="45"/>
      <c r="BU839" s="45"/>
      <c r="CK839" s="10"/>
      <c r="EF839" s="20"/>
      <c r="FD839" s="21"/>
      <c r="FE839" s="21"/>
      <c r="FN839" s="22"/>
      <c r="FO839" s="22"/>
      <c r="FZ839" s="23"/>
      <c r="GA839" s="23"/>
      <c r="JD839" s="26"/>
      <c r="JE839" s="26"/>
      <c r="JF839" s="27"/>
      <c r="JG839" s="27"/>
      <c r="KL839" s="28"/>
      <c r="KP839" s="28"/>
      <c r="KT839" s="28"/>
      <c r="KX839" s="28"/>
      <c r="LB839" s="28"/>
      <c r="LF839" s="28"/>
      <c r="LJ839" s="28"/>
    </row>
    <row r="840" spans="1:322" ht="13.2">
      <c r="A840" s="42"/>
      <c r="B840" s="42"/>
      <c r="C840" s="42"/>
      <c r="D840" s="52"/>
      <c r="E840" s="52"/>
      <c r="O840" s="43"/>
      <c r="AL840" s="44"/>
      <c r="AM840" s="44"/>
      <c r="AN840" s="44"/>
      <c r="AO840" s="44"/>
      <c r="AP840" s="44"/>
      <c r="AQ840" s="44"/>
      <c r="AR840" s="44"/>
      <c r="AS840" s="44"/>
      <c r="AT840" s="45"/>
      <c r="AY840" s="45"/>
      <c r="BH840" s="45"/>
      <c r="BK840" s="45"/>
      <c r="BT840" s="45"/>
      <c r="BU840" s="45"/>
      <c r="CK840" s="10"/>
      <c r="EF840" s="20"/>
      <c r="FD840" s="21"/>
      <c r="FE840" s="21"/>
      <c r="FN840" s="22"/>
      <c r="FO840" s="22"/>
      <c r="FZ840" s="23"/>
      <c r="GA840" s="23"/>
      <c r="JD840" s="26"/>
      <c r="JE840" s="26"/>
      <c r="JF840" s="27"/>
      <c r="JG840" s="27"/>
      <c r="KL840" s="28"/>
      <c r="KP840" s="28"/>
      <c r="KT840" s="28"/>
      <c r="KX840" s="28"/>
      <c r="LB840" s="28"/>
      <c r="LF840" s="28"/>
      <c r="LJ840" s="28"/>
    </row>
    <row r="841" spans="1:322" ht="13.2">
      <c r="A841" s="42"/>
      <c r="B841" s="42"/>
      <c r="C841" s="42"/>
      <c r="D841" s="52"/>
      <c r="E841" s="52"/>
      <c r="O841" s="43"/>
      <c r="AL841" s="44"/>
      <c r="AM841" s="44"/>
      <c r="AN841" s="44"/>
      <c r="AO841" s="44"/>
      <c r="AP841" s="44"/>
      <c r="AQ841" s="44"/>
      <c r="AR841" s="44"/>
      <c r="AS841" s="44"/>
      <c r="AT841" s="45"/>
      <c r="AY841" s="45"/>
      <c r="BH841" s="45"/>
      <c r="BK841" s="45"/>
      <c r="BT841" s="45"/>
      <c r="BU841" s="45"/>
      <c r="CK841" s="10"/>
      <c r="EF841" s="20"/>
      <c r="FD841" s="21"/>
      <c r="FE841" s="21"/>
      <c r="FN841" s="22"/>
      <c r="FO841" s="22"/>
      <c r="FZ841" s="23"/>
      <c r="GA841" s="23"/>
      <c r="JD841" s="26"/>
      <c r="JE841" s="26"/>
      <c r="JF841" s="27"/>
      <c r="JG841" s="27"/>
      <c r="KL841" s="28"/>
      <c r="KP841" s="28"/>
      <c r="KT841" s="28"/>
      <c r="KX841" s="28"/>
      <c r="LB841" s="28"/>
      <c r="LF841" s="28"/>
      <c r="LJ841" s="28"/>
    </row>
    <row r="842" spans="1:322" ht="13.2">
      <c r="A842" s="42"/>
      <c r="B842" s="42"/>
      <c r="C842" s="42"/>
      <c r="D842" s="52"/>
      <c r="E842" s="52"/>
      <c r="O842" s="43"/>
      <c r="AL842" s="44"/>
      <c r="AM842" s="44"/>
      <c r="AN842" s="44"/>
      <c r="AO842" s="44"/>
      <c r="AP842" s="44"/>
      <c r="AQ842" s="44"/>
      <c r="AR842" s="44"/>
      <c r="AS842" s="44"/>
      <c r="AT842" s="45"/>
      <c r="AY842" s="45"/>
      <c r="BH842" s="45"/>
      <c r="BK842" s="45"/>
      <c r="BT842" s="45"/>
      <c r="BU842" s="45"/>
      <c r="CK842" s="10"/>
      <c r="EF842" s="20"/>
      <c r="FD842" s="21"/>
      <c r="FE842" s="21"/>
      <c r="FN842" s="22"/>
      <c r="FO842" s="22"/>
      <c r="FZ842" s="23"/>
      <c r="GA842" s="23"/>
      <c r="JD842" s="26"/>
      <c r="JE842" s="26"/>
      <c r="JF842" s="27"/>
      <c r="JG842" s="27"/>
      <c r="KL842" s="28"/>
      <c r="KP842" s="28"/>
      <c r="KT842" s="28"/>
      <c r="KX842" s="28"/>
      <c r="LB842" s="28"/>
      <c r="LF842" s="28"/>
      <c r="LJ842" s="28"/>
    </row>
    <row r="843" spans="1:322" ht="13.2">
      <c r="A843" s="42"/>
      <c r="B843" s="42"/>
      <c r="C843" s="42"/>
      <c r="D843" s="52"/>
      <c r="E843" s="52"/>
      <c r="O843" s="43"/>
      <c r="AL843" s="44"/>
      <c r="AM843" s="44"/>
      <c r="AN843" s="44"/>
      <c r="AO843" s="44"/>
      <c r="AP843" s="44"/>
      <c r="AQ843" s="44"/>
      <c r="AR843" s="44"/>
      <c r="AS843" s="44"/>
      <c r="AT843" s="45"/>
      <c r="AY843" s="45"/>
      <c r="BH843" s="45"/>
      <c r="BK843" s="45"/>
      <c r="BT843" s="45"/>
      <c r="BU843" s="45"/>
      <c r="CK843" s="10"/>
      <c r="EF843" s="20"/>
      <c r="FD843" s="21"/>
      <c r="FE843" s="21"/>
      <c r="FN843" s="22"/>
      <c r="FO843" s="22"/>
      <c r="FZ843" s="23"/>
      <c r="GA843" s="23"/>
      <c r="JD843" s="26"/>
      <c r="JE843" s="26"/>
      <c r="JF843" s="27"/>
      <c r="JG843" s="27"/>
      <c r="KL843" s="28"/>
      <c r="KP843" s="28"/>
      <c r="KT843" s="28"/>
      <c r="KX843" s="28"/>
      <c r="LB843" s="28"/>
      <c r="LF843" s="28"/>
      <c r="LJ843" s="28"/>
    </row>
    <row r="844" spans="1:322" ht="13.2">
      <c r="A844" s="42"/>
      <c r="B844" s="42"/>
      <c r="C844" s="42"/>
      <c r="D844" s="52"/>
      <c r="E844" s="52"/>
      <c r="O844" s="43"/>
      <c r="AL844" s="44"/>
      <c r="AM844" s="44"/>
      <c r="AN844" s="44"/>
      <c r="AO844" s="44"/>
      <c r="AP844" s="44"/>
      <c r="AQ844" s="44"/>
      <c r="AR844" s="44"/>
      <c r="AS844" s="44"/>
      <c r="AT844" s="45"/>
      <c r="AY844" s="45"/>
      <c r="BH844" s="45"/>
      <c r="BK844" s="45"/>
      <c r="BT844" s="45"/>
      <c r="BU844" s="45"/>
      <c r="CK844" s="10"/>
      <c r="EF844" s="20"/>
      <c r="FD844" s="21"/>
      <c r="FE844" s="21"/>
      <c r="FN844" s="22"/>
      <c r="FO844" s="22"/>
      <c r="FZ844" s="23"/>
      <c r="GA844" s="23"/>
      <c r="JD844" s="26"/>
      <c r="JE844" s="26"/>
      <c r="JF844" s="27"/>
      <c r="JG844" s="27"/>
      <c r="KL844" s="28"/>
      <c r="KP844" s="28"/>
      <c r="KT844" s="28"/>
      <c r="KX844" s="28"/>
      <c r="LB844" s="28"/>
      <c r="LF844" s="28"/>
      <c r="LJ844" s="28"/>
    </row>
    <row r="845" spans="1:322" ht="13.2">
      <c r="A845" s="42"/>
      <c r="B845" s="42"/>
      <c r="C845" s="42"/>
      <c r="D845" s="52"/>
      <c r="E845" s="52"/>
      <c r="O845" s="43"/>
      <c r="AL845" s="44"/>
      <c r="AM845" s="44"/>
      <c r="AN845" s="44"/>
      <c r="AO845" s="44"/>
      <c r="AP845" s="44"/>
      <c r="AQ845" s="44"/>
      <c r="AR845" s="44"/>
      <c r="AS845" s="44"/>
      <c r="AT845" s="45"/>
      <c r="AY845" s="45"/>
      <c r="BH845" s="45"/>
      <c r="BK845" s="45"/>
      <c r="BT845" s="45"/>
      <c r="BU845" s="45"/>
      <c r="CK845" s="10"/>
      <c r="EF845" s="20"/>
      <c r="FD845" s="21"/>
      <c r="FE845" s="21"/>
      <c r="FN845" s="22"/>
      <c r="FO845" s="22"/>
      <c r="FZ845" s="23"/>
      <c r="GA845" s="23"/>
      <c r="JD845" s="26"/>
      <c r="JE845" s="26"/>
      <c r="JF845" s="27"/>
      <c r="JG845" s="27"/>
      <c r="KL845" s="28"/>
      <c r="KP845" s="28"/>
      <c r="KT845" s="28"/>
      <c r="KX845" s="28"/>
      <c r="LB845" s="28"/>
      <c r="LF845" s="28"/>
      <c r="LJ845" s="28"/>
    </row>
    <row r="846" spans="1:322" ht="13.2">
      <c r="A846" s="42"/>
      <c r="B846" s="42"/>
      <c r="C846" s="42"/>
      <c r="D846" s="52"/>
      <c r="E846" s="52"/>
      <c r="O846" s="43"/>
      <c r="AL846" s="44"/>
      <c r="AM846" s="44"/>
      <c r="AN846" s="44"/>
      <c r="AO846" s="44"/>
      <c r="AP846" s="44"/>
      <c r="AQ846" s="44"/>
      <c r="AR846" s="44"/>
      <c r="AS846" s="44"/>
      <c r="AT846" s="45"/>
      <c r="AY846" s="45"/>
      <c r="BH846" s="45"/>
      <c r="BK846" s="45"/>
      <c r="BT846" s="45"/>
      <c r="BU846" s="45"/>
      <c r="CK846" s="10"/>
      <c r="EF846" s="20"/>
      <c r="FD846" s="21"/>
      <c r="FE846" s="21"/>
      <c r="FN846" s="22"/>
      <c r="FO846" s="22"/>
      <c r="FZ846" s="23"/>
      <c r="GA846" s="23"/>
      <c r="JD846" s="26"/>
      <c r="JE846" s="26"/>
      <c r="JF846" s="27"/>
      <c r="JG846" s="27"/>
      <c r="KL846" s="28"/>
      <c r="KP846" s="28"/>
      <c r="KT846" s="28"/>
      <c r="KX846" s="28"/>
      <c r="LB846" s="28"/>
      <c r="LF846" s="28"/>
      <c r="LJ846" s="28"/>
    </row>
    <row r="847" spans="1:322" ht="13.2">
      <c r="A847" s="42"/>
      <c r="B847" s="42"/>
      <c r="C847" s="42"/>
      <c r="D847" s="52"/>
      <c r="E847" s="52"/>
      <c r="O847" s="43"/>
      <c r="AL847" s="44"/>
      <c r="AM847" s="44"/>
      <c r="AN847" s="44"/>
      <c r="AO847" s="44"/>
      <c r="AP847" s="44"/>
      <c r="AQ847" s="44"/>
      <c r="AR847" s="44"/>
      <c r="AS847" s="44"/>
      <c r="AT847" s="45"/>
      <c r="AY847" s="45"/>
      <c r="BH847" s="45"/>
      <c r="BK847" s="45"/>
      <c r="BT847" s="45"/>
      <c r="BU847" s="45"/>
      <c r="CK847" s="10"/>
      <c r="EF847" s="20"/>
      <c r="FD847" s="21"/>
      <c r="FE847" s="21"/>
      <c r="FN847" s="22"/>
      <c r="FO847" s="22"/>
      <c r="FZ847" s="23"/>
      <c r="GA847" s="23"/>
      <c r="JD847" s="26"/>
      <c r="JE847" s="26"/>
      <c r="JF847" s="27"/>
      <c r="JG847" s="27"/>
      <c r="KL847" s="28"/>
      <c r="KP847" s="28"/>
      <c r="KT847" s="28"/>
      <c r="KX847" s="28"/>
      <c r="LB847" s="28"/>
      <c r="LF847" s="28"/>
      <c r="LJ847" s="28"/>
    </row>
    <row r="848" spans="1:322" ht="13.2">
      <c r="A848" s="42"/>
      <c r="B848" s="42"/>
      <c r="C848" s="42"/>
      <c r="D848" s="52"/>
      <c r="E848" s="52"/>
      <c r="O848" s="43"/>
      <c r="AL848" s="44"/>
      <c r="AM848" s="44"/>
      <c r="AN848" s="44"/>
      <c r="AO848" s="44"/>
      <c r="AP848" s="44"/>
      <c r="AQ848" s="44"/>
      <c r="AR848" s="44"/>
      <c r="AS848" s="44"/>
      <c r="AT848" s="45"/>
      <c r="AY848" s="45"/>
      <c r="BH848" s="45"/>
      <c r="BK848" s="45"/>
      <c r="BT848" s="45"/>
      <c r="BU848" s="45"/>
      <c r="CK848" s="10"/>
      <c r="EF848" s="20"/>
      <c r="FD848" s="21"/>
      <c r="FE848" s="21"/>
      <c r="FN848" s="22"/>
      <c r="FO848" s="22"/>
      <c r="FZ848" s="23"/>
      <c r="GA848" s="23"/>
      <c r="JD848" s="26"/>
      <c r="JE848" s="26"/>
      <c r="JF848" s="27"/>
      <c r="JG848" s="27"/>
      <c r="KL848" s="28"/>
      <c r="KP848" s="28"/>
      <c r="KT848" s="28"/>
      <c r="KX848" s="28"/>
      <c r="LB848" s="28"/>
      <c r="LF848" s="28"/>
      <c r="LJ848" s="28"/>
    </row>
    <row r="849" spans="1:322" ht="13.2">
      <c r="A849" s="42"/>
      <c r="B849" s="42"/>
      <c r="C849" s="42"/>
      <c r="D849" s="52"/>
      <c r="E849" s="52"/>
      <c r="O849" s="43"/>
      <c r="AL849" s="44"/>
      <c r="AM849" s="44"/>
      <c r="AN849" s="44"/>
      <c r="AO849" s="44"/>
      <c r="AP849" s="44"/>
      <c r="AQ849" s="44"/>
      <c r="AR849" s="44"/>
      <c r="AS849" s="44"/>
      <c r="AT849" s="45"/>
      <c r="AY849" s="45"/>
      <c r="BH849" s="45"/>
      <c r="BK849" s="45"/>
      <c r="BT849" s="45"/>
      <c r="BU849" s="45"/>
      <c r="CK849" s="10"/>
      <c r="EF849" s="20"/>
      <c r="FD849" s="21"/>
      <c r="FE849" s="21"/>
      <c r="FN849" s="22"/>
      <c r="FO849" s="22"/>
      <c r="FZ849" s="23"/>
      <c r="GA849" s="23"/>
      <c r="JD849" s="26"/>
      <c r="JE849" s="26"/>
      <c r="JF849" s="27"/>
      <c r="JG849" s="27"/>
      <c r="KL849" s="28"/>
      <c r="KP849" s="28"/>
      <c r="KT849" s="28"/>
      <c r="KX849" s="28"/>
      <c r="LB849" s="28"/>
      <c r="LF849" s="28"/>
      <c r="LJ849" s="28"/>
    </row>
    <row r="850" spans="1:322" ht="13.2">
      <c r="A850" s="42"/>
      <c r="B850" s="42"/>
      <c r="C850" s="42"/>
      <c r="D850" s="52"/>
      <c r="E850" s="52"/>
      <c r="O850" s="43"/>
      <c r="AL850" s="44"/>
      <c r="AM850" s="44"/>
      <c r="AN850" s="44"/>
      <c r="AO850" s="44"/>
      <c r="AP850" s="44"/>
      <c r="AQ850" s="44"/>
      <c r="AR850" s="44"/>
      <c r="AS850" s="44"/>
      <c r="AT850" s="45"/>
      <c r="AY850" s="45"/>
      <c r="BH850" s="45"/>
      <c r="BK850" s="45"/>
      <c r="BT850" s="45"/>
      <c r="BU850" s="45"/>
      <c r="CK850" s="10"/>
      <c r="EF850" s="20"/>
      <c r="FD850" s="21"/>
      <c r="FE850" s="21"/>
      <c r="FN850" s="22"/>
      <c r="FO850" s="22"/>
      <c r="FZ850" s="23"/>
      <c r="GA850" s="23"/>
      <c r="JD850" s="26"/>
      <c r="JE850" s="26"/>
      <c r="JF850" s="27"/>
      <c r="JG850" s="27"/>
      <c r="KL850" s="28"/>
      <c r="KP850" s="28"/>
      <c r="KT850" s="28"/>
      <c r="KX850" s="28"/>
      <c r="LB850" s="28"/>
      <c r="LF850" s="28"/>
      <c r="LJ850" s="28"/>
    </row>
    <row r="851" spans="1:322" ht="13.2">
      <c r="A851" s="42"/>
      <c r="B851" s="42"/>
      <c r="C851" s="42"/>
      <c r="D851" s="52"/>
      <c r="E851" s="52"/>
      <c r="O851" s="43"/>
      <c r="AL851" s="44"/>
      <c r="AM851" s="44"/>
      <c r="AN851" s="44"/>
      <c r="AO851" s="44"/>
      <c r="AP851" s="44"/>
      <c r="AQ851" s="44"/>
      <c r="AR851" s="44"/>
      <c r="AS851" s="44"/>
      <c r="AT851" s="45"/>
      <c r="AY851" s="45"/>
      <c r="BH851" s="45"/>
      <c r="BK851" s="45"/>
      <c r="BT851" s="45"/>
      <c r="BU851" s="45"/>
      <c r="CK851" s="10"/>
      <c r="EF851" s="20"/>
      <c r="FD851" s="21"/>
      <c r="FE851" s="21"/>
      <c r="FN851" s="22"/>
      <c r="FO851" s="22"/>
      <c r="FZ851" s="23"/>
      <c r="GA851" s="23"/>
      <c r="JD851" s="26"/>
      <c r="JE851" s="26"/>
      <c r="JF851" s="27"/>
      <c r="JG851" s="27"/>
      <c r="KL851" s="28"/>
      <c r="KP851" s="28"/>
      <c r="KT851" s="28"/>
      <c r="KX851" s="28"/>
      <c r="LB851" s="28"/>
      <c r="LF851" s="28"/>
      <c r="LJ851" s="28"/>
    </row>
    <row r="852" spans="1:322" ht="13.2">
      <c r="A852" s="42"/>
      <c r="B852" s="42"/>
      <c r="C852" s="42"/>
      <c r="D852" s="52"/>
      <c r="E852" s="52"/>
      <c r="O852" s="43"/>
      <c r="AL852" s="44"/>
      <c r="AM852" s="44"/>
      <c r="AN852" s="44"/>
      <c r="AO852" s="44"/>
      <c r="AP852" s="44"/>
      <c r="AQ852" s="44"/>
      <c r="AR852" s="44"/>
      <c r="AS852" s="44"/>
      <c r="AT852" s="45"/>
      <c r="AY852" s="45"/>
      <c r="BH852" s="45"/>
      <c r="BK852" s="45"/>
      <c r="BT852" s="45"/>
      <c r="BU852" s="45"/>
      <c r="CK852" s="10"/>
      <c r="EF852" s="20"/>
      <c r="FD852" s="21"/>
      <c r="FE852" s="21"/>
      <c r="FN852" s="22"/>
      <c r="FO852" s="22"/>
      <c r="FZ852" s="23"/>
      <c r="GA852" s="23"/>
      <c r="JD852" s="26"/>
      <c r="JE852" s="26"/>
      <c r="JF852" s="27"/>
      <c r="JG852" s="27"/>
      <c r="KL852" s="28"/>
      <c r="KP852" s="28"/>
      <c r="KT852" s="28"/>
      <c r="KX852" s="28"/>
      <c r="LB852" s="28"/>
      <c r="LF852" s="28"/>
      <c r="LJ852" s="28"/>
    </row>
    <row r="853" spans="1:322" ht="13.2">
      <c r="A853" s="42"/>
      <c r="B853" s="42"/>
      <c r="C853" s="42"/>
      <c r="D853" s="52"/>
      <c r="E853" s="52"/>
      <c r="O853" s="43"/>
      <c r="AL853" s="44"/>
      <c r="AM853" s="44"/>
      <c r="AN853" s="44"/>
      <c r="AO853" s="44"/>
      <c r="AP853" s="44"/>
      <c r="AQ853" s="44"/>
      <c r="AR853" s="44"/>
      <c r="AS853" s="44"/>
      <c r="AT853" s="45"/>
      <c r="AY853" s="45"/>
      <c r="BH853" s="45"/>
      <c r="BK853" s="45"/>
      <c r="BT853" s="45"/>
      <c r="BU853" s="45"/>
      <c r="CK853" s="10"/>
      <c r="EF853" s="20"/>
      <c r="FD853" s="21"/>
      <c r="FE853" s="21"/>
      <c r="FN853" s="22"/>
      <c r="FO853" s="22"/>
      <c r="FZ853" s="23"/>
      <c r="GA853" s="23"/>
      <c r="JD853" s="26"/>
      <c r="JE853" s="26"/>
      <c r="JF853" s="27"/>
      <c r="JG853" s="27"/>
      <c r="KL853" s="28"/>
      <c r="KP853" s="28"/>
      <c r="KT853" s="28"/>
      <c r="KX853" s="28"/>
      <c r="LB853" s="28"/>
      <c r="LF853" s="28"/>
      <c r="LJ853" s="28"/>
    </row>
    <row r="854" spans="1:322" ht="13.2">
      <c r="A854" s="42"/>
      <c r="B854" s="42"/>
      <c r="C854" s="42"/>
      <c r="D854" s="52"/>
      <c r="E854" s="52"/>
      <c r="O854" s="43"/>
      <c r="AL854" s="44"/>
      <c r="AM854" s="44"/>
      <c r="AN854" s="44"/>
      <c r="AO854" s="44"/>
      <c r="AP854" s="44"/>
      <c r="AQ854" s="44"/>
      <c r="AR854" s="44"/>
      <c r="AS854" s="44"/>
      <c r="AT854" s="45"/>
      <c r="AY854" s="45"/>
      <c r="BH854" s="45"/>
      <c r="BK854" s="45"/>
      <c r="BT854" s="45"/>
      <c r="BU854" s="45"/>
      <c r="CK854" s="10"/>
      <c r="EF854" s="20"/>
      <c r="FD854" s="21"/>
      <c r="FE854" s="21"/>
      <c r="FN854" s="22"/>
      <c r="FO854" s="22"/>
      <c r="FZ854" s="23"/>
      <c r="GA854" s="23"/>
      <c r="JD854" s="26"/>
      <c r="JE854" s="26"/>
      <c r="JF854" s="27"/>
      <c r="JG854" s="27"/>
      <c r="KL854" s="28"/>
      <c r="KP854" s="28"/>
      <c r="KT854" s="28"/>
      <c r="KX854" s="28"/>
      <c r="LB854" s="28"/>
      <c r="LF854" s="28"/>
      <c r="LJ854" s="28"/>
    </row>
    <row r="855" spans="1:322" ht="13.2">
      <c r="A855" s="42"/>
      <c r="B855" s="42"/>
      <c r="C855" s="42"/>
      <c r="D855" s="52"/>
      <c r="E855" s="52"/>
      <c r="O855" s="43"/>
      <c r="AL855" s="44"/>
      <c r="AM855" s="44"/>
      <c r="AN855" s="44"/>
      <c r="AO855" s="44"/>
      <c r="AP855" s="44"/>
      <c r="AQ855" s="44"/>
      <c r="AR855" s="44"/>
      <c r="AS855" s="44"/>
      <c r="AT855" s="45"/>
      <c r="AY855" s="45"/>
      <c r="BH855" s="45"/>
      <c r="BK855" s="45"/>
      <c r="BT855" s="45"/>
      <c r="BU855" s="45"/>
      <c r="CK855" s="10"/>
      <c r="EF855" s="20"/>
      <c r="FD855" s="21"/>
      <c r="FE855" s="21"/>
      <c r="FN855" s="22"/>
      <c r="FO855" s="22"/>
      <c r="FZ855" s="23"/>
      <c r="GA855" s="23"/>
      <c r="JD855" s="26"/>
      <c r="JE855" s="26"/>
      <c r="JF855" s="27"/>
      <c r="JG855" s="27"/>
      <c r="KL855" s="28"/>
      <c r="KP855" s="28"/>
      <c r="KT855" s="28"/>
      <c r="KX855" s="28"/>
      <c r="LB855" s="28"/>
      <c r="LF855" s="28"/>
      <c r="LJ855" s="28"/>
    </row>
    <row r="856" spans="1:322" ht="13.2">
      <c r="A856" s="42"/>
      <c r="B856" s="42"/>
      <c r="C856" s="42"/>
      <c r="D856" s="52"/>
      <c r="E856" s="52"/>
      <c r="O856" s="43"/>
      <c r="AL856" s="44"/>
      <c r="AM856" s="44"/>
      <c r="AN856" s="44"/>
      <c r="AO856" s="44"/>
      <c r="AP856" s="44"/>
      <c r="AQ856" s="44"/>
      <c r="AR856" s="44"/>
      <c r="AS856" s="44"/>
      <c r="AT856" s="45"/>
      <c r="AY856" s="45"/>
      <c r="BH856" s="45"/>
      <c r="BK856" s="45"/>
      <c r="BT856" s="45"/>
      <c r="BU856" s="45"/>
      <c r="CK856" s="10"/>
      <c r="EF856" s="20"/>
      <c r="FD856" s="21"/>
      <c r="FE856" s="21"/>
      <c r="FN856" s="22"/>
      <c r="FO856" s="22"/>
      <c r="FZ856" s="23"/>
      <c r="GA856" s="23"/>
      <c r="JD856" s="26"/>
      <c r="JE856" s="26"/>
      <c r="JF856" s="27"/>
      <c r="JG856" s="27"/>
      <c r="KL856" s="28"/>
      <c r="KP856" s="28"/>
      <c r="KT856" s="28"/>
      <c r="KX856" s="28"/>
      <c r="LB856" s="28"/>
      <c r="LF856" s="28"/>
      <c r="LJ856" s="28"/>
    </row>
    <row r="857" spans="1:322" ht="13.2">
      <c r="A857" s="42"/>
      <c r="B857" s="42"/>
      <c r="C857" s="42"/>
      <c r="D857" s="52"/>
      <c r="E857" s="52"/>
      <c r="O857" s="43"/>
      <c r="AL857" s="44"/>
      <c r="AM857" s="44"/>
      <c r="AN857" s="44"/>
      <c r="AO857" s="44"/>
      <c r="AP857" s="44"/>
      <c r="AQ857" s="44"/>
      <c r="AR857" s="44"/>
      <c r="AS857" s="44"/>
      <c r="AT857" s="45"/>
      <c r="AY857" s="45"/>
      <c r="BH857" s="45"/>
      <c r="BK857" s="45"/>
      <c r="BT857" s="45"/>
      <c r="BU857" s="45"/>
      <c r="CK857" s="10"/>
      <c r="EF857" s="20"/>
      <c r="FD857" s="21"/>
      <c r="FE857" s="21"/>
      <c r="FN857" s="22"/>
      <c r="FO857" s="22"/>
      <c r="FZ857" s="23"/>
      <c r="GA857" s="23"/>
      <c r="JD857" s="26"/>
      <c r="JE857" s="26"/>
      <c r="JF857" s="27"/>
      <c r="JG857" s="27"/>
      <c r="KL857" s="28"/>
      <c r="KP857" s="28"/>
      <c r="KT857" s="28"/>
      <c r="KX857" s="28"/>
      <c r="LB857" s="28"/>
      <c r="LF857" s="28"/>
      <c r="LJ857" s="28"/>
    </row>
    <row r="858" spans="1:322" ht="13.2">
      <c r="A858" s="42"/>
      <c r="B858" s="42"/>
      <c r="C858" s="42"/>
      <c r="D858" s="52"/>
      <c r="E858" s="52"/>
      <c r="O858" s="43"/>
      <c r="AL858" s="44"/>
      <c r="AM858" s="44"/>
      <c r="AN858" s="44"/>
      <c r="AO858" s="44"/>
      <c r="AP858" s="44"/>
      <c r="AQ858" s="44"/>
      <c r="AR858" s="44"/>
      <c r="AS858" s="44"/>
      <c r="AT858" s="45"/>
      <c r="AY858" s="45"/>
      <c r="BH858" s="45"/>
      <c r="BK858" s="45"/>
      <c r="BT858" s="45"/>
      <c r="BU858" s="45"/>
      <c r="CK858" s="10"/>
      <c r="EF858" s="20"/>
      <c r="FD858" s="21"/>
      <c r="FE858" s="21"/>
      <c r="FN858" s="22"/>
      <c r="FO858" s="22"/>
      <c r="FZ858" s="23"/>
      <c r="GA858" s="23"/>
      <c r="JD858" s="26"/>
      <c r="JE858" s="26"/>
      <c r="JF858" s="27"/>
      <c r="JG858" s="27"/>
      <c r="KL858" s="28"/>
      <c r="KP858" s="28"/>
      <c r="KT858" s="28"/>
      <c r="KX858" s="28"/>
      <c r="LB858" s="28"/>
      <c r="LF858" s="28"/>
      <c r="LJ858" s="28"/>
    </row>
    <row r="859" spans="1:322" ht="13.2">
      <c r="A859" s="42"/>
      <c r="B859" s="42"/>
      <c r="C859" s="42"/>
      <c r="D859" s="52"/>
      <c r="E859" s="52"/>
      <c r="O859" s="43"/>
      <c r="AL859" s="44"/>
      <c r="AM859" s="44"/>
      <c r="AN859" s="44"/>
      <c r="AO859" s="44"/>
      <c r="AP859" s="44"/>
      <c r="AQ859" s="44"/>
      <c r="AR859" s="44"/>
      <c r="AS859" s="44"/>
      <c r="AT859" s="45"/>
      <c r="AY859" s="45"/>
      <c r="BH859" s="45"/>
      <c r="BK859" s="45"/>
      <c r="BT859" s="45"/>
      <c r="BU859" s="45"/>
      <c r="CK859" s="10"/>
      <c r="EF859" s="20"/>
      <c r="FD859" s="21"/>
      <c r="FE859" s="21"/>
      <c r="FN859" s="22"/>
      <c r="FO859" s="22"/>
      <c r="FZ859" s="23"/>
      <c r="GA859" s="23"/>
      <c r="JD859" s="26"/>
      <c r="JE859" s="26"/>
      <c r="JF859" s="27"/>
      <c r="JG859" s="27"/>
      <c r="KL859" s="28"/>
      <c r="KP859" s="28"/>
      <c r="KT859" s="28"/>
      <c r="KX859" s="28"/>
      <c r="LB859" s="28"/>
      <c r="LF859" s="28"/>
      <c r="LJ859" s="28"/>
    </row>
    <row r="860" spans="1:322" ht="13.2">
      <c r="A860" s="42"/>
      <c r="B860" s="42"/>
      <c r="C860" s="42"/>
      <c r="D860" s="52"/>
      <c r="E860" s="52"/>
      <c r="O860" s="43"/>
      <c r="AL860" s="44"/>
      <c r="AM860" s="44"/>
      <c r="AN860" s="44"/>
      <c r="AO860" s="44"/>
      <c r="AP860" s="44"/>
      <c r="AQ860" s="44"/>
      <c r="AR860" s="44"/>
      <c r="AS860" s="44"/>
      <c r="AT860" s="45"/>
      <c r="AY860" s="45"/>
      <c r="BH860" s="45"/>
      <c r="BK860" s="45"/>
      <c r="BT860" s="45"/>
      <c r="BU860" s="45"/>
      <c r="CK860" s="10"/>
      <c r="EF860" s="20"/>
      <c r="FD860" s="21"/>
      <c r="FE860" s="21"/>
      <c r="FN860" s="22"/>
      <c r="FO860" s="22"/>
      <c r="FZ860" s="23"/>
      <c r="GA860" s="23"/>
      <c r="JD860" s="26"/>
      <c r="JE860" s="26"/>
      <c r="JF860" s="27"/>
      <c r="JG860" s="27"/>
      <c r="KL860" s="28"/>
      <c r="KP860" s="28"/>
      <c r="KT860" s="28"/>
      <c r="KX860" s="28"/>
      <c r="LB860" s="28"/>
      <c r="LF860" s="28"/>
      <c r="LJ860" s="28"/>
    </row>
    <row r="861" spans="1:322" ht="13.2">
      <c r="A861" s="42"/>
      <c r="B861" s="42"/>
      <c r="C861" s="42"/>
      <c r="D861" s="52"/>
      <c r="E861" s="52"/>
      <c r="O861" s="43"/>
      <c r="AL861" s="44"/>
      <c r="AM861" s="44"/>
      <c r="AN861" s="44"/>
      <c r="AO861" s="44"/>
      <c r="AP861" s="44"/>
      <c r="AQ861" s="44"/>
      <c r="AR861" s="44"/>
      <c r="AS861" s="44"/>
      <c r="AT861" s="45"/>
      <c r="AY861" s="45"/>
      <c r="BH861" s="45"/>
      <c r="BK861" s="45"/>
      <c r="BT861" s="45"/>
      <c r="BU861" s="45"/>
      <c r="CK861" s="10"/>
      <c r="EF861" s="20"/>
      <c r="FD861" s="21"/>
      <c r="FE861" s="21"/>
      <c r="FN861" s="22"/>
      <c r="FO861" s="22"/>
      <c r="FZ861" s="23"/>
      <c r="GA861" s="23"/>
      <c r="JD861" s="26"/>
      <c r="JE861" s="26"/>
      <c r="JF861" s="27"/>
      <c r="JG861" s="27"/>
      <c r="KL861" s="28"/>
      <c r="KP861" s="28"/>
      <c r="KT861" s="28"/>
      <c r="KX861" s="28"/>
      <c r="LB861" s="28"/>
      <c r="LF861" s="28"/>
      <c r="LJ861" s="28"/>
    </row>
    <row r="862" spans="1:322" ht="13.2">
      <c r="A862" s="42"/>
      <c r="B862" s="42"/>
      <c r="C862" s="42"/>
      <c r="D862" s="52"/>
      <c r="E862" s="52"/>
      <c r="O862" s="43"/>
      <c r="AL862" s="44"/>
      <c r="AM862" s="44"/>
      <c r="AN862" s="44"/>
      <c r="AO862" s="44"/>
      <c r="AP862" s="44"/>
      <c r="AQ862" s="44"/>
      <c r="AR862" s="44"/>
      <c r="AS862" s="44"/>
      <c r="AT862" s="45"/>
      <c r="AY862" s="45"/>
      <c r="BH862" s="45"/>
      <c r="BK862" s="45"/>
      <c r="BT862" s="45"/>
      <c r="BU862" s="45"/>
      <c r="CK862" s="10"/>
      <c r="EF862" s="20"/>
      <c r="FD862" s="21"/>
      <c r="FE862" s="21"/>
      <c r="FN862" s="22"/>
      <c r="FO862" s="22"/>
      <c r="FZ862" s="23"/>
      <c r="GA862" s="23"/>
      <c r="JD862" s="26"/>
      <c r="JE862" s="26"/>
      <c r="JF862" s="27"/>
      <c r="JG862" s="27"/>
      <c r="KL862" s="28"/>
      <c r="KP862" s="28"/>
      <c r="KT862" s="28"/>
      <c r="KX862" s="28"/>
      <c r="LB862" s="28"/>
      <c r="LF862" s="28"/>
      <c r="LJ862" s="28"/>
    </row>
    <row r="863" spans="1:322" ht="13.2">
      <c r="A863" s="42"/>
      <c r="B863" s="42"/>
      <c r="C863" s="42"/>
      <c r="D863" s="52"/>
      <c r="E863" s="52"/>
      <c r="O863" s="43"/>
      <c r="AL863" s="44"/>
      <c r="AM863" s="44"/>
      <c r="AN863" s="44"/>
      <c r="AO863" s="44"/>
      <c r="AP863" s="44"/>
      <c r="AQ863" s="44"/>
      <c r="AR863" s="44"/>
      <c r="AS863" s="44"/>
      <c r="AT863" s="45"/>
      <c r="AY863" s="45"/>
      <c r="BH863" s="45"/>
      <c r="BK863" s="45"/>
      <c r="BT863" s="45"/>
      <c r="BU863" s="45"/>
      <c r="CK863" s="10"/>
      <c r="EF863" s="20"/>
      <c r="FD863" s="21"/>
      <c r="FE863" s="21"/>
      <c r="FN863" s="22"/>
      <c r="FO863" s="22"/>
      <c r="FZ863" s="23"/>
      <c r="GA863" s="23"/>
      <c r="JD863" s="26"/>
      <c r="JE863" s="26"/>
      <c r="JF863" s="27"/>
      <c r="JG863" s="27"/>
      <c r="KL863" s="28"/>
      <c r="KP863" s="28"/>
      <c r="KT863" s="28"/>
      <c r="KX863" s="28"/>
      <c r="LB863" s="28"/>
      <c r="LF863" s="28"/>
      <c r="LJ863" s="28"/>
    </row>
    <row r="864" spans="1:322" ht="13.2">
      <c r="A864" s="42"/>
      <c r="B864" s="42"/>
      <c r="C864" s="42"/>
      <c r="D864" s="52"/>
      <c r="E864" s="52"/>
      <c r="O864" s="43"/>
      <c r="AL864" s="44"/>
      <c r="AM864" s="44"/>
      <c r="AN864" s="44"/>
      <c r="AO864" s="44"/>
      <c r="AP864" s="44"/>
      <c r="AQ864" s="44"/>
      <c r="AR864" s="44"/>
      <c r="AS864" s="44"/>
      <c r="AT864" s="45"/>
      <c r="AY864" s="45"/>
      <c r="BH864" s="45"/>
      <c r="BK864" s="45"/>
      <c r="BT864" s="45"/>
      <c r="BU864" s="45"/>
      <c r="CK864" s="10"/>
      <c r="EF864" s="20"/>
      <c r="FD864" s="21"/>
      <c r="FE864" s="21"/>
      <c r="FN864" s="22"/>
      <c r="FO864" s="22"/>
      <c r="FZ864" s="23"/>
      <c r="GA864" s="23"/>
      <c r="JD864" s="26"/>
      <c r="JE864" s="26"/>
      <c r="JF864" s="27"/>
      <c r="JG864" s="27"/>
      <c r="KL864" s="28"/>
      <c r="KP864" s="28"/>
      <c r="KT864" s="28"/>
      <c r="KX864" s="28"/>
      <c r="LB864" s="28"/>
      <c r="LF864" s="28"/>
      <c r="LJ864" s="28"/>
    </row>
    <row r="865" spans="1:322" ht="13.2">
      <c r="A865" s="42"/>
      <c r="B865" s="42"/>
      <c r="C865" s="42"/>
      <c r="D865" s="52"/>
      <c r="E865" s="52"/>
      <c r="O865" s="43"/>
      <c r="AL865" s="44"/>
      <c r="AM865" s="44"/>
      <c r="AN865" s="44"/>
      <c r="AO865" s="44"/>
      <c r="AP865" s="44"/>
      <c r="AQ865" s="44"/>
      <c r="AR865" s="44"/>
      <c r="AS865" s="44"/>
      <c r="AT865" s="45"/>
      <c r="AY865" s="45"/>
      <c r="BH865" s="45"/>
      <c r="BK865" s="45"/>
      <c r="BT865" s="45"/>
      <c r="BU865" s="45"/>
      <c r="CK865" s="10"/>
      <c r="EF865" s="20"/>
      <c r="FD865" s="21"/>
      <c r="FE865" s="21"/>
      <c r="FN865" s="22"/>
      <c r="FO865" s="22"/>
      <c r="FZ865" s="23"/>
      <c r="GA865" s="23"/>
      <c r="JD865" s="26"/>
      <c r="JE865" s="26"/>
      <c r="JF865" s="27"/>
      <c r="JG865" s="27"/>
      <c r="KL865" s="28"/>
      <c r="KP865" s="28"/>
      <c r="KT865" s="28"/>
      <c r="KX865" s="28"/>
      <c r="LB865" s="28"/>
      <c r="LF865" s="28"/>
      <c r="LJ865" s="28"/>
    </row>
    <row r="866" spans="1:322" ht="13.2">
      <c r="A866" s="42"/>
      <c r="B866" s="42"/>
      <c r="C866" s="42"/>
      <c r="D866" s="52"/>
      <c r="E866" s="52"/>
      <c r="O866" s="43"/>
      <c r="AL866" s="44"/>
      <c r="AM866" s="44"/>
      <c r="AN866" s="44"/>
      <c r="AO866" s="44"/>
      <c r="AP866" s="44"/>
      <c r="AQ866" s="44"/>
      <c r="AR866" s="44"/>
      <c r="AS866" s="44"/>
      <c r="AT866" s="45"/>
      <c r="AY866" s="45"/>
      <c r="BH866" s="45"/>
      <c r="BK866" s="45"/>
      <c r="BT866" s="45"/>
      <c r="BU866" s="45"/>
      <c r="CK866" s="10"/>
      <c r="EF866" s="20"/>
      <c r="FD866" s="21"/>
      <c r="FE866" s="21"/>
      <c r="FN866" s="22"/>
      <c r="FO866" s="22"/>
      <c r="FZ866" s="23"/>
      <c r="GA866" s="23"/>
      <c r="JD866" s="26"/>
      <c r="JE866" s="26"/>
      <c r="JF866" s="27"/>
      <c r="JG866" s="27"/>
      <c r="KL866" s="28"/>
      <c r="KP866" s="28"/>
      <c r="KT866" s="28"/>
      <c r="KX866" s="28"/>
      <c r="LB866" s="28"/>
      <c r="LF866" s="28"/>
      <c r="LJ866" s="28"/>
    </row>
    <row r="867" spans="1:322" ht="13.2">
      <c r="A867" s="42"/>
      <c r="B867" s="42"/>
      <c r="C867" s="42"/>
      <c r="D867" s="52"/>
      <c r="E867" s="52"/>
      <c r="O867" s="43"/>
      <c r="AL867" s="44"/>
      <c r="AM867" s="44"/>
      <c r="AN867" s="44"/>
      <c r="AO867" s="44"/>
      <c r="AP867" s="44"/>
      <c r="AQ867" s="44"/>
      <c r="AR867" s="44"/>
      <c r="AS867" s="44"/>
      <c r="AT867" s="45"/>
      <c r="AY867" s="45"/>
      <c r="BH867" s="45"/>
      <c r="BK867" s="45"/>
      <c r="BT867" s="45"/>
      <c r="BU867" s="45"/>
      <c r="CK867" s="10"/>
      <c r="EF867" s="20"/>
      <c r="FD867" s="21"/>
      <c r="FE867" s="21"/>
      <c r="FN867" s="22"/>
      <c r="FO867" s="22"/>
      <c r="FZ867" s="23"/>
      <c r="GA867" s="23"/>
      <c r="JD867" s="26"/>
      <c r="JE867" s="26"/>
      <c r="JF867" s="27"/>
      <c r="JG867" s="27"/>
      <c r="KL867" s="28"/>
      <c r="KP867" s="28"/>
      <c r="KT867" s="28"/>
      <c r="KX867" s="28"/>
      <c r="LB867" s="28"/>
      <c r="LF867" s="28"/>
      <c r="LJ867" s="28"/>
    </row>
    <row r="868" spans="1:322" ht="13.2">
      <c r="A868" s="42"/>
      <c r="B868" s="42"/>
      <c r="C868" s="42"/>
      <c r="D868" s="52"/>
      <c r="E868" s="52"/>
      <c r="O868" s="43"/>
      <c r="AL868" s="44"/>
      <c r="AM868" s="44"/>
      <c r="AN868" s="44"/>
      <c r="AO868" s="44"/>
      <c r="AP868" s="44"/>
      <c r="AQ868" s="44"/>
      <c r="AR868" s="44"/>
      <c r="AS868" s="44"/>
      <c r="AT868" s="45"/>
      <c r="AY868" s="45"/>
      <c r="BH868" s="45"/>
      <c r="BK868" s="45"/>
      <c r="BT868" s="45"/>
      <c r="BU868" s="45"/>
      <c r="CK868" s="10"/>
      <c r="EF868" s="20"/>
      <c r="FD868" s="21"/>
      <c r="FE868" s="21"/>
      <c r="FN868" s="22"/>
      <c r="FO868" s="22"/>
      <c r="FZ868" s="23"/>
      <c r="GA868" s="23"/>
      <c r="JD868" s="26"/>
      <c r="JE868" s="26"/>
      <c r="JF868" s="27"/>
      <c r="JG868" s="27"/>
      <c r="KL868" s="28"/>
      <c r="KP868" s="28"/>
      <c r="KT868" s="28"/>
      <c r="KX868" s="28"/>
      <c r="LB868" s="28"/>
      <c r="LF868" s="28"/>
      <c r="LJ868" s="28"/>
    </row>
    <row r="869" spans="1:322" ht="13.2">
      <c r="A869" s="42"/>
      <c r="B869" s="42"/>
      <c r="C869" s="42"/>
      <c r="D869" s="52"/>
      <c r="E869" s="52"/>
      <c r="O869" s="43"/>
      <c r="AL869" s="44"/>
      <c r="AM869" s="44"/>
      <c r="AN869" s="44"/>
      <c r="AO869" s="44"/>
      <c r="AP869" s="44"/>
      <c r="AQ869" s="44"/>
      <c r="AR869" s="44"/>
      <c r="AS869" s="44"/>
      <c r="AT869" s="45"/>
      <c r="AY869" s="45"/>
      <c r="BH869" s="45"/>
      <c r="BK869" s="45"/>
      <c r="BT869" s="45"/>
      <c r="BU869" s="45"/>
      <c r="CK869" s="10"/>
      <c r="EF869" s="20"/>
      <c r="FD869" s="21"/>
      <c r="FE869" s="21"/>
      <c r="FN869" s="22"/>
      <c r="FO869" s="22"/>
      <c r="FZ869" s="23"/>
      <c r="GA869" s="23"/>
      <c r="JD869" s="26"/>
      <c r="JE869" s="26"/>
      <c r="JF869" s="27"/>
      <c r="JG869" s="27"/>
      <c r="KL869" s="28"/>
      <c r="KP869" s="28"/>
      <c r="KT869" s="28"/>
      <c r="KX869" s="28"/>
      <c r="LB869" s="28"/>
      <c r="LF869" s="28"/>
      <c r="LJ869" s="28"/>
    </row>
    <row r="870" spans="1:322" ht="13.2">
      <c r="A870" s="42"/>
      <c r="B870" s="42"/>
      <c r="C870" s="42"/>
      <c r="D870" s="52"/>
      <c r="E870" s="52"/>
      <c r="O870" s="43"/>
      <c r="AL870" s="44"/>
      <c r="AM870" s="44"/>
      <c r="AN870" s="44"/>
      <c r="AO870" s="44"/>
      <c r="AP870" s="44"/>
      <c r="AQ870" s="44"/>
      <c r="AR870" s="44"/>
      <c r="AS870" s="44"/>
      <c r="AT870" s="45"/>
      <c r="AY870" s="45"/>
      <c r="BH870" s="45"/>
      <c r="BK870" s="45"/>
      <c r="BT870" s="45"/>
      <c r="BU870" s="45"/>
      <c r="CK870" s="10"/>
      <c r="EF870" s="20"/>
      <c r="FD870" s="21"/>
      <c r="FE870" s="21"/>
      <c r="FN870" s="22"/>
      <c r="FO870" s="22"/>
      <c r="FZ870" s="23"/>
      <c r="GA870" s="23"/>
      <c r="JD870" s="26"/>
      <c r="JE870" s="26"/>
      <c r="JF870" s="27"/>
      <c r="JG870" s="27"/>
      <c r="KL870" s="28"/>
      <c r="KP870" s="28"/>
      <c r="KT870" s="28"/>
      <c r="KX870" s="28"/>
      <c r="LB870" s="28"/>
      <c r="LF870" s="28"/>
      <c r="LJ870" s="28"/>
    </row>
    <row r="871" spans="1:322" ht="13.2">
      <c r="A871" s="42"/>
      <c r="B871" s="42"/>
      <c r="C871" s="42"/>
      <c r="D871" s="52"/>
      <c r="E871" s="52"/>
      <c r="O871" s="43"/>
      <c r="AL871" s="44"/>
      <c r="AM871" s="44"/>
      <c r="AN871" s="44"/>
      <c r="AO871" s="44"/>
      <c r="AP871" s="44"/>
      <c r="AQ871" s="44"/>
      <c r="AR871" s="44"/>
      <c r="AS871" s="44"/>
      <c r="AT871" s="45"/>
      <c r="AY871" s="45"/>
      <c r="BH871" s="45"/>
      <c r="BK871" s="45"/>
      <c r="BT871" s="45"/>
      <c r="BU871" s="45"/>
      <c r="CK871" s="10"/>
      <c r="EF871" s="20"/>
      <c r="FD871" s="21"/>
      <c r="FE871" s="21"/>
      <c r="FN871" s="22"/>
      <c r="FO871" s="22"/>
      <c r="FZ871" s="23"/>
      <c r="GA871" s="23"/>
      <c r="JD871" s="26"/>
      <c r="JE871" s="26"/>
      <c r="JF871" s="27"/>
      <c r="JG871" s="27"/>
      <c r="KL871" s="28"/>
      <c r="KP871" s="28"/>
      <c r="KT871" s="28"/>
      <c r="KX871" s="28"/>
      <c r="LB871" s="28"/>
      <c r="LF871" s="28"/>
      <c r="LJ871" s="28"/>
    </row>
    <row r="872" spans="1:322" ht="13.2">
      <c r="A872" s="42"/>
      <c r="B872" s="42"/>
      <c r="C872" s="42"/>
      <c r="D872" s="52"/>
      <c r="E872" s="52"/>
      <c r="O872" s="43"/>
      <c r="AL872" s="44"/>
      <c r="AM872" s="44"/>
      <c r="AN872" s="44"/>
      <c r="AO872" s="44"/>
      <c r="AP872" s="44"/>
      <c r="AQ872" s="44"/>
      <c r="AR872" s="44"/>
      <c r="AS872" s="44"/>
      <c r="AT872" s="45"/>
      <c r="AY872" s="45"/>
      <c r="BH872" s="45"/>
      <c r="BK872" s="45"/>
      <c r="BT872" s="45"/>
      <c r="BU872" s="45"/>
      <c r="CK872" s="10"/>
      <c r="EF872" s="20"/>
      <c r="FD872" s="21"/>
      <c r="FE872" s="21"/>
      <c r="FN872" s="22"/>
      <c r="FO872" s="22"/>
      <c r="FZ872" s="23"/>
      <c r="GA872" s="23"/>
      <c r="JD872" s="26"/>
      <c r="JE872" s="26"/>
      <c r="JF872" s="27"/>
      <c r="JG872" s="27"/>
      <c r="KL872" s="28"/>
      <c r="KP872" s="28"/>
      <c r="KT872" s="28"/>
      <c r="KX872" s="28"/>
      <c r="LB872" s="28"/>
      <c r="LF872" s="28"/>
      <c r="LJ872" s="28"/>
    </row>
    <row r="873" spans="1:322" ht="13.2">
      <c r="A873" s="42"/>
      <c r="B873" s="42"/>
      <c r="C873" s="42"/>
      <c r="D873" s="52"/>
      <c r="E873" s="52"/>
      <c r="O873" s="43"/>
      <c r="AL873" s="44"/>
      <c r="AM873" s="44"/>
      <c r="AN873" s="44"/>
      <c r="AO873" s="44"/>
      <c r="AP873" s="44"/>
      <c r="AQ873" s="44"/>
      <c r="AR873" s="44"/>
      <c r="AS873" s="44"/>
      <c r="AT873" s="45"/>
      <c r="AY873" s="45"/>
      <c r="BH873" s="45"/>
      <c r="BK873" s="45"/>
      <c r="BT873" s="45"/>
      <c r="BU873" s="45"/>
      <c r="CK873" s="10"/>
      <c r="EF873" s="20"/>
      <c r="FD873" s="21"/>
      <c r="FE873" s="21"/>
      <c r="FN873" s="22"/>
      <c r="FO873" s="22"/>
      <c r="FZ873" s="23"/>
      <c r="GA873" s="23"/>
      <c r="JD873" s="26"/>
      <c r="JE873" s="26"/>
      <c r="JF873" s="27"/>
      <c r="JG873" s="27"/>
      <c r="KL873" s="28"/>
      <c r="KP873" s="28"/>
      <c r="KT873" s="28"/>
      <c r="KX873" s="28"/>
      <c r="LB873" s="28"/>
      <c r="LF873" s="28"/>
      <c r="LJ873" s="28"/>
    </row>
    <row r="874" spans="1:322" ht="13.2">
      <c r="A874" s="42"/>
      <c r="B874" s="42"/>
      <c r="C874" s="42"/>
      <c r="D874" s="52"/>
      <c r="E874" s="52"/>
      <c r="O874" s="43"/>
      <c r="AL874" s="44"/>
      <c r="AM874" s="44"/>
      <c r="AN874" s="44"/>
      <c r="AO874" s="44"/>
      <c r="AP874" s="44"/>
      <c r="AQ874" s="44"/>
      <c r="AR874" s="44"/>
      <c r="AS874" s="44"/>
      <c r="AT874" s="45"/>
      <c r="AY874" s="45"/>
      <c r="BH874" s="45"/>
      <c r="BK874" s="45"/>
      <c r="BT874" s="45"/>
      <c r="BU874" s="45"/>
      <c r="CK874" s="10"/>
      <c r="EF874" s="20"/>
      <c r="FD874" s="21"/>
      <c r="FE874" s="21"/>
      <c r="FN874" s="22"/>
      <c r="FO874" s="22"/>
      <c r="FZ874" s="23"/>
      <c r="GA874" s="23"/>
      <c r="JD874" s="26"/>
      <c r="JE874" s="26"/>
      <c r="JF874" s="27"/>
      <c r="JG874" s="27"/>
      <c r="KL874" s="28"/>
      <c r="KP874" s="28"/>
      <c r="KT874" s="28"/>
      <c r="KX874" s="28"/>
      <c r="LB874" s="28"/>
      <c r="LF874" s="28"/>
      <c r="LJ874" s="28"/>
    </row>
    <row r="875" spans="1:322" ht="13.2">
      <c r="A875" s="42"/>
      <c r="B875" s="42"/>
      <c r="C875" s="42"/>
      <c r="D875" s="52"/>
      <c r="E875" s="52"/>
      <c r="O875" s="43"/>
      <c r="AL875" s="44"/>
      <c r="AM875" s="44"/>
      <c r="AN875" s="44"/>
      <c r="AO875" s="44"/>
      <c r="AP875" s="44"/>
      <c r="AQ875" s="44"/>
      <c r="AR875" s="44"/>
      <c r="AS875" s="44"/>
      <c r="AT875" s="45"/>
      <c r="AY875" s="45"/>
      <c r="BH875" s="45"/>
      <c r="BK875" s="45"/>
      <c r="BT875" s="45"/>
      <c r="BU875" s="45"/>
      <c r="CK875" s="10"/>
      <c r="EF875" s="20"/>
      <c r="FD875" s="21"/>
      <c r="FE875" s="21"/>
      <c r="FN875" s="22"/>
      <c r="FO875" s="22"/>
      <c r="FZ875" s="23"/>
      <c r="GA875" s="23"/>
      <c r="JD875" s="26"/>
      <c r="JE875" s="26"/>
      <c r="JF875" s="27"/>
      <c r="JG875" s="27"/>
      <c r="KL875" s="28"/>
      <c r="KP875" s="28"/>
      <c r="KT875" s="28"/>
      <c r="KX875" s="28"/>
      <c r="LB875" s="28"/>
      <c r="LF875" s="28"/>
      <c r="LJ875" s="28"/>
    </row>
    <row r="876" spans="1:322" ht="13.2">
      <c r="A876" s="42"/>
      <c r="B876" s="42"/>
      <c r="C876" s="42"/>
      <c r="D876" s="52"/>
      <c r="E876" s="52"/>
      <c r="O876" s="43"/>
      <c r="AL876" s="44"/>
      <c r="AM876" s="44"/>
      <c r="AN876" s="44"/>
      <c r="AO876" s="44"/>
      <c r="AP876" s="44"/>
      <c r="AQ876" s="44"/>
      <c r="AR876" s="44"/>
      <c r="AS876" s="44"/>
      <c r="AT876" s="45"/>
      <c r="AY876" s="45"/>
      <c r="BH876" s="45"/>
      <c r="BK876" s="45"/>
      <c r="BT876" s="45"/>
      <c r="BU876" s="45"/>
      <c r="CK876" s="10"/>
      <c r="EF876" s="20"/>
      <c r="FD876" s="21"/>
      <c r="FE876" s="21"/>
      <c r="FN876" s="22"/>
      <c r="FO876" s="22"/>
      <c r="FZ876" s="23"/>
      <c r="GA876" s="23"/>
      <c r="JD876" s="26"/>
      <c r="JE876" s="26"/>
      <c r="JF876" s="27"/>
      <c r="JG876" s="27"/>
      <c r="KL876" s="28"/>
      <c r="KP876" s="28"/>
      <c r="KT876" s="28"/>
      <c r="KX876" s="28"/>
      <c r="LB876" s="28"/>
      <c r="LF876" s="28"/>
      <c r="LJ876" s="28"/>
    </row>
    <row r="877" spans="1:322" ht="13.2">
      <c r="A877" s="42"/>
      <c r="B877" s="42"/>
      <c r="C877" s="42"/>
      <c r="D877" s="52"/>
      <c r="E877" s="52"/>
      <c r="O877" s="43"/>
      <c r="AL877" s="44"/>
      <c r="AM877" s="44"/>
      <c r="AN877" s="44"/>
      <c r="AO877" s="44"/>
      <c r="AP877" s="44"/>
      <c r="AQ877" s="44"/>
      <c r="AR877" s="44"/>
      <c r="AS877" s="44"/>
      <c r="AT877" s="45"/>
      <c r="AY877" s="45"/>
      <c r="BH877" s="45"/>
      <c r="BK877" s="45"/>
      <c r="BT877" s="45"/>
      <c r="BU877" s="45"/>
      <c r="CK877" s="10"/>
      <c r="EF877" s="20"/>
      <c r="FD877" s="21"/>
      <c r="FE877" s="21"/>
      <c r="FN877" s="22"/>
      <c r="FO877" s="22"/>
      <c r="FZ877" s="23"/>
      <c r="GA877" s="23"/>
      <c r="JD877" s="26"/>
      <c r="JE877" s="26"/>
      <c r="JF877" s="27"/>
      <c r="JG877" s="27"/>
      <c r="KL877" s="28"/>
      <c r="KP877" s="28"/>
      <c r="KT877" s="28"/>
      <c r="KX877" s="28"/>
      <c r="LB877" s="28"/>
      <c r="LF877" s="28"/>
      <c r="LJ877" s="28"/>
    </row>
    <row r="878" spans="1:322" ht="13.2">
      <c r="A878" s="42"/>
      <c r="B878" s="42"/>
      <c r="C878" s="42"/>
      <c r="D878" s="52"/>
      <c r="E878" s="52"/>
      <c r="O878" s="43"/>
      <c r="AL878" s="44"/>
      <c r="AM878" s="44"/>
      <c r="AN878" s="44"/>
      <c r="AO878" s="44"/>
      <c r="AP878" s="44"/>
      <c r="AQ878" s="44"/>
      <c r="AR878" s="44"/>
      <c r="AS878" s="44"/>
      <c r="AT878" s="45"/>
      <c r="AY878" s="45"/>
      <c r="BH878" s="45"/>
      <c r="BK878" s="45"/>
      <c r="BT878" s="45"/>
      <c r="BU878" s="45"/>
      <c r="CK878" s="10"/>
      <c r="EF878" s="20"/>
      <c r="FD878" s="21"/>
      <c r="FE878" s="21"/>
      <c r="FN878" s="22"/>
      <c r="FO878" s="22"/>
      <c r="FZ878" s="23"/>
      <c r="GA878" s="23"/>
      <c r="JD878" s="26"/>
      <c r="JE878" s="26"/>
      <c r="JF878" s="27"/>
      <c r="JG878" s="27"/>
      <c r="KL878" s="28"/>
      <c r="KP878" s="28"/>
      <c r="KT878" s="28"/>
      <c r="KX878" s="28"/>
      <c r="LB878" s="28"/>
      <c r="LF878" s="28"/>
      <c r="LJ878" s="28"/>
    </row>
    <row r="879" spans="1:322" ht="13.2">
      <c r="A879" s="42"/>
      <c r="B879" s="42"/>
      <c r="C879" s="42"/>
      <c r="D879" s="52"/>
      <c r="E879" s="52"/>
      <c r="O879" s="43"/>
      <c r="AL879" s="44"/>
      <c r="AM879" s="44"/>
      <c r="AN879" s="44"/>
      <c r="AO879" s="44"/>
      <c r="AP879" s="44"/>
      <c r="AQ879" s="44"/>
      <c r="AR879" s="44"/>
      <c r="AS879" s="44"/>
      <c r="AT879" s="45"/>
      <c r="AY879" s="45"/>
      <c r="BH879" s="45"/>
      <c r="BK879" s="45"/>
      <c r="BT879" s="45"/>
      <c r="BU879" s="45"/>
      <c r="CK879" s="10"/>
      <c r="EF879" s="20"/>
      <c r="FD879" s="21"/>
      <c r="FE879" s="21"/>
      <c r="FN879" s="22"/>
      <c r="FO879" s="22"/>
      <c r="FZ879" s="23"/>
      <c r="GA879" s="23"/>
      <c r="JD879" s="26"/>
      <c r="JE879" s="26"/>
      <c r="JF879" s="27"/>
      <c r="JG879" s="27"/>
      <c r="KL879" s="28"/>
      <c r="KP879" s="28"/>
      <c r="KT879" s="28"/>
      <c r="KX879" s="28"/>
      <c r="LB879" s="28"/>
      <c r="LF879" s="28"/>
      <c r="LJ879" s="28"/>
    </row>
    <row r="880" spans="1:322" ht="13.2">
      <c r="A880" s="42"/>
      <c r="B880" s="42"/>
      <c r="C880" s="42"/>
      <c r="D880" s="52"/>
      <c r="E880" s="52"/>
      <c r="O880" s="43"/>
      <c r="AL880" s="44"/>
      <c r="AM880" s="44"/>
      <c r="AN880" s="44"/>
      <c r="AO880" s="44"/>
      <c r="AP880" s="44"/>
      <c r="AQ880" s="44"/>
      <c r="AR880" s="44"/>
      <c r="AS880" s="44"/>
      <c r="AT880" s="45"/>
      <c r="AY880" s="45"/>
      <c r="BH880" s="45"/>
      <c r="BK880" s="45"/>
      <c r="BT880" s="45"/>
      <c r="BU880" s="45"/>
      <c r="CK880" s="10"/>
      <c r="EF880" s="20"/>
      <c r="FD880" s="21"/>
      <c r="FE880" s="21"/>
      <c r="FN880" s="22"/>
      <c r="FO880" s="22"/>
      <c r="FZ880" s="23"/>
      <c r="GA880" s="23"/>
      <c r="JD880" s="26"/>
      <c r="JE880" s="26"/>
      <c r="JF880" s="27"/>
      <c r="JG880" s="27"/>
      <c r="KL880" s="28"/>
      <c r="KP880" s="28"/>
      <c r="KT880" s="28"/>
      <c r="KX880" s="28"/>
      <c r="LB880" s="28"/>
      <c r="LF880" s="28"/>
      <c r="LJ880" s="28"/>
    </row>
    <row r="881" spans="1:322" ht="13.2">
      <c r="A881" s="42"/>
      <c r="B881" s="42"/>
      <c r="C881" s="42"/>
      <c r="D881" s="52"/>
      <c r="E881" s="52"/>
      <c r="O881" s="43"/>
      <c r="AL881" s="44"/>
      <c r="AM881" s="44"/>
      <c r="AN881" s="44"/>
      <c r="AO881" s="44"/>
      <c r="AP881" s="44"/>
      <c r="AQ881" s="44"/>
      <c r="AR881" s="44"/>
      <c r="AS881" s="44"/>
      <c r="AT881" s="45"/>
      <c r="AY881" s="45"/>
      <c r="BH881" s="45"/>
      <c r="BK881" s="45"/>
      <c r="BT881" s="45"/>
      <c r="BU881" s="45"/>
      <c r="CK881" s="10"/>
      <c r="EF881" s="20"/>
      <c r="FD881" s="21"/>
      <c r="FE881" s="21"/>
      <c r="FN881" s="22"/>
      <c r="FO881" s="22"/>
      <c r="FZ881" s="23"/>
      <c r="GA881" s="23"/>
      <c r="JD881" s="26"/>
      <c r="JE881" s="26"/>
      <c r="JF881" s="27"/>
      <c r="JG881" s="27"/>
      <c r="KL881" s="28"/>
      <c r="KP881" s="28"/>
      <c r="KT881" s="28"/>
      <c r="KX881" s="28"/>
      <c r="LB881" s="28"/>
      <c r="LF881" s="28"/>
      <c r="LJ881" s="28"/>
    </row>
    <row r="882" spans="1:322" ht="13.2">
      <c r="A882" s="42"/>
      <c r="B882" s="42"/>
      <c r="C882" s="42"/>
      <c r="D882" s="52"/>
      <c r="E882" s="52"/>
      <c r="O882" s="43"/>
      <c r="AL882" s="44"/>
      <c r="AM882" s="44"/>
      <c r="AN882" s="44"/>
      <c r="AO882" s="44"/>
      <c r="AP882" s="44"/>
      <c r="AQ882" s="44"/>
      <c r="AR882" s="44"/>
      <c r="AS882" s="44"/>
      <c r="AT882" s="45"/>
      <c r="AY882" s="45"/>
      <c r="BH882" s="45"/>
      <c r="BK882" s="45"/>
      <c r="BT882" s="45"/>
      <c r="BU882" s="45"/>
      <c r="CK882" s="10"/>
      <c r="EF882" s="20"/>
      <c r="FD882" s="21"/>
      <c r="FE882" s="21"/>
      <c r="FN882" s="22"/>
      <c r="FO882" s="22"/>
      <c r="FZ882" s="23"/>
      <c r="GA882" s="23"/>
      <c r="JD882" s="26"/>
      <c r="JE882" s="26"/>
      <c r="JF882" s="27"/>
      <c r="JG882" s="27"/>
      <c r="KL882" s="28"/>
      <c r="KP882" s="28"/>
      <c r="KT882" s="28"/>
      <c r="KX882" s="28"/>
      <c r="LB882" s="28"/>
      <c r="LF882" s="28"/>
      <c r="LJ882" s="28"/>
    </row>
    <row r="883" spans="1:322" ht="13.2">
      <c r="A883" s="42"/>
      <c r="B883" s="42"/>
      <c r="C883" s="42"/>
      <c r="D883" s="52"/>
      <c r="E883" s="52"/>
      <c r="O883" s="43"/>
      <c r="AL883" s="44"/>
      <c r="AM883" s="44"/>
      <c r="AN883" s="44"/>
      <c r="AO883" s="44"/>
      <c r="AP883" s="44"/>
      <c r="AQ883" s="44"/>
      <c r="AR883" s="44"/>
      <c r="AS883" s="44"/>
      <c r="AT883" s="45"/>
      <c r="AY883" s="45"/>
      <c r="BH883" s="45"/>
      <c r="BK883" s="45"/>
      <c r="BT883" s="45"/>
      <c r="BU883" s="45"/>
      <c r="CK883" s="10"/>
      <c r="EF883" s="20"/>
      <c r="FD883" s="21"/>
      <c r="FE883" s="21"/>
      <c r="FN883" s="22"/>
      <c r="FO883" s="22"/>
      <c r="FZ883" s="23"/>
      <c r="GA883" s="23"/>
      <c r="JD883" s="26"/>
      <c r="JE883" s="26"/>
      <c r="JF883" s="27"/>
      <c r="JG883" s="27"/>
      <c r="KL883" s="28"/>
      <c r="KP883" s="28"/>
      <c r="KT883" s="28"/>
      <c r="KX883" s="28"/>
      <c r="LB883" s="28"/>
      <c r="LF883" s="28"/>
      <c r="LJ883" s="28"/>
    </row>
    <row r="884" spans="1:322" ht="13.2">
      <c r="A884" s="42"/>
      <c r="B884" s="42"/>
      <c r="C884" s="42"/>
      <c r="D884" s="52"/>
      <c r="E884" s="52"/>
      <c r="O884" s="43"/>
      <c r="AL884" s="44"/>
      <c r="AM884" s="44"/>
      <c r="AN884" s="44"/>
      <c r="AO884" s="44"/>
      <c r="AP884" s="44"/>
      <c r="AQ884" s="44"/>
      <c r="AR884" s="44"/>
      <c r="AS884" s="44"/>
      <c r="AT884" s="45"/>
      <c r="AY884" s="45"/>
      <c r="BH884" s="45"/>
      <c r="BK884" s="45"/>
      <c r="BT884" s="45"/>
      <c r="BU884" s="45"/>
      <c r="CK884" s="10"/>
      <c r="EF884" s="20"/>
      <c r="FD884" s="21"/>
      <c r="FE884" s="21"/>
      <c r="FN884" s="22"/>
      <c r="FO884" s="22"/>
      <c r="FZ884" s="23"/>
      <c r="GA884" s="23"/>
      <c r="JD884" s="26"/>
      <c r="JE884" s="26"/>
      <c r="JF884" s="27"/>
      <c r="JG884" s="27"/>
      <c r="KL884" s="28"/>
      <c r="KP884" s="28"/>
      <c r="KT884" s="28"/>
      <c r="KX884" s="28"/>
      <c r="LB884" s="28"/>
      <c r="LF884" s="28"/>
      <c r="LJ884" s="28"/>
    </row>
    <row r="885" spans="1:322" ht="13.2">
      <c r="A885" s="42"/>
      <c r="B885" s="42"/>
      <c r="C885" s="42"/>
      <c r="D885" s="52"/>
      <c r="E885" s="52"/>
      <c r="O885" s="43"/>
      <c r="AL885" s="44"/>
      <c r="AM885" s="44"/>
      <c r="AN885" s="44"/>
      <c r="AO885" s="44"/>
      <c r="AP885" s="44"/>
      <c r="AQ885" s="44"/>
      <c r="AR885" s="44"/>
      <c r="AS885" s="44"/>
      <c r="AT885" s="45"/>
      <c r="AY885" s="45"/>
      <c r="BH885" s="45"/>
      <c r="BK885" s="45"/>
      <c r="BT885" s="45"/>
      <c r="BU885" s="45"/>
      <c r="CK885" s="10"/>
      <c r="EF885" s="20"/>
      <c r="FD885" s="21"/>
      <c r="FE885" s="21"/>
      <c r="FN885" s="22"/>
      <c r="FO885" s="22"/>
      <c r="FZ885" s="23"/>
      <c r="GA885" s="23"/>
      <c r="JD885" s="26"/>
      <c r="JE885" s="26"/>
      <c r="JF885" s="27"/>
      <c r="JG885" s="27"/>
      <c r="KL885" s="28"/>
      <c r="KP885" s="28"/>
      <c r="KT885" s="28"/>
      <c r="KX885" s="28"/>
      <c r="LB885" s="28"/>
      <c r="LF885" s="28"/>
      <c r="LJ885" s="28"/>
    </row>
    <row r="886" spans="1:322" ht="13.2">
      <c r="A886" s="42"/>
      <c r="B886" s="42"/>
      <c r="C886" s="42"/>
      <c r="D886" s="52"/>
      <c r="E886" s="52"/>
      <c r="O886" s="43"/>
      <c r="AL886" s="44"/>
      <c r="AM886" s="44"/>
      <c r="AN886" s="44"/>
      <c r="AO886" s="44"/>
      <c r="AP886" s="44"/>
      <c r="AQ886" s="44"/>
      <c r="AR886" s="44"/>
      <c r="AS886" s="44"/>
      <c r="AT886" s="45"/>
      <c r="AY886" s="45"/>
      <c r="BH886" s="45"/>
      <c r="BK886" s="45"/>
      <c r="BT886" s="45"/>
      <c r="BU886" s="45"/>
      <c r="CK886" s="10"/>
      <c r="EF886" s="20"/>
      <c r="FD886" s="21"/>
      <c r="FE886" s="21"/>
      <c r="FN886" s="22"/>
      <c r="FO886" s="22"/>
      <c r="FZ886" s="23"/>
      <c r="GA886" s="23"/>
      <c r="JD886" s="26"/>
      <c r="JE886" s="26"/>
      <c r="JF886" s="27"/>
      <c r="JG886" s="27"/>
      <c r="KL886" s="28"/>
      <c r="KP886" s="28"/>
      <c r="KT886" s="28"/>
      <c r="KX886" s="28"/>
      <c r="LB886" s="28"/>
      <c r="LF886" s="28"/>
      <c r="LJ886" s="28"/>
    </row>
    <row r="887" spans="1:322" ht="13.2">
      <c r="A887" s="42"/>
      <c r="B887" s="42"/>
      <c r="C887" s="42"/>
      <c r="D887" s="52"/>
      <c r="E887" s="52"/>
      <c r="O887" s="43"/>
      <c r="AL887" s="44"/>
      <c r="AM887" s="44"/>
      <c r="AN887" s="44"/>
      <c r="AO887" s="44"/>
      <c r="AP887" s="44"/>
      <c r="AQ887" s="44"/>
      <c r="AR887" s="44"/>
      <c r="AS887" s="44"/>
      <c r="AT887" s="45"/>
      <c r="AY887" s="45"/>
      <c r="BH887" s="45"/>
      <c r="BK887" s="45"/>
      <c r="BT887" s="45"/>
      <c r="BU887" s="45"/>
      <c r="CK887" s="10"/>
      <c r="EF887" s="20"/>
      <c r="FD887" s="21"/>
      <c r="FE887" s="21"/>
      <c r="FN887" s="22"/>
      <c r="FO887" s="22"/>
      <c r="FZ887" s="23"/>
      <c r="GA887" s="23"/>
      <c r="JD887" s="26"/>
      <c r="JE887" s="26"/>
      <c r="JF887" s="27"/>
      <c r="JG887" s="27"/>
      <c r="KL887" s="28"/>
      <c r="KP887" s="28"/>
      <c r="KT887" s="28"/>
      <c r="KX887" s="28"/>
      <c r="LB887" s="28"/>
      <c r="LF887" s="28"/>
      <c r="LJ887" s="28"/>
    </row>
    <row r="888" spans="1:322" ht="13.2">
      <c r="A888" s="42"/>
      <c r="B888" s="42"/>
      <c r="C888" s="42"/>
      <c r="D888" s="52"/>
      <c r="E888" s="52"/>
      <c r="O888" s="43"/>
      <c r="AL888" s="44"/>
      <c r="AM888" s="44"/>
      <c r="AN888" s="44"/>
      <c r="AO888" s="44"/>
      <c r="AP888" s="44"/>
      <c r="AQ888" s="44"/>
      <c r="AR888" s="44"/>
      <c r="AS888" s="44"/>
      <c r="AT888" s="45"/>
      <c r="AY888" s="45"/>
      <c r="BH888" s="45"/>
      <c r="BK888" s="45"/>
      <c r="BT888" s="45"/>
      <c r="BU888" s="45"/>
      <c r="CK888" s="10"/>
      <c r="EF888" s="20"/>
      <c r="FD888" s="21"/>
      <c r="FE888" s="21"/>
      <c r="FN888" s="22"/>
      <c r="FO888" s="22"/>
      <c r="FZ888" s="23"/>
      <c r="GA888" s="23"/>
      <c r="JD888" s="26"/>
      <c r="JE888" s="26"/>
      <c r="JF888" s="27"/>
      <c r="JG888" s="27"/>
      <c r="KL888" s="28"/>
      <c r="KP888" s="28"/>
      <c r="KT888" s="28"/>
      <c r="KX888" s="28"/>
      <c r="LB888" s="28"/>
      <c r="LF888" s="28"/>
      <c r="LJ888" s="28"/>
    </row>
    <row r="889" spans="1:322" ht="13.2">
      <c r="A889" s="42"/>
      <c r="B889" s="42"/>
      <c r="C889" s="42"/>
      <c r="D889" s="52"/>
      <c r="E889" s="52"/>
      <c r="O889" s="43"/>
      <c r="AL889" s="44"/>
      <c r="AM889" s="44"/>
      <c r="AN889" s="44"/>
      <c r="AO889" s="44"/>
      <c r="AP889" s="44"/>
      <c r="AQ889" s="44"/>
      <c r="AR889" s="44"/>
      <c r="AS889" s="44"/>
      <c r="AT889" s="45"/>
      <c r="AY889" s="45"/>
      <c r="BH889" s="45"/>
      <c r="BK889" s="45"/>
      <c r="BT889" s="45"/>
      <c r="BU889" s="45"/>
      <c r="CK889" s="10"/>
      <c r="EF889" s="20"/>
      <c r="FD889" s="21"/>
      <c r="FE889" s="21"/>
      <c r="FN889" s="22"/>
      <c r="FO889" s="22"/>
      <c r="FZ889" s="23"/>
      <c r="GA889" s="23"/>
      <c r="JD889" s="26"/>
      <c r="JE889" s="26"/>
      <c r="JF889" s="27"/>
      <c r="JG889" s="27"/>
      <c r="KL889" s="28"/>
      <c r="KP889" s="28"/>
      <c r="KT889" s="28"/>
      <c r="KX889" s="28"/>
      <c r="LB889" s="28"/>
      <c r="LF889" s="28"/>
      <c r="LJ889" s="28"/>
    </row>
    <row r="890" spans="1:322" ht="13.2">
      <c r="A890" s="42"/>
      <c r="B890" s="42"/>
      <c r="C890" s="42"/>
      <c r="D890" s="52"/>
      <c r="E890" s="52"/>
      <c r="O890" s="43"/>
      <c r="AL890" s="44"/>
      <c r="AM890" s="44"/>
      <c r="AN890" s="44"/>
      <c r="AO890" s="44"/>
      <c r="AP890" s="44"/>
      <c r="AQ890" s="44"/>
      <c r="AR890" s="44"/>
      <c r="AS890" s="44"/>
      <c r="AT890" s="45"/>
      <c r="AY890" s="45"/>
      <c r="BH890" s="45"/>
      <c r="BK890" s="45"/>
      <c r="BT890" s="45"/>
      <c r="BU890" s="45"/>
      <c r="CK890" s="10"/>
      <c r="EF890" s="20"/>
      <c r="FD890" s="21"/>
      <c r="FE890" s="21"/>
      <c r="FN890" s="22"/>
      <c r="FO890" s="22"/>
      <c r="FZ890" s="23"/>
      <c r="GA890" s="23"/>
      <c r="JD890" s="26"/>
      <c r="JE890" s="26"/>
      <c r="JF890" s="27"/>
      <c r="JG890" s="27"/>
      <c r="KL890" s="28"/>
      <c r="KP890" s="28"/>
      <c r="KT890" s="28"/>
      <c r="KX890" s="28"/>
      <c r="LB890" s="28"/>
      <c r="LF890" s="28"/>
      <c r="LJ890" s="28"/>
    </row>
    <row r="891" spans="1:322" ht="13.2">
      <c r="A891" s="42"/>
      <c r="B891" s="42"/>
      <c r="C891" s="42"/>
      <c r="D891" s="52"/>
      <c r="E891" s="52"/>
      <c r="O891" s="43"/>
      <c r="AL891" s="44"/>
      <c r="AM891" s="44"/>
      <c r="AN891" s="44"/>
      <c r="AO891" s="44"/>
      <c r="AP891" s="44"/>
      <c r="AQ891" s="44"/>
      <c r="AR891" s="44"/>
      <c r="AS891" s="44"/>
      <c r="AT891" s="45"/>
      <c r="AY891" s="45"/>
      <c r="BH891" s="45"/>
      <c r="BK891" s="45"/>
      <c r="BT891" s="45"/>
      <c r="BU891" s="45"/>
      <c r="CK891" s="10"/>
      <c r="EF891" s="20"/>
      <c r="FD891" s="21"/>
      <c r="FE891" s="21"/>
      <c r="FN891" s="22"/>
      <c r="FO891" s="22"/>
      <c r="FZ891" s="23"/>
      <c r="GA891" s="23"/>
      <c r="JD891" s="26"/>
      <c r="JE891" s="26"/>
      <c r="JF891" s="27"/>
      <c r="JG891" s="27"/>
      <c r="KL891" s="28"/>
      <c r="KP891" s="28"/>
      <c r="KT891" s="28"/>
      <c r="KX891" s="28"/>
      <c r="LB891" s="28"/>
      <c r="LF891" s="28"/>
      <c r="LJ891" s="28"/>
    </row>
    <row r="892" spans="1:322" ht="13.2">
      <c r="A892" s="42"/>
      <c r="B892" s="42"/>
      <c r="C892" s="42"/>
      <c r="D892" s="52"/>
      <c r="E892" s="52"/>
      <c r="O892" s="43"/>
      <c r="AL892" s="44"/>
      <c r="AM892" s="44"/>
      <c r="AN892" s="44"/>
      <c r="AO892" s="44"/>
      <c r="AP892" s="44"/>
      <c r="AQ892" s="44"/>
      <c r="AR892" s="44"/>
      <c r="AS892" s="44"/>
      <c r="AT892" s="45"/>
      <c r="AY892" s="45"/>
      <c r="BH892" s="45"/>
      <c r="BK892" s="45"/>
      <c r="BT892" s="45"/>
      <c r="BU892" s="45"/>
      <c r="CK892" s="10"/>
      <c r="EF892" s="20"/>
      <c r="FD892" s="21"/>
      <c r="FE892" s="21"/>
      <c r="FN892" s="22"/>
      <c r="FO892" s="22"/>
      <c r="FZ892" s="23"/>
      <c r="GA892" s="23"/>
      <c r="JD892" s="26"/>
      <c r="JE892" s="26"/>
      <c r="JF892" s="27"/>
      <c r="JG892" s="27"/>
      <c r="KL892" s="28"/>
      <c r="KP892" s="28"/>
      <c r="KT892" s="28"/>
      <c r="KX892" s="28"/>
      <c r="LB892" s="28"/>
      <c r="LF892" s="28"/>
      <c r="LJ892" s="28"/>
    </row>
    <row r="893" spans="1:322" ht="13.2">
      <c r="A893" s="42"/>
      <c r="B893" s="42"/>
      <c r="C893" s="42"/>
      <c r="D893" s="52"/>
      <c r="E893" s="52"/>
      <c r="O893" s="43"/>
      <c r="AL893" s="44"/>
      <c r="AM893" s="44"/>
      <c r="AN893" s="44"/>
      <c r="AO893" s="44"/>
      <c r="AP893" s="44"/>
      <c r="AQ893" s="44"/>
      <c r="AR893" s="44"/>
      <c r="AS893" s="44"/>
      <c r="AT893" s="45"/>
      <c r="AY893" s="45"/>
      <c r="BH893" s="45"/>
      <c r="BK893" s="45"/>
      <c r="BT893" s="45"/>
      <c r="BU893" s="45"/>
      <c r="CK893" s="10"/>
      <c r="EF893" s="20"/>
      <c r="FD893" s="21"/>
      <c r="FE893" s="21"/>
      <c r="FN893" s="22"/>
      <c r="FO893" s="22"/>
      <c r="FZ893" s="23"/>
      <c r="GA893" s="23"/>
      <c r="JD893" s="26"/>
      <c r="JE893" s="26"/>
      <c r="JF893" s="27"/>
      <c r="JG893" s="27"/>
      <c r="KL893" s="28"/>
      <c r="KP893" s="28"/>
      <c r="KT893" s="28"/>
      <c r="KX893" s="28"/>
      <c r="LB893" s="28"/>
      <c r="LF893" s="28"/>
      <c r="LJ893" s="28"/>
    </row>
    <row r="894" spans="1:322" ht="13.2">
      <c r="A894" s="42"/>
      <c r="B894" s="42"/>
      <c r="C894" s="42"/>
      <c r="D894" s="52"/>
      <c r="E894" s="52"/>
      <c r="O894" s="43"/>
      <c r="AL894" s="44"/>
      <c r="AM894" s="44"/>
      <c r="AN894" s="44"/>
      <c r="AO894" s="44"/>
      <c r="AP894" s="44"/>
      <c r="AQ894" s="44"/>
      <c r="AR894" s="44"/>
      <c r="AS894" s="44"/>
      <c r="AT894" s="45"/>
      <c r="AY894" s="45"/>
      <c r="BH894" s="45"/>
      <c r="BK894" s="45"/>
      <c r="BT894" s="45"/>
      <c r="BU894" s="45"/>
      <c r="CK894" s="10"/>
      <c r="EF894" s="20"/>
      <c r="FD894" s="21"/>
      <c r="FE894" s="21"/>
      <c r="FN894" s="22"/>
      <c r="FO894" s="22"/>
      <c r="FZ894" s="23"/>
      <c r="GA894" s="23"/>
      <c r="JD894" s="26"/>
      <c r="JE894" s="26"/>
      <c r="JF894" s="27"/>
      <c r="JG894" s="27"/>
      <c r="KL894" s="28"/>
      <c r="KP894" s="28"/>
      <c r="KT894" s="28"/>
      <c r="KX894" s="28"/>
      <c r="LB894" s="28"/>
      <c r="LF894" s="28"/>
      <c r="LJ894" s="28"/>
    </row>
    <row r="895" spans="1:322" ht="13.2">
      <c r="A895" s="42"/>
      <c r="B895" s="42"/>
      <c r="C895" s="42"/>
      <c r="D895" s="52"/>
      <c r="E895" s="52"/>
      <c r="O895" s="43"/>
      <c r="AL895" s="44"/>
      <c r="AM895" s="44"/>
      <c r="AN895" s="44"/>
      <c r="AO895" s="44"/>
      <c r="AP895" s="44"/>
      <c r="AQ895" s="44"/>
      <c r="AR895" s="44"/>
      <c r="AS895" s="44"/>
      <c r="AT895" s="45"/>
      <c r="AY895" s="45"/>
      <c r="BH895" s="45"/>
      <c r="BK895" s="45"/>
      <c r="BT895" s="45"/>
      <c r="BU895" s="45"/>
      <c r="CK895" s="10"/>
      <c r="EF895" s="20"/>
      <c r="FD895" s="21"/>
      <c r="FE895" s="21"/>
      <c r="FN895" s="22"/>
      <c r="FO895" s="22"/>
      <c r="FZ895" s="23"/>
      <c r="GA895" s="23"/>
      <c r="JD895" s="26"/>
      <c r="JE895" s="26"/>
      <c r="JF895" s="27"/>
      <c r="JG895" s="27"/>
      <c r="KL895" s="28"/>
      <c r="KP895" s="28"/>
      <c r="KT895" s="28"/>
      <c r="KX895" s="28"/>
      <c r="LB895" s="28"/>
      <c r="LF895" s="28"/>
      <c r="LJ895" s="28"/>
    </row>
    <row r="896" spans="1:322" ht="13.2">
      <c r="A896" s="42"/>
      <c r="B896" s="42"/>
      <c r="C896" s="42"/>
      <c r="D896" s="52"/>
      <c r="E896" s="52"/>
      <c r="O896" s="43"/>
      <c r="AL896" s="44"/>
      <c r="AM896" s="44"/>
      <c r="AN896" s="44"/>
      <c r="AO896" s="44"/>
      <c r="AP896" s="44"/>
      <c r="AQ896" s="44"/>
      <c r="AR896" s="44"/>
      <c r="AS896" s="44"/>
      <c r="AT896" s="45"/>
      <c r="AY896" s="45"/>
      <c r="BH896" s="45"/>
      <c r="BK896" s="45"/>
      <c r="BT896" s="45"/>
      <c r="BU896" s="45"/>
      <c r="CK896" s="10"/>
      <c r="EF896" s="20"/>
      <c r="FD896" s="21"/>
      <c r="FE896" s="21"/>
      <c r="FN896" s="22"/>
      <c r="FO896" s="22"/>
      <c r="FZ896" s="23"/>
      <c r="GA896" s="23"/>
      <c r="JD896" s="26"/>
      <c r="JE896" s="26"/>
      <c r="JF896" s="27"/>
      <c r="JG896" s="27"/>
      <c r="KL896" s="28"/>
      <c r="KP896" s="28"/>
      <c r="KT896" s="28"/>
      <c r="KX896" s="28"/>
      <c r="LB896" s="28"/>
      <c r="LF896" s="28"/>
      <c r="LJ896" s="28"/>
    </row>
    <row r="897" spans="1:322" ht="13.2">
      <c r="A897" s="42"/>
      <c r="B897" s="42"/>
      <c r="C897" s="42"/>
      <c r="D897" s="52"/>
      <c r="E897" s="52"/>
      <c r="O897" s="43"/>
      <c r="AL897" s="44"/>
      <c r="AM897" s="44"/>
      <c r="AN897" s="44"/>
      <c r="AO897" s="44"/>
      <c r="AP897" s="44"/>
      <c r="AQ897" s="44"/>
      <c r="AR897" s="44"/>
      <c r="AS897" s="44"/>
      <c r="AT897" s="45"/>
      <c r="AY897" s="45"/>
      <c r="BH897" s="45"/>
      <c r="BK897" s="45"/>
      <c r="BT897" s="45"/>
      <c r="BU897" s="45"/>
      <c r="CK897" s="10"/>
      <c r="EF897" s="20"/>
      <c r="FD897" s="21"/>
      <c r="FE897" s="21"/>
      <c r="FN897" s="22"/>
      <c r="FO897" s="22"/>
      <c r="FZ897" s="23"/>
      <c r="GA897" s="23"/>
      <c r="JD897" s="26"/>
      <c r="JE897" s="26"/>
      <c r="JF897" s="27"/>
      <c r="JG897" s="27"/>
      <c r="KL897" s="28"/>
      <c r="KP897" s="28"/>
      <c r="KT897" s="28"/>
      <c r="KX897" s="28"/>
      <c r="LB897" s="28"/>
      <c r="LF897" s="28"/>
      <c r="LJ897" s="28"/>
    </row>
    <row r="898" spans="1:322" ht="13.2">
      <c r="A898" s="42"/>
      <c r="B898" s="42"/>
      <c r="C898" s="42"/>
      <c r="D898" s="52"/>
      <c r="E898" s="52"/>
      <c r="O898" s="43"/>
      <c r="AL898" s="44"/>
      <c r="AM898" s="44"/>
      <c r="AN898" s="44"/>
      <c r="AO898" s="44"/>
      <c r="AP898" s="44"/>
      <c r="AQ898" s="44"/>
      <c r="AR898" s="44"/>
      <c r="AS898" s="44"/>
      <c r="AT898" s="45"/>
      <c r="AY898" s="45"/>
      <c r="BH898" s="45"/>
      <c r="BK898" s="45"/>
      <c r="BT898" s="45"/>
      <c r="BU898" s="45"/>
      <c r="CK898" s="10"/>
      <c r="EF898" s="20"/>
      <c r="FD898" s="21"/>
      <c r="FE898" s="21"/>
      <c r="FN898" s="22"/>
      <c r="FO898" s="22"/>
      <c r="FZ898" s="23"/>
      <c r="GA898" s="23"/>
      <c r="JD898" s="26"/>
      <c r="JE898" s="26"/>
      <c r="JF898" s="27"/>
      <c r="JG898" s="27"/>
      <c r="KL898" s="28"/>
      <c r="KP898" s="28"/>
      <c r="KT898" s="28"/>
      <c r="KX898" s="28"/>
      <c r="LB898" s="28"/>
      <c r="LF898" s="28"/>
      <c r="LJ898" s="28"/>
    </row>
    <row r="899" spans="1:322" ht="13.2">
      <c r="A899" s="42"/>
      <c r="B899" s="42"/>
      <c r="C899" s="42"/>
      <c r="D899" s="52"/>
      <c r="E899" s="52"/>
      <c r="O899" s="43"/>
      <c r="AL899" s="44"/>
      <c r="AM899" s="44"/>
      <c r="AN899" s="44"/>
      <c r="AO899" s="44"/>
      <c r="AP899" s="44"/>
      <c r="AQ899" s="44"/>
      <c r="AR899" s="44"/>
      <c r="AS899" s="44"/>
      <c r="AT899" s="45"/>
      <c r="AY899" s="45"/>
      <c r="BH899" s="45"/>
      <c r="BK899" s="45"/>
      <c r="BT899" s="45"/>
      <c r="BU899" s="45"/>
      <c r="CK899" s="10"/>
      <c r="EF899" s="20"/>
      <c r="FD899" s="21"/>
      <c r="FE899" s="21"/>
      <c r="FN899" s="22"/>
      <c r="FO899" s="22"/>
      <c r="FZ899" s="23"/>
      <c r="GA899" s="23"/>
      <c r="JD899" s="26"/>
      <c r="JE899" s="26"/>
      <c r="JF899" s="27"/>
      <c r="JG899" s="27"/>
      <c r="KL899" s="28"/>
      <c r="KP899" s="28"/>
      <c r="KT899" s="28"/>
      <c r="KX899" s="28"/>
      <c r="LB899" s="28"/>
      <c r="LF899" s="28"/>
      <c r="LJ899" s="28"/>
    </row>
    <row r="900" spans="1:322" ht="13.2">
      <c r="A900" s="42"/>
      <c r="B900" s="42"/>
      <c r="C900" s="42"/>
      <c r="D900" s="52"/>
      <c r="E900" s="52"/>
      <c r="O900" s="43"/>
      <c r="AL900" s="44"/>
      <c r="AM900" s="44"/>
      <c r="AN900" s="44"/>
      <c r="AO900" s="44"/>
      <c r="AP900" s="44"/>
      <c r="AQ900" s="44"/>
      <c r="AR900" s="44"/>
      <c r="AS900" s="44"/>
      <c r="AT900" s="45"/>
      <c r="AY900" s="45"/>
      <c r="BH900" s="45"/>
      <c r="BK900" s="45"/>
      <c r="BT900" s="45"/>
      <c r="BU900" s="45"/>
      <c r="CK900" s="10"/>
      <c r="EF900" s="20"/>
      <c r="FD900" s="21"/>
      <c r="FE900" s="21"/>
      <c r="FN900" s="22"/>
      <c r="FO900" s="22"/>
      <c r="FZ900" s="23"/>
      <c r="GA900" s="23"/>
      <c r="JD900" s="26"/>
      <c r="JE900" s="26"/>
      <c r="JF900" s="27"/>
      <c r="JG900" s="27"/>
      <c r="KL900" s="28"/>
      <c r="KP900" s="28"/>
      <c r="KT900" s="28"/>
      <c r="KX900" s="28"/>
      <c r="LB900" s="28"/>
      <c r="LF900" s="28"/>
      <c r="LJ900" s="28"/>
    </row>
    <row r="901" spans="1:322" ht="13.2">
      <c r="A901" s="42"/>
      <c r="B901" s="42"/>
      <c r="C901" s="42"/>
      <c r="D901" s="52"/>
      <c r="E901" s="52"/>
      <c r="O901" s="43"/>
      <c r="AL901" s="44"/>
      <c r="AM901" s="44"/>
      <c r="AN901" s="44"/>
      <c r="AO901" s="44"/>
      <c r="AP901" s="44"/>
      <c r="AQ901" s="44"/>
      <c r="AR901" s="44"/>
      <c r="AS901" s="44"/>
      <c r="AT901" s="45"/>
      <c r="AY901" s="45"/>
      <c r="BH901" s="45"/>
      <c r="BK901" s="45"/>
      <c r="BT901" s="45"/>
      <c r="BU901" s="45"/>
      <c r="CK901" s="10"/>
      <c r="EF901" s="20"/>
      <c r="FD901" s="21"/>
      <c r="FE901" s="21"/>
      <c r="FN901" s="22"/>
      <c r="FO901" s="22"/>
      <c r="FZ901" s="23"/>
      <c r="GA901" s="23"/>
      <c r="JD901" s="26"/>
      <c r="JE901" s="26"/>
      <c r="JF901" s="27"/>
      <c r="JG901" s="27"/>
      <c r="KL901" s="28"/>
      <c r="KP901" s="28"/>
      <c r="KT901" s="28"/>
      <c r="KX901" s="28"/>
      <c r="LB901" s="28"/>
      <c r="LF901" s="28"/>
      <c r="LJ901" s="28"/>
    </row>
    <row r="902" spans="1:322" ht="13.2">
      <c r="A902" s="42"/>
      <c r="B902" s="42"/>
      <c r="C902" s="42"/>
      <c r="D902" s="52"/>
      <c r="E902" s="52"/>
      <c r="O902" s="43"/>
      <c r="AL902" s="44"/>
      <c r="AM902" s="44"/>
      <c r="AN902" s="44"/>
      <c r="AO902" s="44"/>
      <c r="AP902" s="44"/>
      <c r="AQ902" s="44"/>
      <c r="AR902" s="44"/>
      <c r="AS902" s="44"/>
      <c r="AT902" s="45"/>
      <c r="AY902" s="45"/>
      <c r="BH902" s="45"/>
      <c r="BK902" s="45"/>
      <c r="BT902" s="45"/>
      <c r="BU902" s="45"/>
      <c r="CK902" s="10"/>
      <c r="EF902" s="20"/>
      <c r="FD902" s="21"/>
      <c r="FE902" s="21"/>
      <c r="FN902" s="22"/>
      <c r="FO902" s="22"/>
      <c r="FZ902" s="23"/>
      <c r="GA902" s="23"/>
      <c r="JD902" s="26"/>
      <c r="JE902" s="26"/>
      <c r="JF902" s="27"/>
      <c r="JG902" s="27"/>
      <c r="KL902" s="28"/>
      <c r="KP902" s="28"/>
      <c r="KT902" s="28"/>
      <c r="KX902" s="28"/>
      <c r="LB902" s="28"/>
      <c r="LF902" s="28"/>
      <c r="LJ902" s="28"/>
    </row>
    <row r="903" spans="1:322" ht="13.2">
      <c r="A903" s="42"/>
      <c r="B903" s="42"/>
      <c r="C903" s="42"/>
      <c r="D903" s="52"/>
      <c r="E903" s="52"/>
      <c r="O903" s="43"/>
      <c r="AL903" s="44"/>
      <c r="AM903" s="44"/>
      <c r="AN903" s="44"/>
      <c r="AO903" s="44"/>
      <c r="AP903" s="44"/>
      <c r="AQ903" s="44"/>
      <c r="AR903" s="44"/>
      <c r="AS903" s="44"/>
      <c r="AT903" s="45"/>
      <c r="AY903" s="45"/>
      <c r="BH903" s="45"/>
      <c r="BK903" s="45"/>
      <c r="BT903" s="45"/>
      <c r="BU903" s="45"/>
      <c r="CK903" s="10"/>
      <c r="EF903" s="20"/>
      <c r="FD903" s="21"/>
      <c r="FE903" s="21"/>
      <c r="FN903" s="22"/>
      <c r="FO903" s="22"/>
      <c r="FZ903" s="23"/>
      <c r="GA903" s="23"/>
      <c r="JD903" s="26"/>
      <c r="JE903" s="26"/>
      <c r="JF903" s="27"/>
      <c r="JG903" s="27"/>
      <c r="KL903" s="28"/>
      <c r="KP903" s="28"/>
      <c r="KT903" s="28"/>
      <c r="KX903" s="28"/>
      <c r="LB903" s="28"/>
      <c r="LF903" s="28"/>
      <c r="LJ903" s="28"/>
    </row>
    <row r="904" spans="1:322" ht="13.2">
      <c r="A904" s="42"/>
      <c r="B904" s="42"/>
      <c r="C904" s="42"/>
      <c r="D904" s="52"/>
      <c r="E904" s="52"/>
      <c r="O904" s="43"/>
      <c r="AL904" s="44"/>
      <c r="AM904" s="44"/>
      <c r="AN904" s="44"/>
      <c r="AO904" s="44"/>
      <c r="AP904" s="44"/>
      <c r="AQ904" s="44"/>
      <c r="AR904" s="44"/>
      <c r="AS904" s="44"/>
      <c r="AT904" s="45"/>
      <c r="AY904" s="45"/>
      <c r="BH904" s="45"/>
      <c r="BK904" s="45"/>
      <c r="BT904" s="45"/>
      <c r="BU904" s="45"/>
      <c r="CK904" s="10"/>
      <c r="EF904" s="20"/>
      <c r="FD904" s="21"/>
      <c r="FE904" s="21"/>
      <c r="FN904" s="22"/>
      <c r="FO904" s="22"/>
      <c r="FZ904" s="23"/>
      <c r="GA904" s="23"/>
      <c r="JD904" s="26"/>
      <c r="JE904" s="26"/>
      <c r="JF904" s="27"/>
      <c r="JG904" s="27"/>
      <c r="KL904" s="28"/>
      <c r="KP904" s="28"/>
      <c r="KT904" s="28"/>
      <c r="KX904" s="28"/>
      <c r="LB904" s="28"/>
      <c r="LF904" s="28"/>
      <c r="LJ904" s="28"/>
    </row>
    <row r="905" spans="1:322" ht="13.2">
      <c r="A905" s="42"/>
      <c r="B905" s="42"/>
      <c r="C905" s="42"/>
      <c r="D905" s="52"/>
      <c r="E905" s="52"/>
      <c r="O905" s="43"/>
      <c r="AL905" s="44"/>
      <c r="AM905" s="44"/>
      <c r="AN905" s="44"/>
      <c r="AO905" s="44"/>
      <c r="AP905" s="44"/>
      <c r="AQ905" s="44"/>
      <c r="AR905" s="44"/>
      <c r="AS905" s="44"/>
      <c r="AT905" s="45"/>
      <c r="AY905" s="45"/>
      <c r="BH905" s="45"/>
      <c r="BK905" s="45"/>
      <c r="BT905" s="45"/>
      <c r="BU905" s="45"/>
      <c r="CK905" s="10"/>
      <c r="EF905" s="20"/>
      <c r="FD905" s="21"/>
      <c r="FE905" s="21"/>
      <c r="FN905" s="22"/>
      <c r="FO905" s="22"/>
      <c r="FZ905" s="23"/>
      <c r="GA905" s="23"/>
      <c r="JD905" s="26"/>
      <c r="JE905" s="26"/>
      <c r="JF905" s="27"/>
      <c r="JG905" s="27"/>
      <c r="KL905" s="28"/>
      <c r="KP905" s="28"/>
      <c r="KT905" s="28"/>
      <c r="KX905" s="28"/>
      <c r="LB905" s="28"/>
      <c r="LF905" s="28"/>
      <c r="LJ905" s="28"/>
    </row>
    <row r="906" spans="1:322" ht="13.2">
      <c r="A906" s="42"/>
      <c r="B906" s="42"/>
      <c r="C906" s="42"/>
      <c r="D906" s="52"/>
      <c r="E906" s="52"/>
      <c r="O906" s="43"/>
      <c r="AL906" s="44"/>
      <c r="AM906" s="44"/>
      <c r="AN906" s="44"/>
      <c r="AO906" s="44"/>
      <c r="AP906" s="44"/>
      <c r="AQ906" s="44"/>
      <c r="AR906" s="44"/>
      <c r="AS906" s="44"/>
      <c r="AT906" s="45"/>
      <c r="AY906" s="45"/>
      <c r="BH906" s="45"/>
      <c r="BK906" s="45"/>
      <c r="BT906" s="45"/>
      <c r="BU906" s="45"/>
      <c r="CK906" s="10"/>
      <c r="EF906" s="20"/>
      <c r="FD906" s="21"/>
      <c r="FE906" s="21"/>
      <c r="FN906" s="22"/>
      <c r="FO906" s="22"/>
      <c r="FZ906" s="23"/>
      <c r="GA906" s="23"/>
      <c r="JD906" s="26"/>
      <c r="JE906" s="26"/>
      <c r="JF906" s="27"/>
      <c r="JG906" s="27"/>
      <c r="KL906" s="28"/>
      <c r="KP906" s="28"/>
      <c r="KT906" s="28"/>
      <c r="KX906" s="28"/>
      <c r="LB906" s="28"/>
      <c r="LF906" s="28"/>
      <c r="LJ906" s="28"/>
    </row>
    <row r="907" spans="1:322" ht="13.2">
      <c r="A907" s="42"/>
      <c r="B907" s="42"/>
      <c r="C907" s="42"/>
      <c r="D907" s="52"/>
      <c r="E907" s="52"/>
      <c r="O907" s="43"/>
      <c r="AL907" s="44"/>
      <c r="AM907" s="44"/>
      <c r="AN907" s="44"/>
      <c r="AO907" s="44"/>
      <c r="AP907" s="44"/>
      <c r="AQ907" s="44"/>
      <c r="AR907" s="44"/>
      <c r="AS907" s="44"/>
      <c r="AT907" s="45"/>
      <c r="AY907" s="45"/>
      <c r="BH907" s="45"/>
      <c r="BK907" s="45"/>
      <c r="BT907" s="45"/>
      <c r="BU907" s="45"/>
      <c r="CK907" s="10"/>
      <c r="EF907" s="20"/>
      <c r="FD907" s="21"/>
      <c r="FE907" s="21"/>
      <c r="FN907" s="22"/>
      <c r="FO907" s="22"/>
      <c r="FZ907" s="23"/>
      <c r="GA907" s="23"/>
      <c r="JD907" s="26"/>
      <c r="JE907" s="26"/>
      <c r="JF907" s="27"/>
      <c r="JG907" s="27"/>
      <c r="KL907" s="28"/>
      <c r="KP907" s="28"/>
      <c r="KT907" s="28"/>
      <c r="KX907" s="28"/>
      <c r="LB907" s="28"/>
      <c r="LF907" s="28"/>
      <c r="LJ907" s="28"/>
    </row>
    <row r="908" spans="1:322" ht="13.2">
      <c r="A908" s="42"/>
      <c r="B908" s="42"/>
      <c r="C908" s="42"/>
      <c r="D908" s="52"/>
      <c r="E908" s="52"/>
      <c r="O908" s="43"/>
      <c r="AL908" s="44"/>
      <c r="AM908" s="44"/>
      <c r="AN908" s="44"/>
      <c r="AO908" s="44"/>
      <c r="AP908" s="44"/>
      <c r="AQ908" s="44"/>
      <c r="AR908" s="44"/>
      <c r="AS908" s="44"/>
      <c r="AT908" s="45"/>
      <c r="AY908" s="45"/>
      <c r="BH908" s="45"/>
      <c r="BK908" s="45"/>
      <c r="BT908" s="45"/>
      <c r="BU908" s="45"/>
      <c r="CK908" s="10"/>
      <c r="EF908" s="20"/>
      <c r="FD908" s="21"/>
      <c r="FE908" s="21"/>
      <c r="FN908" s="22"/>
      <c r="FO908" s="22"/>
      <c r="FZ908" s="23"/>
      <c r="GA908" s="23"/>
      <c r="JD908" s="26"/>
      <c r="JE908" s="26"/>
      <c r="JF908" s="27"/>
      <c r="JG908" s="27"/>
      <c r="KL908" s="28"/>
      <c r="KP908" s="28"/>
      <c r="KT908" s="28"/>
      <c r="KX908" s="28"/>
      <c r="LB908" s="28"/>
      <c r="LF908" s="28"/>
      <c r="LJ908" s="28"/>
    </row>
    <row r="909" spans="1:322" ht="13.2">
      <c r="A909" s="42"/>
      <c r="B909" s="42"/>
      <c r="C909" s="42"/>
      <c r="D909" s="52"/>
      <c r="E909" s="52"/>
      <c r="O909" s="43"/>
      <c r="AL909" s="44"/>
      <c r="AM909" s="44"/>
      <c r="AN909" s="44"/>
      <c r="AO909" s="44"/>
      <c r="AP909" s="44"/>
      <c r="AQ909" s="44"/>
      <c r="AR909" s="44"/>
      <c r="AS909" s="44"/>
      <c r="AT909" s="45"/>
      <c r="AY909" s="45"/>
      <c r="BH909" s="45"/>
      <c r="BK909" s="45"/>
      <c r="BT909" s="45"/>
      <c r="BU909" s="45"/>
      <c r="CK909" s="10"/>
      <c r="EF909" s="20"/>
      <c r="FD909" s="21"/>
      <c r="FE909" s="21"/>
      <c r="FN909" s="22"/>
      <c r="FO909" s="22"/>
      <c r="FZ909" s="23"/>
      <c r="GA909" s="23"/>
      <c r="JD909" s="26"/>
      <c r="JE909" s="26"/>
      <c r="JF909" s="27"/>
      <c r="JG909" s="27"/>
      <c r="KL909" s="28"/>
      <c r="KP909" s="28"/>
      <c r="KT909" s="28"/>
      <c r="KX909" s="28"/>
      <c r="LB909" s="28"/>
      <c r="LF909" s="28"/>
      <c r="LJ909" s="28"/>
    </row>
    <row r="910" spans="1:322" ht="13.2">
      <c r="A910" s="42"/>
      <c r="B910" s="42"/>
      <c r="C910" s="42"/>
      <c r="D910" s="52"/>
      <c r="E910" s="52"/>
      <c r="O910" s="43"/>
      <c r="AL910" s="44"/>
      <c r="AM910" s="44"/>
      <c r="AN910" s="44"/>
      <c r="AO910" s="44"/>
      <c r="AP910" s="44"/>
      <c r="AQ910" s="44"/>
      <c r="AR910" s="44"/>
      <c r="AS910" s="44"/>
      <c r="AT910" s="45"/>
      <c r="AY910" s="45"/>
      <c r="BH910" s="45"/>
      <c r="BK910" s="45"/>
      <c r="BT910" s="45"/>
      <c r="BU910" s="45"/>
      <c r="CK910" s="10"/>
      <c r="EF910" s="20"/>
      <c r="FD910" s="21"/>
      <c r="FE910" s="21"/>
      <c r="FN910" s="22"/>
      <c r="FO910" s="22"/>
      <c r="FZ910" s="23"/>
      <c r="GA910" s="23"/>
      <c r="JD910" s="26"/>
      <c r="JE910" s="26"/>
      <c r="JF910" s="27"/>
      <c r="JG910" s="27"/>
      <c r="KL910" s="28"/>
      <c r="KP910" s="28"/>
      <c r="KT910" s="28"/>
      <c r="KX910" s="28"/>
      <c r="LB910" s="28"/>
      <c r="LF910" s="28"/>
      <c r="LJ910" s="28"/>
    </row>
    <row r="911" spans="1:322" ht="13.2">
      <c r="A911" s="42"/>
      <c r="B911" s="42"/>
      <c r="C911" s="42"/>
      <c r="D911" s="52"/>
      <c r="E911" s="52"/>
      <c r="O911" s="43"/>
      <c r="AL911" s="44"/>
      <c r="AM911" s="44"/>
      <c r="AN911" s="44"/>
      <c r="AO911" s="44"/>
      <c r="AP911" s="44"/>
      <c r="AQ911" s="44"/>
      <c r="AR911" s="44"/>
      <c r="AS911" s="44"/>
      <c r="AT911" s="45"/>
      <c r="AY911" s="45"/>
      <c r="BH911" s="45"/>
      <c r="BK911" s="45"/>
      <c r="BT911" s="45"/>
      <c r="BU911" s="45"/>
      <c r="CK911" s="10"/>
      <c r="EF911" s="20"/>
      <c r="FD911" s="21"/>
      <c r="FE911" s="21"/>
      <c r="FN911" s="22"/>
      <c r="FO911" s="22"/>
      <c r="FZ911" s="23"/>
      <c r="GA911" s="23"/>
      <c r="JD911" s="26"/>
      <c r="JE911" s="26"/>
      <c r="JF911" s="27"/>
      <c r="JG911" s="27"/>
      <c r="KL911" s="28"/>
      <c r="KP911" s="28"/>
      <c r="KT911" s="28"/>
      <c r="KX911" s="28"/>
      <c r="LB911" s="28"/>
      <c r="LF911" s="28"/>
      <c r="LJ911" s="28"/>
    </row>
    <row r="912" spans="1:322" ht="13.2">
      <c r="A912" s="42"/>
      <c r="B912" s="42"/>
      <c r="C912" s="42"/>
      <c r="D912" s="52"/>
      <c r="E912" s="52"/>
      <c r="O912" s="43"/>
      <c r="AL912" s="44"/>
      <c r="AM912" s="44"/>
      <c r="AN912" s="44"/>
      <c r="AO912" s="44"/>
      <c r="AP912" s="44"/>
      <c r="AQ912" s="44"/>
      <c r="AR912" s="44"/>
      <c r="AS912" s="44"/>
      <c r="AT912" s="45"/>
      <c r="AY912" s="45"/>
      <c r="BH912" s="45"/>
      <c r="BK912" s="45"/>
      <c r="BT912" s="45"/>
      <c r="BU912" s="45"/>
      <c r="CK912" s="10"/>
      <c r="EF912" s="20"/>
      <c r="FD912" s="21"/>
      <c r="FE912" s="21"/>
      <c r="FN912" s="22"/>
      <c r="FO912" s="22"/>
      <c r="FZ912" s="23"/>
      <c r="GA912" s="23"/>
      <c r="JD912" s="26"/>
      <c r="JE912" s="26"/>
      <c r="JF912" s="27"/>
      <c r="JG912" s="27"/>
      <c r="KL912" s="28"/>
      <c r="KP912" s="28"/>
      <c r="KT912" s="28"/>
      <c r="KX912" s="28"/>
      <c r="LB912" s="28"/>
      <c r="LF912" s="28"/>
      <c r="LJ912" s="28"/>
    </row>
    <row r="913" spans="1:322" ht="13.2">
      <c r="A913" s="42"/>
      <c r="B913" s="42"/>
      <c r="C913" s="42"/>
      <c r="D913" s="52"/>
      <c r="E913" s="52"/>
      <c r="O913" s="43"/>
      <c r="AL913" s="44"/>
      <c r="AM913" s="44"/>
      <c r="AN913" s="44"/>
      <c r="AO913" s="44"/>
      <c r="AP913" s="44"/>
      <c r="AQ913" s="44"/>
      <c r="AR913" s="44"/>
      <c r="AS913" s="44"/>
      <c r="AT913" s="45"/>
      <c r="AY913" s="45"/>
      <c r="BH913" s="45"/>
      <c r="BK913" s="45"/>
      <c r="BT913" s="45"/>
      <c r="BU913" s="45"/>
      <c r="CK913" s="10"/>
      <c r="EF913" s="20"/>
      <c r="FD913" s="21"/>
      <c r="FE913" s="21"/>
      <c r="FN913" s="22"/>
      <c r="FO913" s="22"/>
      <c r="FZ913" s="23"/>
      <c r="GA913" s="23"/>
      <c r="JD913" s="26"/>
      <c r="JE913" s="26"/>
      <c r="JF913" s="27"/>
      <c r="JG913" s="27"/>
      <c r="KL913" s="28"/>
      <c r="KP913" s="28"/>
      <c r="KT913" s="28"/>
      <c r="KX913" s="28"/>
      <c r="LB913" s="28"/>
      <c r="LF913" s="28"/>
      <c r="LJ913" s="28"/>
    </row>
    <row r="914" spans="1:322" ht="13.2">
      <c r="A914" s="42"/>
      <c r="B914" s="42"/>
      <c r="C914" s="42"/>
      <c r="D914" s="52"/>
      <c r="E914" s="52"/>
      <c r="O914" s="43"/>
      <c r="AL914" s="44"/>
      <c r="AM914" s="44"/>
      <c r="AN914" s="44"/>
      <c r="AO914" s="44"/>
      <c r="AP914" s="44"/>
      <c r="AQ914" s="44"/>
      <c r="AR914" s="44"/>
      <c r="AS914" s="44"/>
      <c r="AT914" s="45"/>
      <c r="AY914" s="45"/>
      <c r="BH914" s="45"/>
      <c r="BK914" s="45"/>
      <c r="BT914" s="45"/>
      <c r="BU914" s="45"/>
      <c r="CK914" s="10"/>
      <c r="EF914" s="20"/>
      <c r="FD914" s="21"/>
      <c r="FE914" s="21"/>
      <c r="FN914" s="22"/>
      <c r="FO914" s="22"/>
      <c r="FZ914" s="23"/>
      <c r="GA914" s="23"/>
      <c r="JD914" s="26"/>
      <c r="JE914" s="26"/>
      <c r="JF914" s="27"/>
      <c r="JG914" s="27"/>
      <c r="KL914" s="28"/>
      <c r="KP914" s="28"/>
      <c r="KT914" s="28"/>
      <c r="KX914" s="28"/>
      <c r="LB914" s="28"/>
      <c r="LF914" s="28"/>
      <c r="LJ914" s="28"/>
    </row>
    <row r="915" spans="1:322" ht="13.2">
      <c r="A915" s="42"/>
      <c r="B915" s="42"/>
      <c r="C915" s="42"/>
      <c r="D915" s="52"/>
      <c r="E915" s="52"/>
      <c r="O915" s="43"/>
      <c r="AL915" s="44"/>
      <c r="AM915" s="44"/>
      <c r="AN915" s="44"/>
      <c r="AO915" s="44"/>
      <c r="AP915" s="44"/>
      <c r="AQ915" s="44"/>
      <c r="AR915" s="44"/>
      <c r="AS915" s="44"/>
      <c r="AT915" s="45"/>
      <c r="AY915" s="45"/>
      <c r="BH915" s="45"/>
      <c r="BK915" s="45"/>
      <c r="BT915" s="45"/>
      <c r="BU915" s="45"/>
      <c r="CK915" s="10"/>
      <c r="EF915" s="20"/>
      <c r="FD915" s="21"/>
      <c r="FE915" s="21"/>
      <c r="FN915" s="22"/>
      <c r="FO915" s="22"/>
      <c r="FZ915" s="23"/>
      <c r="GA915" s="23"/>
      <c r="JD915" s="26"/>
      <c r="JE915" s="26"/>
      <c r="JF915" s="27"/>
      <c r="JG915" s="27"/>
      <c r="KL915" s="28"/>
      <c r="KP915" s="28"/>
      <c r="KT915" s="28"/>
      <c r="KX915" s="28"/>
      <c r="LB915" s="28"/>
      <c r="LF915" s="28"/>
      <c r="LJ915" s="28"/>
    </row>
    <row r="916" spans="1:322" ht="13.2">
      <c r="A916" s="42"/>
      <c r="B916" s="42"/>
      <c r="C916" s="42"/>
      <c r="D916" s="52"/>
      <c r="E916" s="52"/>
      <c r="O916" s="43"/>
      <c r="AL916" s="44"/>
      <c r="AM916" s="44"/>
      <c r="AN916" s="44"/>
      <c r="AO916" s="44"/>
      <c r="AP916" s="44"/>
      <c r="AQ916" s="44"/>
      <c r="AR916" s="44"/>
      <c r="AS916" s="44"/>
      <c r="AT916" s="45"/>
      <c r="AY916" s="45"/>
      <c r="BH916" s="45"/>
      <c r="BK916" s="45"/>
      <c r="BT916" s="45"/>
      <c r="BU916" s="45"/>
      <c r="CK916" s="10"/>
      <c r="EF916" s="20"/>
      <c r="FD916" s="21"/>
      <c r="FE916" s="21"/>
      <c r="FN916" s="22"/>
      <c r="FO916" s="22"/>
      <c r="FZ916" s="23"/>
      <c r="GA916" s="23"/>
      <c r="JD916" s="26"/>
      <c r="JE916" s="26"/>
      <c r="JF916" s="27"/>
      <c r="JG916" s="27"/>
      <c r="KL916" s="28"/>
      <c r="KP916" s="28"/>
      <c r="KT916" s="28"/>
      <c r="KX916" s="28"/>
      <c r="LB916" s="28"/>
      <c r="LF916" s="28"/>
      <c r="LJ916" s="28"/>
    </row>
    <row r="917" spans="1:322" ht="13.2">
      <c r="A917" s="42"/>
      <c r="B917" s="42"/>
      <c r="C917" s="42"/>
      <c r="D917" s="52"/>
      <c r="E917" s="52"/>
      <c r="O917" s="43"/>
      <c r="AL917" s="44"/>
      <c r="AM917" s="44"/>
      <c r="AN917" s="44"/>
      <c r="AO917" s="44"/>
      <c r="AP917" s="44"/>
      <c r="AQ917" s="44"/>
      <c r="AR917" s="44"/>
      <c r="AS917" s="44"/>
      <c r="AT917" s="45"/>
      <c r="AY917" s="45"/>
      <c r="BH917" s="45"/>
      <c r="BK917" s="45"/>
      <c r="BT917" s="45"/>
      <c r="BU917" s="45"/>
      <c r="CK917" s="10"/>
      <c r="EF917" s="20"/>
      <c r="FD917" s="21"/>
      <c r="FE917" s="21"/>
      <c r="FN917" s="22"/>
      <c r="FO917" s="22"/>
      <c r="FZ917" s="23"/>
      <c r="GA917" s="23"/>
      <c r="JD917" s="26"/>
      <c r="JE917" s="26"/>
      <c r="JF917" s="27"/>
      <c r="JG917" s="27"/>
      <c r="KL917" s="28"/>
      <c r="KP917" s="28"/>
      <c r="KT917" s="28"/>
      <c r="KX917" s="28"/>
      <c r="LB917" s="28"/>
      <c r="LF917" s="28"/>
      <c r="LJ917" s="28"/>
    </row>
    <row r="918" spans="1:322" ht="13.2">
      <c r="A918" s="42"/>
      <c r="B918" s="42"/>
      <c r="C918" s="42"/>
      <c r="D918" s="52"/>
      <c r="E918" s="52"/>
      <c r="O918" s="43"/>
      <c r="AL918" s="44"/>
      <c r="AM918" s="44"/>
      <c r="AN918" s="44"/>
      <c r="AO918" s="44"/>
      <c r="AP918" s="44"/>
      <c r="AQ918" s="44"/>
      <c r="AR918" s="44"/>
      <c r="AS918" s="44"/>
      <c r="AT918" s="45"/>
      <c r="AY918" s="45"/>
      <c r="BH918" s="45"/>
      <c r="BK918" s="45"/>
      <c r="BT918" s="45"/>
      <c r="BU918" s="45"/>
      <c r="CK918" s="10"/>
      <c r="EF918" s="20"/>
      <c r="FD918" s="21"/>
      <c r="FE918" s="21"/>
      <c r="FN918" s="22"/>
      <c r="FO918" s="22"/>
      <c r="FZ918" s="23"/>
      <c r="GA918" s="23"/>
      <c r="JD918" s="26"/>
      <c r="JE918" s="26"/>
      <c r="JF918" s="27"/>
      <c r="JG918" s="27"/>
      <c r="KL918" s="28"/>
      <c r="KP918" s="28"/>
      <c r="KT918" s="28"/>
      <c r="KX918" s="28"/>
      <c r="LB918" s="28"/>
      <c r="LF918" s="28"/>
      <c r="LJ918" s="28"/>
    </row>
    <row r="919" spans="1:322" ht="13.2">
      <c r="A919" s="42"/>
      <c r="B919" s="42"/>
      <c r="C919" s="42"/>
      <c r="D919" s="52"/>
      <c r="E919" s="52"/>
      <c r="O919" s="43"/>
      <c r="AL919" s="44"/>
      <c r="AM919" s="44"/>
      <c r="AN919" s="44"/>
      <c r="AO919" s="44"/>
      <c r="AP919" s="44"/>
      <c r="AQ919" s="44"/>
      <c r="AR919" s="44"/>
      <c r="AS919" s="44"/>
      <c r="AT919" s="45"/>
      <c r="AY919" s="45"/>
      <c r="BH919" s="45"/>
      <c r="BK919" s="45"/>
      <c r="BT919" s="45"/>
      <c r="BU919" s="45"/>
      <c r="CK919" s="10"/>
      <c r="EF919" s="20"/>
      <c r="FD919" s="21"/>
      <c r="FE919" s="21"/>
      <c r="FN919" s="22"/>
      <c r="FO919" s="22"/>
      <c r="FZ919" s="23"/>
      <c r="GA919" s="23"/>
      <c r="JD919" s="26"/>
      <c r="JE919" s="26"/>
      <c r="JF919" s="27"/>
      <c r="JG919" s="27"/>
      <c r="KL919" s="28"/>
      <c r="KP919" s="28"/>
      <c r="KT919" s="28"/>
      <c r="KX919" s="28"/>
      <c r="LB919" s="28"/>
      <c r="LF919" s="28"/>
      <c r="LJ919" s="28"/>
    </row>
    <row r="920" spans="1:322" ht="13.2">
      <c r="A920" s="42"/>
      <c r="B920" s="42"/>
      <c r="C920" s="42"/>
      <c r="D920" s="52"/>
      <c r="E920" s="52"/>
      <c r="O920" s="43"/>
      <c r="AL920" s="44"/>
      <c r="AM920" s="44"/>
      <c r="AN920" s="44"/>
      <c r="AO920" s="44"/>
      <c r="AP920" s="44"/>
      <c r="AQ920" s="44"/>
      <c r="AR920" s="44"/>
      <c r="AS920" s="44"/>
      <c r="AT920" s="45"/>
      <c r="AY920" s="45"/>
      <c r="BH920" s="45"/>
      <c r="BK920" s="45"/>
      <c r="BT920" s="45"/>
      <c r="BU920" s="45"/>
      <c r="CK920" s="10"/>
      <c r="EF920" s="20"/>
      <c r="FD920" s="21"/>
      <c r="FE920" s="21"/>
      <c r="FN920" s="22"/>
      <c r="FO920" s="22"/>
      <c r="FZ920" s="23"/>
      <c r="GA920" s="23"/>
      <c r="JD920" s="26"/>
      <c r="JE920" s="26"/>
      <c r="JF920" s="27"/>
      <c r="JG920" s="27"/>
      <c r="KL920" s="28"/>
      <c r="KP920" s="28"/>
      <c r="KT920" s="28"/>
      <c r="KX920" s="28"/>
      <c r="LB920" s="28"/>
      <c r="LF920" s="28"/>
      <c r="LJ920" s="28"/>
    </row>
    <row r="921" spans="1:322" ht="13.2">
      <c r="A921" s="42"/>
      <c r="B921" s="42"/>
      <c r="C921" s="42"/>
      <c r="D921" s="52"/>
      <c r="E921" s="52"/>
      <c r="O921" s="43"/>
      <c r="AL921" s="44"/>
      <c r="AM921" s="44"/>
      <c r="AN921" s="44"/>
      <c r="AO921" s="44"/>
      <c r="AP921" s="44"/>
      <c r="AQ921" s="44"/>
      <c r="AR921" s="44"/>
      <c r="AS921" s="44"/>
      <c r="AT921" s="45"/>
      <c r="AY921" s="45"/>
      <c r="BH921" s="45"/>
      <c r="BK921" s="45"/>
      <c r="BT921" s="45"/>
      <c r="BU921" s="45"/>
      <c r="CK921" s="10"/>
      <c r="EF921" s="20"/>
      <c r="FD921" s="21"/>
      <c r="FE921" s="21"/>
      <c r="FN921" s="22"/>
      <c r="FO921" s="22"/>
      <c r="FZ921" s="23"/>
      <c r="GA921" s="23"/>
      <c r="JD921" s="26"/>
      <c r="JE921" s="26"/>
      <c r="JF921" s="27"/>
      <c r="JG921" s="27"/>
      <c r="KL921" s="28"/>
      <c r="KP921" s="28"/>
      <c r="KT921" s="28"/>
      <c r="KX921" s="28"/>
      <c r="LB921" s="28"/>
      <c r="LF921" s="28"/>
      <c r="LJ921" s="28"/>
    </row>
    <row r="922" spans="1:322" ht="13.2">
      <c r="A922" s="42"/>
      <c r="B922" s="42"/>
      <c r="C922" s="42"/>
      <c r="D922" s="52"/>
      <c r="E922" s="52"/>
      <c r="O922" s="43"/>
      <c r="AL922" s="44"/>
      <c r="AM922" s="44"/>
      <c r="AN922" s="44"/>
      <c r="AO922" s="44"/>
      <c r="AP922" s="44"/>
      <c r="AQ922" s="44"/>
      <c r="AR922" s="44"/>
      <c r="AS922" s="44"/>
      <c r="AT922" s="45"/>
      <c r="AY922" s="45"/>
      <c r="BH922" s="45"/>
      <c r="BK922" s="45"/>
      <c r="BT922" s="45"/>
      <c r="BU922" s="45"/>
      <c r="CK922" s="10"/>
      <c r="EF922" s="20"/>
      <c r="FD922" s="21"/>
      <c r="FE922" s="21"/>
      <c r="FN922" s="22"/>
      <c r="FO922" s="22"/>
      <c r="FZ922" s="23"/>
      <c r="GA922" s="23"/>
      <c r="JD922" s="26"/>
      <c r="JE922" s="26"/>
      <c r="JF922" s="27"/>
      <c r="JG922" s="27"/>
      <c r="KL922" s="28"/>
      <c r="KP922" s="28"/>
      <c r="KT922" s="28"/>
      <c r="KX922" s="28"/>
      <c r="LB922" s="28"/>
      <c r="LF922" s="28"/>
      <c r="LJ922" s="28"/>
    </row>
    <row r="923" spans="1:322" ht="13.2">
      <c r="A923" s="42"/>
      <c r="B923" s="42"/>
      <c r="C923" s="42"/>
      <c r="D923" s="52"/>
      <c r="E923" s="52"/>
      <c r="O923" s="43"/>
      <c r="AL923" s="44"/>
      <c r="AM923" s="44"/>
      <c r="AN923" s="44"/>
      <c r="AO923" s="44"/>
      <c r="AP923" s="44"/>
      <c r="AQ923" s="44"/>
      <c r="AR923" s="44"/>
      <c r="AS923" s="44"/>
      <c r="AT923" s="45"/>
      <c r="AY923" s="45"/>
      <c r="BH923" s="45"/>
      <c r="BK923" s="45"/>
      <c r="BT923" s="45"/>
      <c r="BU923" s="45"/>
      <c r="CK923" s="10"/>
      <c r="EF923" s="20"/>
      <c r="FD923" s="21"/>
      <c r="FE923" s="21"/>
      <c r="FN923" s="22"/>
      <c r="FO923" s="22"/>
      <c r="FZ923" s="23"/>
      <c r="GA923" s="23"/>
      <c r="JD923" s="26"/>
      <c r="JE923" s="26"/>
      <c r="JF923" s="27"/>
      <c r="JG923" s="27"/>
      <c r="KL923" s="28"/>
      <c r="KP923" s="28"/>
      <c r="KT923" s="28"/>
      <c r="KX923" s="28"/>
      <c r="LB923" s="28"/>
      <c r="LF923" s="28"/>
      <c r="LJ923" s="28"/>
    </row>
    <row r="924" spans="1:322" ht="13.2">
      <c r="A924" s="42"/>
      <c r="B924" s="42"/>
      <c r="C924" s="42"/>
      <c r="D924" s="52"/>
      <c r="E924" s="52"/>
      <c r="O924" s="43"/>
      <c r="AL924" s="44"/>
      <c r="AM924" s="44"/>
      <c r="AN924" s="44"/>
      <c r="AO924" s="44"/>
      <c r="AP924" s="44"/>
      <c r="AQ924" s="44"/>
      <c r="AR924" s="44"/>
      <c r="AS924" s="44"/>
      <c r="AT924" s="45"/>
      <c r="AY924" s="45"/>
      <c r="BH924" s="45"/>
      <c r="BK924" s="45"/>
      <c r="BT924" s="45"/>
      <c r="BU924" s="45"/>
      <c r="CK924" s="10"/>
      <c r="EF924" s="20"/>
      <c r="FD924" s="21"/>
      <c r="FE924" s="21"/>
      <c r="FN924" s="22"/>
      <c r="FO924" s="22"/>
      <c r="FZ924" s="23"/>
      <c r="GA924" s="23"/>
      <c r="JD924" s="26"/>
      <c r="JE924" s="26"/>
      <c r="JF924" s="27"/>
      <c r="JG924" s="27"/>
      <c r="KL924" s="28"/>
      <c r="KP924" s="28"/>
      <c r="KT924" s="28"/>
      <c r="KX924" s="28"/>
      <c r="LB924" s="28"/>
      <c r="LF924" s="28"/>
      <c r="LJ924" s="28"/>
    </row>
    <row r="925" spans="1:322" ht="13.2">
      <c r="A925" s="42"/>
      <c r="B925" s="42"/>
      <c r="C925" s="42"/>
      <c r="D925" s="52"/>
      <c r="E925" s="52"/>
      <c r="O925" s="43"/>
      <c r="AL925" s="44"/>
      <c r="AM925" s="44"/>
      <c r="AN925" s="44"/>
      <c r="AO925" s="44"/>
      <c r="AP925" s="44"/>
      <c r="AQ925" s="44"/>
      <c r="AR925" s="44"/>
      <c r="AS925" s="44"/>
      <c r="AT925" s="45"/>
      <c r="AY925" s="45"/>
      <c r="BH925" s="45"/>
      <c r="BK925" s="45"/>
      <c r="BT925" s="45"/>
      <c r="BU925" s="45"/>
      <c r="CK925" s="10"/>
      <c r="EF925" s="20"/>
      <c r="FD925" s="21"/>
      <c r="FE925" s="21"/>
      <c r="FN925" s="22"/>
      <c r="FO925" s="22"/>
      <c r="FZ925" s="23"/>
      <c r="GA925" s="23"/>
      <c r="JD925" s="26"/>
      <c r="JE925" s="26"/>
      <c r="JF925" s="27"/>
      <c r="JG925" s="27"/>
      <c r="KL925" s="28"/>
      <c r="KP925" s="28"/>
      <c r="KT925" s="28"/>
      <c r="KX925" s="28"/>
      <c r="LB925" s="28"/>
      <c r="LF925" s="28"/>
      <c r="LJ925" s="28"/>
    </row>
    <row r="926" spans="1:322" ht="13.2">
      <c r="A926" s="42"/>
      <c r="B926" s="42"/>
      <c r="C926" s="42"/>
      <c r="D926" s="52"/>
      <c r="E926" s="52"/>
      <c r="O926" s="43"/>
      <c r="AL926" s="44"/>
      <c r="AM926" s="44"/>
      <c r="AN926" s="44"/>
      <c r="AO926" s="44"/>
      <c r="AP926" s="44"/>
      <c r="AQ926" s="44"/>
      <c r="AR926" s="44"/>
      <c r="AS926" s="44"/>
      <c r="AT926" s="45"/>
      <c r="AY926" s="45"/>
      <c r="BH926" s="45"/>
      <c r="BK926" s="45"/>
      <c r="BT926" s="45"/>
      <c r="BU926" s="45"/>
      <c r="CK926" s="10"/>
      <c r="EF926" s="20"/>
      <c r="FD926" s="21"/>
      <c r="FE926" s="21"/>
      <c r="FN926" s="22"/>
      <c r="FO926" s="22"/>
      <c r="FZ926" s="23"/>
      <c r="GA926" s="23"/>
      <c r="JD926" s="26"/>
      <c r="JE926" s="26"/>
      <c r="JF926" s="27"/>
      <c r="JG926" s="27"/>
      <c r="KL926" s="28"/>
      <c r="KP926" s="28"/>
      <c r="KT926" s="28"/>
      <c r="KX926" s="28"/>
      <c r="LB926" s="28"/>
      <c r="LF926" s="28"/>
      <c r="LJ926" s="28"/>
    </row>
    <row r="927" spans="1:322" ht="13.2">
      <c r="A927" s="42"/>
      <c r="B927" s="42"/>
      <c r="C927" s="42"/>
      <c r="D927" s="52"/>
      <c r="E927" s="52"/>
      <c r="O927" s="43"/>
      <c r="AL927" s="44"/>
      <c r="AM927" s="44"/>
      <c r="AN927" s="44"/>
      <c r="AO927" s="44"/>
      <c r="AP927" s="44"/>
      <c r="AQ927" s="44"/>
      <c r="AR927" s="44"/>
      <c r="AS927" s="44"/>
      <c r="AT927" s="45"/>
      <c r="AY927" s="45"/>
      <c r="BH927" s="45"/>
      <c r="BK927" s="45"/>
      <c r="BT927" s="45"/>
      <c r="BU927" s="45"/>
      <c r="CK927" s="10"/>
      <c r="EF927" s="20"/>
      <c r="FD927" s="21"/>
      <c r="FE927" s="21"/>
      <c r="FN927" s="22"/>
      <c r="FO927" s="22"/>
      <c r="FZ927" s="23"/>
      <c r="GA927" s="23"/>
      <c r="JD927" s="26"/>
      <c r="JE927" s="26"/>
      <c r="JF927" s="27"/>
      <c r="JG927" s="27"/>
      <c r="KL927" s="28"/>
      <c r="KP927" s="28"/>
      <c r="KT927" s="28"/>
      <c r="KX927" s="28"/>
      <c r="LB927" s="28"/>
      <c r="LF927" s="28"/>
      <c r="LJ927" s="28"/>
    </row>
    <row r="928" spans="1:322" ht="13.2">
      <c r="A928" s="42"/>
      <c r="B928" s="42"/>
      <c r="C928" s="42"/>
      <c r="D928" s="52"/>
      <c r="E928" s="52"/>
      <c r="O928" s="43"/>
      <c r="AL928" s="44"/>
      <c r="AM928" s="44"/>
      <c r="AN928" s="44"/>
      <c r="AO928" s="44"/>
      <c r="AP928" s="44"/>
      <c r="AQ928" s="44"/>
      <c r="AR928" s="44"/>
      <c r="AS928" s="44"/>
      <c r="AT928" s="45"/>
      <c r="AY928" s="45"/>
      <c r="BH928" s="45"/>
      <c r="BK928" s="45"/>
      <c r="BT928" s="45"/>
      <c r="BU928" s="45"/>
      <c r="CK928" s="10"/>
      <c r="EF928" s="20"/>
      <c r="FD928" s="21"/>
      <c r="FE928" s="21"/>
      <c r="FN928" s="22"/>
      <c r="FO928" s="22"/>
      <c r="FZ928" s="23"/>
      <c r="GA928" s="23"/>
      <c r="JD928" s="26"/>
      <c r="JE928" s="26"/>
      <c r="JF928" s="27"/>
      <c r="JG928" s="27"/>
      <c r="KL928" s="28"/>
      <c r="KP928" s="28"/>
      <c r="KT928" s="28"/>
      <c r="KX928" s="28"/>
      <c r="LB928" s="28"/>
      <c r="LF928" s="28"/>
      <c r="LJ928" s="28"/>
    </row>
    <row r="929" spans="1:322" ht="13.2">
      <c r="A929" s="42"/>
      <c r="B929" s="42"/>
      <c r="C929" s="42"/>
      <c r="D929" s="52"/>
      <c r="E929" s="52"/>
      <c r="O929" s="43"/>
      <c r="AL929" s="44"/>
      <c r="AM929" s="44"/>
      <c r="AN929" s="44"/>
      <c r="AO929" s="44"/>
      <c r="AP929" s="44"/>
      <c r="AQ929" s="44"/>
      <c r="AR929" s="44"/>
      <c r="AS929" s="44"/>
      <c r="AT929" s="45"/>
      <c r="AY929" s="45"/>
      <c r="BH929" s="45"/>
      <c r="BK929" s="45"/>
      <c r="BT929" s="45"/>
      <c r="BU929" s="45"/>
      <c r="CK929" s="10"/>
      <c r="EF929" s="20"/>
      <c r="FD929" s="21"/>
      <c r="FE929" s="21"/>
      <c r="FN929" s="22"/>
      <c r="FO929" s="22"/>
      <c r="FZ929" s="23"/>
      <c r="GA929" s="23"/>
      <c r="JD929" s="26"/>
      <c r="JE929" s="26"/>
      <c r="JF929" s="27"/>
      <c r="JG929" s="27"/>
      <c r="KL929" s="28"/>
      <c r="KP929" s="28"/>
      <c r="KT929" s="28"/>
      <c r="KX929" s="28"/>
      <c r="LB929" s="28"/>
      <c r="LF929" s="28"/>
      <c r="LJ929" s="28"/>
    </row>
    <row r="930" spans="1:322" ht="13.2">
      <c r="A930" s="42"/>
      <c r="B930" s="42"/>
      <c r="C930" s="42"/>
      <c r="D930" s="52"/>
      <c r="E930" s="52"/>
      <c r="O930" s="43"/>
      <c r="AL930" s="44"/>
      <c r="AM930" s="44"/>
      <c r="AN930" s="44"/>
      <c r="AO930" s="44"/>
      <c r="AP930" s="44"/>
      <c r="AQ930" s="44"/>
      <c r="AR930" s="44"/>
      <c r="AS930" s="44"/>
      <c r="AT930" s="45"/>
      <c r="AY930" s="45"/>
      <c r="BH930" s="45"/>
      <c r="BK930" s="45"/>
      <c r="BT930" s="45"/>
      <c r="BU930" s="45"/>
      <c r="CK930" s="10"/>
      <c r="EF930" s="20"/>
      <c r="FD930" s="21"/>
      <c r="FE930" s="21"/>
      <c r="FN930" s="22"/>
      <c r="FO930" s="22"/>
      <c r="FZ930" s="23"/>
      <c r="GA930" s="23"/>
      <c r="JD930" s="26"/>
      <c r="JE930" s="26"/>
      <c r="JF930" s="27"/>
      <c r="JG930" s="27"/>
      <c r="KL930" s="28"/>
      <c r="KP930" s="28"/>
      <c r="KT930" s="28"/>
      <c r="KX930" s="28"/>
      <c r="LB930" s="28"/>
      <c r="LF930" s="28"/>
      <c r="LJ930" s="28"/>
    </row>
    <row r="931" spans="1:322" ht="13.2">
      <c r="A931" s="42"/>
      <c r="B931" s="42"/>
      <c r="C931" s="42"/>
      <c r="D931" s="52"/>
      <c r="E931" s="52"/>
      <c r="O931" s="43"/>
      <c r="AL931" s="44"/>
      <c r="AM931" s="44"/>
      <c r="AN931" s="44"/>
      <c r="AO931" s="44"/>
      <c r="AP931" s="44"/>
      <c r="AQ931" s="44"/>
      <c r="AR931" s="44"/>
      <c r="AS931" s="44"/>
      <c r="AT931" s="45"/>
      <c r="AY931" s="45"/>
      <c r="BH931" s="45"/>
      <c r="BK931" s="45"/>
      <c r="BT931" s="45"/>
      <c r="BU931" s="45"/>
      <c r="CK931" s="10"/>
      <c r="EF931" s="20"/>
      <c r="FD931" s="21"/>
      <c r="FE931" s="21"/>
      <c r="FN931" s="22"/>
      <c r="FO931" s="22"/>
      <c r="FZ931" s="23"/>
      <c r="GA931" s="23"/>
      <c r="JD931" s="26"/>
      <c r="JE931" s="26"/>
      <c r="JF931" s="27"/>
      <c r="JG931" s="27"/>
      <c r="KL931" s="28"/>
      <c r="KP931" s="28"/>
      <c r="KT931" s="28"/>
      <c r="KX931" s="28"/>
      <c r="LB931" s="28"/>
      <c r="LF931" s="28"/>
      <c r="LJ931" s="28"/>
    </row>
    <row r="932" spans="1:322" ht="13.2">
      <c r="A932" s="42"/>
      <c r="B932" s="42"/>
      <c r="C932" s="42"/>
      <c r="D932" s="52"/>
      <c r="E932" s="52"/>
      <c r="O932" s="43"/>
      <c r="AL932" s="44"/>
      <c r="AM932" s="44"/>
      <c r="AN932" s="44"/>
      <c r="AO932" s="44"/>
      <c r="AP932" s="44"/>
      <c r="AQ932" s="44"/>
      <c r="AR932" s="44"/>
      <c r="AS932" s="44"/>
      <c r="AT932" s="45"/>
      <c r="AY932" s="45"/>
      <c r="BH932" s="45"/>
      <c r="BK932" s="45"/>
      <c r="BT932" s="45"/>
      <c r="BU932" s="45"/>
      <c r="CK932" s="10"/>
      <c r="EF932" s="20"/>
      <c r="FD932" s="21"/>
      <c r="FE932" s="21"/>
      <c r="FN932" s="22"/>
      <c r="FO932" s="22"/>
      <c r="FZ932" s="23"/>
      <c r="GA932" s="23"/>
      <c r="JD932" s="26"/>
      <c r="JE932" s="26"/>
      <c r="JF932" s="27"/>
      <c r="JG932" s="27"/>
      <c r="KL932" s="28"/>
      <c r="KP932" s="28"/>
      <c r="KT932" s="28"/>
      <c r="KX932" s="28"/>
      <c r="LB932" s="28"/>
      <c r="LF932" s="28"/>
      <c r="LJ932" s="28"/>
    </row>
    <row r="933" spans="1:322" ht="13.2">
      <c r="A933" s="42"/>
      <c r="B933" s="42"/>
      <c r="C933" s="42"/>
      <c r="D933" s="52"/>
      <c r="E933" s="52"/>
      <c r="O933" s="43"/>
      <c r="AL933" s="44"/>
      <c r="AM933" s="44"/>
      <c r="AN933" s="44"/>
      <c r="AO933" s="44"/>
      <c r="AP933" s="44"/>
      <c r="AQ933" s="44"/>
      <c r="AR933" s="44"/>
      <c r="AS933" s="44"/>
      <c r="AT933" s="45"/>
      <c r="AY933" s="45"/>
      <c r="BH933" s="45"/>
      <c r="BK933" s="45"/>
      <c r="BT933" s="45"/>
      <c r="BU933" s="45"/>
      <c r="CK933" s="10"/>
      <c r="EF933" s="20"/>
      <c r="FD933" s="21"/>
      <c r="FE933" s="21"/>
      <c r="FN933" s="22"/>
      <c r="FO933" s="22"/>
      <c r="FZ933" s="23"/>
      <c r="GA933" s="23"/>
      <c r="JD933" s="26"/>
      <c r="JE933" s="26"/>
      <c r="JF933" s="27"/>
      <c r="JG933" s="27"/>
      <c r="KL933" s="28"/>
      <c r="KP933" s="28"/>
      <c r="KT933" s="28"/>
      <c r="KX933" s="28"/>
      <c r="LB933" s="28"/>
      <c r="LF933" s="28"/>
      <c r="LJ933" s="28"/>
    </row>
    <row r="934" spans="1:322" ht="13.2">
      <c r="A934" s="42"/>
      <c r="B934" s="42"/>
      <c r="C934" s="42"/>
      <c r="D934" s="52"/>
      <c r="E934" s="52"/>
      <c r="O934" s="43"/>
      <c r="AL934" s="44"/>
      <c r="AM934" s="44"/>
      <c r="AN934" s="44"/>
      <c r="AO934" s="44"/>
      <c r="AP934" s="44"/>
      <c r="AQ934" s="44"/>
      <c r="AR934" s="44"/>
      <c r="AS934" s="44"/>
      <c r="AT934" s="45"/>
      <c r="AY934" s="45"/>
      <c r="BH934" s="45"/>
      <c r="BK934" s="45"/>
      <c r="BT934" s="45"/>
      <c r="BU934" s="45"/>
      <c r="CK934" s="10"/>
      <c r="EF934" s="20"/>
      <c r="FD934" s="21"/>
      <c r="FE934" s="21"/>
      <c r="FN934" s="22"/>
      <c r="FO934" s="22"/>
      <c r="FZ934" s="23"/>
      <c r="GA934" s="23"/>
      <c r="JD934" s="26"/>
      <c r="JE934" s="26"/>
      <c r="JF934" s="27"/>
      <c r="JG934" s="27"/>
      <c r="KL934" s="28"/>
      <c r="KP934" s="28"/>
      <c r="KT934" s="28"/>
      <c r="KX934" s="28"/>
      <c r="LB934" s="28"/>
      <c r="LF934" s="28"/>
      <c r="LJ934" s="28"/>
    </row>
    <row r="935" spans="1:322" ht="13.2">
      <c r="A935" s="42"/>
      <c r="B935" s="42"/>
      <c r="C935" s="42"/>
      <c r="D935" s="52"/>
      <c r="E935" s="52"/>
      <c r="O935" s="43"/>
      <c r="AL935" s="44"/>
      <c r="AM935" s="44"/>
      <c r="AN935" s="44"/>
      <c r="AO935" s="44"/>
      <c r="AP935" s="44"/>
      <c r="AQ935" s="44"/>
      <c r="AR935" s="44"/>
      <c r="AS935" s="44"/>
      <c r="AT935" s="45"/>
      <c r="AY935" s="45"/>
      <c r="BH935" s="45"/>
      <c r="BK935" s="45"/>
      <c r="BT935" s="45"/>
      <c r="BU935" s="45"/>
      <c r="CK935" s="10"/>
      <c r="EF935" s="20"/>
      <c r="FD935" s="21"/>
      <c r="FE935" s="21"/>
      <c r="FN935" s="22"/>
      <c r="FO935" s="22"/>
      <c r="FZ935" s="23"/>
      <c r="GA935" s="23"/>
      <c r="JD935" s="26"/>
      <c r="JE935" s="26"/>
      <c r="JF935" s="27"/>
      <c r="JG935" s="27"/>
      <c r="KL935" s="28"/>
      <c r="KP935" s="28"/>
      <c r="KT935" s="28"/>
      <c r="KX935" s="28"/>
      <c r="LB935" s="28"/>
      <c r="LF935" s="28"/>
      <c r="LJ935" s="28"/>
    </row>
    <row r="936" spans="1:322" ht="13.2">
      <c r="A936" s="42"/>
      <c r="B936" s="42"/>
      <c r="C936" s="42"/>
      <c r="D936" s="52"/>
      <c r="E936" s="52"/>
      <c r="O936" s="43"/>
      <c r="AL936" s="44"/>
      <c r="AM936" s="44"/>
      <c r="AN936" s="44"/>
      <c r="AO936" s="44"/>
      <c r="AP936" s="44"/>
      <c r="AQ936" s="44"/>
      <c r="AR936" s="44"/>
      <c r="AS936" s="44"/>
      <c r="AT936" s="45"/>
      <c r="AY936" s="45"/>
      <c r="BH936" s="45"/>
      <c r="BK936" s="45"/>
      <c r="BT936" s="45"/>
      <c r="BU936" s="45"/>
      <c r="CK936" s="10"/>
      <c r="EF936" s="20"/>
      <c r="FD936" s="21"/>
      <c r="FE936" s="21"/>
      <c r="FN936" s="22"/>
      <c r="FO936" s="22"/>
      <c r="FZ936" s="23"/>
      <c r="GA936" s="23"/>
      <c r="JD936" s="26"/>
      <c r="JE936" s="26"/>
      <c r="JF936" s="27"/>
      <c r="JG936" s="27"/>
      <c r="KL936" s="28"/>
      <c r="KP936" s="28"/>
      <c r="KT936" s="28"/>
      <c r="KX936" s="28"/>
      <c r="LB936" s="28"/>
      <c r="LF936" s="28"/>
      <c r="LJ936" s="28"/>
    </row>
    <row r="937" spans="1:322" ht="13.2">
      <c r="A937" s="42"/>
      <c r="B937" s="42"/>
      <c r="C937" s="42"/>
      <c r="D937" s="52"/>
      <c r="E937" s="52"/>
      <c r="O937" s="43"/>
      <c r="AL937" s="44"/>
      <c r="AM937" s="44"/>
      <c r="AN937" s="44"/>
      <c r="AO937" s="44"/>
      <c r="AP937" s="44"/>
      <c r="AQ937" s="44"/>
      <c r="AR937" s="44"/>
      <c r="AS937" s="44"/>
      <c r="AT937" s="45"/>
      <c r="AY937" s="45"/>
      <c r="BH937" s="45"/>
      <c r="BK937" s="45"/>
      <c r="BT937" s="45"/>
      <c r="BU937" s="45"/>
      <c r="CK937" s="10"/>
      <c r="EF937" s="20"/>
      <c r="FD937" s="21"/>
      <c r="FE937" s="21"/>
      <c r="FN937" s="22"/>
      <c r="FO937" s="22"/>
      <c r="FZ937" s="23"/>
      <c r="GA937" s="23"/>
      <c r="JD937" s="26"/>
      <c r="JE937" s="26"/>
      <c r="JF937" s="27"/>
      <c r="JG937" s="27"/>
      <c r="KL937" s="28"/>
      <c r="KP937" s="28"/>
      <c r="KT937" s="28"/>
      <c r="KX937" s="28"/>
      <c r="LB937" s="28"/>
      <c r="LF937" s="28"/>
      <c r="LJ937" s="28"/>
    </row>
    <row r="938" spans="1:322" ht="13.2">
      <c r="A938" s="42"/>
      <c r="B938" s="42"/>
      <c r="C938" s="42"/>
      <c r="D938" s="52"/>
      <c r="E938" s="52"/>
      <c r="O938" s="43"/>
      <c r="AL938" s="44"/>
      <c r="AM938" s="44"/>
      <c r="AN938" s="44"/>
      <c r="AO938" s="44"/>
      <c r="AP938" s="44"/>
      <c r="AQ938" s="44"/>
      <c r="AR938" s="44"/>
      <c r="AS938" s="44"/>
      <c r="AT938" s="45"/>
      <c r="AY938" s="45"/>
      <c r="BH938" s="45"/>
      <c r="BK938" s="45"/>
      <c r="BT938" s="45"/>
      <c r="BU938" s="45"/>
      <c r="CK938" s="10"/>
      <c r="EF938" s="20"/>
      <c r="FD938" s="21"/>
      <c r="FE938" s="21"/>
      <c r="FN938" s="22"/>
      <c r="FO938" s="22"/>
      <c r="FZ938" s="23"/>
      <c r="GA938" s="23"/>
      <c r="JD938" s="26"/>
      <c r="JE938" s="26"/>
      <c r="JF938" s="27"/>
      <c r="JG938" s="27"/>
      <c r="KL938" s="28"/>
      <c r="KP938" s="28"/>
      <c r="KT938" s="28"/>
      <c r="KX938" s="28"/>
      <c r="LB938" s="28"/>
      <c r="LF938" s="28"/>
      <c r="LJ938" s="28"/>
    </row>
    <row r="939" spans="1:322" ht="13.2">
      <c r="A939" s="42"/>
      <c r="B939" s="42"/>
      <c r="C939" s="42"/>
      <c r="D939" s="52"/>
      <c r="E939" s="52"/>
      <c r="O939" s="43"/>
      <c r="AL939" s="44"/>
      <c r="AM939" s="44"/>
      <c r="AN939" s="44"/>
      <c r="AO939" s="44"/>
      <c r="AP939" s="44"/>
      <c r="AQ939" s="44"/>
      <c r="AR939" s="44"/>
      <c r="AS939" s="44"/>
      <c r="AT939" s="45"/>
      <c r="AY939" s="45"/>
      <c r="BH939" s="45"/>
      <c r="BK939" s="45"/>
      <c r="BT939" s="45"/>
      <c r="BU939" s="45"/>
      <c r="CK939" s="10"/>
      <c r="EF939" s="20"/>
      <c r="FD939" s="21"/>
      <c r="FE939" s="21"/>
      <c r="FN939" s="22"/>
      <c r="FO939" s="22"/>
      <c r="FZ939" s="23"/>
      <c r="GA939" s="23"/>
      <c r="JD939" s="26"/>
      <c r="JE939" s="26"/>
      <c r="JF939" s="27"/>
      <c r="JG939" s="27"/>
      <c r="KL939" s="28"/>
      <c r="KP939" s="28"/>
      <c r="KT939" s="28"/>
      <c r="KX939" s="28"/>
      <c r="LB939" s="28"/>
      <c r="LF939" s="28"/>
      <c r="LJ939" s="28"/>
    </row>
    <row r="940" spans="1:322" ht="13.2">
      <c r="A940" s="42"/>
      <c r="B940" s="42"/>
      <c r="C940" s="42"/>
      <c r="D940" s="52"/>
      <c r="E940" s="52"/>
      <c r="O940" s="43"/>
      <c r="AL940" s="44"/>
      <c r="AM940" s="44"/>
      <c r="AN940" s="44"/>
      <c r="AO940" s="44"/>
      <c r="AP940" s="44"/>
      <c r="AQ940" s="44"/>
      <c r="AR940" s="44"/>
      <c r="AS940" s="44"/>
      <c r="AT940" s="45"/>
      <c r="AY940" s="45"/>
      <c r="BH940" s="45"/>
      <c r="BK940" s="45"/>
      <c r="BT940" s="45"/>
      <c r="BU940" s="45"/>
      <c r="CK940" s="10"/>
      <c r="EF940" s="20"/>
      <c r="FD940" s="21"/>
      <c r="FE940" s="21"/>
      <c r="FN940" s="22"/>
      <c r="FO940" s="22"/>
      <c r="FZ940" s="23"/>
      <c r="GA940" s="23"/>
      <c r="JD940" s="26"/>
      <c r="JE940" s="26"/>
      <c r="JF940" s="27"/>
      <c r="JG940" s="27"/>
      <c r="KL940" s="28"/>
      <c r="KP940" s="28"/>
      <c r="KT940" s="28"/>
      <c r="KX940" s="28"/>
      <c r="LB940" s="28"/>
      <c r="LF940" s="28"/>
      <c r="LJ940" s="28"/>
    </row>
    <row r="941" spans="1:322" ht="13.2">
      <c r="A941" s="42"/>
      <c r="B941" s="42"/>
      <c r="C941" s="42"/>
      <c r="D941" s="52"/>
      <c r="E941" s="52"/>
      <c r="O941" s="43"/>
      <c r="AL941" s="44"/>
      <c r="AM941" s="44"/>
      <c r="AN941" s="44"/>
      <c r="AO941" s="44"/>
      <c r="AP941" s="44"/>
      <c r="AQ941" s="44"/>
      <c r="AR941" s="44"/>
      <c r="AS941" s="44"/>
      <c r="AT941" s="45"/>
      <c r="AY941" s="45"/>
      <c r="BH941" s="45"/>
      <c r="BK941" s="45"/>
      <c r="BT941" s="45"/>
      <c r="BU941" s="45"/>
      <c r="CK941" s="10"/>
      <c r="EF941" s="20"/>
      <c r="FD941" s="21"/>
      <c r="FE941" s="21"/>
      <c r="FN941" s="22"/>
      <c r="FO941" s="22"/>
      <c r="FZ941" s="23"/>
      <c r="GA941" s="23"/>
      <c r="JD941" s="26"/>
      <c r="JE941" s="26"/>
      <c r="JF941" s="27"/>
      <c r="JG941" s="27"/>
      <c r="KL941" s="28"/>
      <c r="KP941" s="28"/>
      <c r="KT941" s="28"/>
      <c r="KX941" s="28"/>
      <c r="LB941" s="28"/>
      <c r="LF941" s="28"/>
      <c r="LJ941" s="28"/>
    </row>
    <row r="942" spans="1:322" ht="13.2">
      <c r="A942" s="42"/>
      <c r="B942" s="42"/>
      <c r="C942" s="42"/>
      <c r="D942" s="52"/>
      <c r="E942" s="52"/>
      <c r="O942" s="43"/>
      <c r="AL942" s="44"/>
      <c r="AM942" s="44"/>
      <c r="AN942" s="44"/>
      <c r="AO942" s="44"/>
      <c r="AP942" s="44"/>
      <c r="AQ942" s="44"/>
      <c r="AR942" s="44"/>
      <c r="AS942" s="44"/>
      <c r="AT942" s="45"/>
      <c r="AY942" s="45"/>
      <c r="BH942" s="45"/>
      <c r="BK942" s="45"/>
      <c r="BT942" s="45"/>
      <c r="BU942" s="45"/>
      <c r="CK942" s="10"/>
      <c r="EF942" s="20"/>
      <c r="FD942" s="21"/>
      <c r="FE942" s="21"/>
      <c r="FN942" s="22"/>
      <c r="FO942" s="22"/>
      <c r="FZ942" s="23"/>
      <c r="GA942" s="23"/>
      <c r="JD942" s="26"/>
      <c r="JE942" s="26"/>
      <c r="JF942" s="27"/>
      <c r="JG942" s="27"/>
      <c r="KL942" s="28"/>
      <c r="KP942" s="28"/>
      <c r="KT942" s="28"/>
      <c r="KX942" s="28"/>
      <c r="LB942" s="28"/>
      <c r="LF942" s="28"/>
      <c r="LJ942" s="28"/>
    </row>
    <row r="943" spans="1:322" ht="13.2">
      <c r="A943" s="42"/>
      <c r="B943" s="42"/>
      <c r="C943" s="42"/>
      <c r="D943" s="52"/>
      <c r="E943" s="52"/>
      <c r="O943" s="43"/>
      <c r="AL943" s="44"/>
      <c r="AM943" s="44"/>
      <c r="AN943" s="44"/>
      <c r="AO943" s="44"/>
      <c r="AP943" s="44"/>
      <c r="AQ943" s="44"/>
      <c r="AR943" s="44"/>
      <c r="AS943" s="44"/>
      <c r="AT943" s="45"/>
      <c r="AY943" s="45"/>
      <c r="BH943" s="45"/>
      <c r="BK943" s="45"/>
      <c r="BT943" s="45"/>
      <c r="BU943" s="45"/>
      <c r="CK943" s="10"/>
      <c r="EF943" s="20"/>
      <c r="FD943" s="21"/>
      <c r="FE943" s="21"/>
      <c r="FN943" s="22"/>
      <c r="FO943" s="22"/>
      <c r="FZ943" s="23"/>
      <c r="GA943" s="23"/>
      <c r="JD943" s="26"/>
      <c r="JE943" s="26"/>
      <c r="JF943" s="27"/>
      <c r="JG943" s="27"/>
      <c r="KL943" s="28"/>
      <c r="KP943" s="28"/>
      <c r="KT943" s="28"/>
      <c r="KX943" s="28"/>
      <c r="LB943" s="28"/>
      <c r="LF943" s="28"/>
      <c r="LJ943" s="28"/>
    </row>
    <row r="944" spans="1:322" ht="13.2">
      <c r="A944" s="42"/>
      <c r="B944" s="42"/>
      <c r="C944" s="42"/>
      <c r="D944" s="52"/>
      <c r="E944" s="52"/>
      <c r="O944" s="43"/>
      <c r="AL944" s="44"/>
      <c r="AM944" s="44"/>
      <c r="AN944" s="44"/>
      <c r="AO944" s="44"/>
      <c r="AP944" s="44"/>
      <c r="AQ944" s="44"/>
      <c r="AR944" s="44"/>
      <c r="AS944" s="44"/>
      <c r="AT944" s="45"/>
      <c r="AY944" s="45"/>
      <c r="BH944" s="45"/>
      <c r="BK944" s="45"/>
      <c r="BT944" s="45"/>
      <c r="BU944" s="45"/>
      <c r="CK944" s="10"/>
      <c r="EF944" s="20"/>
      <c r="FD944" s="21"/>
      <c r="FE944" s="21"/>
      <c r="FN944" s="22"/>
      <c r="FO944" s="22"/>
      <c r="FZ944" s="23"/>
      <c r="GA944" s="23"/>
      <c r="JD944" s="26"/>
      <c r="JE944" s="26"/>
      <c r="JF944" s="27"/>
      <c r="JG944" s="27"/>
      <c r="KL944" s="28"/>
      <c r="KP944" s="28"/>
      <c r="KT944" s="28"/>
      <c r="KX944" s="28"/>
      <c r="LB944" s="28"/>
      <c r="LF944" s="28"/>
      <c r="LJ944" s="28"/>
    </row>
    <row r="945" spans="1:322" ht="13.2">
      <c r="A945" s="42"/>
      <c r="B945" s="42"/>
      <c r="C945" s="42"/>
      <c r="D945" s="52"/>
      <c r="E945" s="52"/>
      <c r="O945" s="43"/>
      <c r="AL945" s="44"/>
      <c r="AM945" s="44"/>
      <c r="AN945" s="44"/>
      <c r="AO945" s="44"/>
      <c r="AP945" s="44"/>
      <c r="AQ945" s="44"/>
      <c r="AR945" s="44"/>
      <c r="AS945" s="44"/>
      <c r="AT945" s="45"/>
      <c r="AY945" s="45"/>
      <c r="BH945" s="45"/>
      <c r="BK945" s="45"/>
      <c r="BT945" s="45"/>
      <c r="BU945" s="45"/>
      <c r="CK945" s="10"/>
      <c r="EF945" s="20"/>
      <c r="FD945" s="21"/>
      <c r="FE945" s="21"/>
      <c r="FN945" s="22"/>
      <c r="FO945" s="22"/>
      <c r="FZ945" s="23"/>
      <c r="GA945" s="23"/>
      <c r="JD945" s="26"/>
      <c r="JE945" s="26"/>
      <c r="JF945" s="27"/>
      <c r="JG945" s="27"/>
      <c r="KL945" s="28"/>
      <c r="KP945" s="28"/>
      <c r="KT945" s="28"/>
      <c r="KX945" s="28"/>
      <c r="LB945" s="28"/>
      <c r="LF945" s="28"/>
      <c r="LJ945" s="28"/>
    </row>
    <row r="946" spans="1:322" ht="13.2">
      <c r="A946" s="42"/>
      <c r="B946" s="42"/>
      <c r="C946" s="42"/>
      <c r="D946" s="52"/>
      <c r="E946" s="52"/>
      <c r="O946" s="43"/>
      <c r="AL946" s="44"/>
      <c r="AM946" s="44"/>
      <c r="AN946" s="44"/>
      <c r="AO946" s="44"/>
      <c r="AP946" s="44"/>
      <c r="AQ946" s="44"/>
      <c r="AR946" s="44"/>
      <c r="AS946" s="44"/>
      <c r="AT946" s="45"/>
      <c r="AY946" s="45"/>
      <c r="BH946" s="45"/>
      <c r="BK946" s="45"/>
      <c r="BT946" s="45"/>
      <c r="BU946" s="45"/>
      <c r="CK946" s="10"/>
      <c r="EF946" s="20"/>
      <c r="FD946" s="21"/>
      <c r="FE946" s="21"/>
      <c r="FN946" s="22"/>
      <c r="FO946" s="22"/>
      <c r="FZ946" s="23"/>
      <c r="GA946" s="23"/>
      <c r="JD946" s="26"/>
      <c r="JE946" s="26"/>
      <c r="JF946" s="27"/>
      <c r="JG946" s="27"/>
      <c r="KL946" s="28"/>
      <c r="KP946" s="28"/>
      <c r="KT946" s="28"/>
      <c r="KX946" s="28"/>
      <c r="LB946" s="28"/>
      <c r="LF946" s="28"/>
      <c r="LJ946" s="28"/>
    </row>
    <row r="947" spans="1:322" ht="13.2">
      <c r="A947" s="42"/>
      <c r="B947" s="42"/>
      <c r="C947" s="42"/>
      <c r="D947" s="52"/>
      <c r="E947" s="52"/>
      <c r="O947" s="43"/>
      <c r="AL947" s="44"/>
      <c r="AM947" s="44"/>
      <c r="AN947" s="44"/>
      <c r="AO947" s="44"/>
      <c r="AP947" s="44"/>
      <c r="AQ947" s="44"/>
      <c r="AR947" s="44"/>
      <c r="AS947" s="44"/>
      <c r="AT947" s="45"/>
      <c r="AY947" s="45"/>
      <c r="BH947" s="45"/>
      <c r="BK947" s="45"/>
      <c r="BT947" s="45"/>
      <c r="BU947" s="45"/>
      <c r="CK947" s="10"/>
      <c r="EF947" s="20"/>
      <c r="FD947" s="21"/>
      <c r="FE947" s="21"/>
      <c r="FN947" s="22"/>
      <c r="FO947" s="22"/>
      <c r="FZ947" s="23"/>
      <c r="GA947" s="23"/>
      <c r="JD947" s="26"/>
      <c r="JE947" s="26"/>
      <c r="JF947" s="27"/>
      <c r="JG947" s="27"/>
      <c r="KL947" s="28"/>
      <c r="KP947" s="28"/>
      <c r="KT947" s="28"/>
      <c r="KX947" s="28"/>
      <c r="LB947" s="28"/>
      <c r="LF947" s="28"/>
      <c r="LJ947" s="28"/>
    </row>
    <row r="948" spans="1:322" ht="13.2">
      <c r="A948" s="42"/>
      <c r="B948" s="42"/>
      <c r="C948" s="42"/>
      <c r="D948" s="52"/>
      <c r="E948" s="52"/>
      <c r="O948" s="43"/>
      <c r="AL948" s="44"/>
      <c r="AM948" s="44"/>
      <c r="AN948" s="44"/>
      <c r="AO948" s="44"/>
      <c r="AP948" s="44"/>
      <c r="AQ948" s="44"/>
      <c r="AR948" s="44"/>
      <c r="AS948" s="44"/>
      <c r="AT948" s="45"/>
      <c r="AY948" s="45"/>
      <c r="BH948" s="45"/>
      <c r="BK948" s="45"/>
      <c r="BT948" s="45"/>
      <c r="BU948" s="45"/>
      <c r="CK948" s="10"/>
      <c r="EF948" s="20"/>
      <c r="FD948" s="21"/>
      <c r="FE948" s="21"/>
      <c r="FN948" s="22"/>
      <c r="FO948" s="22"/>
      <c r="FZ948" s="23"/>
      <c r="GA948" s="23"/>
      <c r="JD948" s="26"/>
      <c r="JE948" s="26"/>
      <c r="JF948" s="27"/>
      <c r="JG948" s="27"/>
      <c r="KL948" s="28"/>
      <c r="KP948" s="28"/>
      <c r="KT948" s="28"/>
      <c r="KX948" s="28"/>
      <c r="LB948" s="28"/>
      <c r="LF948" s="28"/>
      <c r="LJ948" s="28"/>
    </row>
    <row r="949" spans="1:322" ht="13.2">
      <c r="A949" s="42"/>
      <c r="B949" s="42"/>
      <c r="C949" s="42"/>
      <c r="D949" s="52"/>
      <c r="E949" s="52"/>
      <c r="O949" s="43"/>
      <c r="AL949" s="44"/>
      <c r="AM949" s="44"/>
      <c r="AN949" s="44"/>
      <c r="AO949" s="44"/>
      <c r="AP949" s="44"/>
      <c r="AQ949" s="44"/>
      <c r="AR949" s="44"/>
      <c r="AS949" s="44"/>
      <c r="AT949" s="45"/>
      <c r="AY949" s="45"/>
      <c r="BH949" s="45"/>
      <c r="BK949" s="45"/>
      <c r="BT949" s="45"/>
      <c r="BU949" s="45"/>
      <c r="CK949" s="10"/>
      <c r="EF949" s="20"/>
      <c r="FD949" s="21"/>
      <c r="FE949" s="21"/>
      <c r="FN949" s="22"/>
      <c r="FO949" s="22"/>
      <c r="FZ949" s="23"/>
      <c r="GA949" s="23"/>
      <c r="JD949" s="26"/>
      <c r="JE949" s="26"/>
      <c r="JF949" s="27"/>
      <c r="JG949" s="27"/>
      <c r="KL949" s="28"/>
      <c r="KP949" s="28"/>
      <c r="KT949" s="28"/>
      <c r="KX949" s="28"/>
      <c r="LB949" s="28"/>
      <c r="LF949" s="28"/>
      <c r="LJ949" s="28"/>
    </row>
    <row r="950" spans="1:322" ht="13.2">
      <c r="A950" s="42"/>
      <c r="B950" s="42"/>
      <c r="C950" s="42"/>
      <c r="D950" s="52"/>
      <c r="E950" s="52"/>
      <c r="O950" s="43"/>
      <c r="AL950" s="44"/>
      <c r="AM950" s="44"/>
      <c r="AN950" s="44"/>
      <c r="AO950" s="44"/>
      <c r="AP950" s="44"/>
      <c r="AQ950" s="44"/>
      <c r="AR950" s="44"/>
      <c r="AS950" s="44"/>
      <c r="AT950" s="45"/>
      <c r="AY950" s="45"/>
      <c r="BH950" s="45"/>
      <c r="BK950" s="45"/>
      <c r="BT950" s="45"/>
      <c r="BU950" s="45"/>
      <c r="CK950" s="10"/>
      <c r="EF950" s="20"/>
      <c r="FD950" s="21"/>
      <c r="FE950" s="21"/>
      <c r="FN950" s="22"/>
      <c r="FO950" s="22"/>
      <c r="FZ950" s="23"/>
      <c r="GA950" s="23"/>
      <c r="JD950" s="26"/>
      <c r="JE950" s="26"/>
      <c r="JF950" s="27"/>
      <c r="JG950" s="27"/>
      <c r="KL950" s="28"/>
      <c r="KP950" s="28"/>
      <c r="KT950" s="28"/>
      <c r="KX950" s="28"/>
      <c r="LB950" s="28"/>
      <c r="LF950" s="28"/>
      <c r="LJ950" s="28"/>
    </row>
    <row r="951" spans="1:322" ht="13.2">
      <c r="A951" s="42"/>
      <c r="B951" s="42"/>
      <c r="C951" s="42"/>
      <c r="D951" s="52"/>
      <c r="E951" s="52"/>
      <c r="O951" s="43"/>
      <c r="AL951" s="44"/>
      <c r="AM951" s="44"/>
      <c r="AN951" s="44"/>
      <c r="AO951" s="44"/>
      <c r="AP951" s="44"/>
      <c r="AQ951" s="44"/>
      <c r="AR951" s="44"/>
      <c r="AS951" s="44"/>
      <c r="AT951" s="45"/>
      <c r="AY951" s="45"/>
      <c r="BH951" s="45"/>
      <c r="BK951" s="45"/>
      <c r="BT951" s="45"/>
      <c r="BU951" s="45"/>
      <c r="CK951" s="10"/>
      <c r="EF951" s="20"/>
      <c r="FD951" s="21"/>
      <c r="FE951" s="21"/>
      <c r="FN951" s="22"/>
      <c r="FO951" s="22"/>
      <c r="FZ951" s="23"/>
      <c r="GA951" s="23"/>
      <c r="JD951" s="26"/>
      <c r="JE951" s="26"/>
      <c r="JF951" s="27"/>
      <c r="JG951" s="27"/>
      <c r="KL951" s="28"/>
      <c r="KP951" s="28"/>
      <c r="KT951" s="28"/>
      <c r="KX951" s="28"/>
      <c r="LB951" s="28"/>
      <c r="LF951" s="28"/>
      <c r="LJ951" s="28"/>
    </row>
    <row r="952" spans="1:322" ht="13.2">
      <c r="A952" s="42"/>
      <c r="B952" s="42"/>
      <c r="C952" s="42"/>
      <c r="D952" s="52"/>
      <c r="E952" s="52"/>
      <c r="O952" s="43"/>
      <c r="AL952" s="44"/>
      <c r="AM952" s="44"/>
      <c r="AN952" s="44"/>
      <c r="AO952" s="44"/>
      <c r="AP952" s="44"/>
      <c r="AQ952" s="44"/>
      <c r="AR952" s="44"/>
      <c r="AS952" s="44"/>
      <c r="AT952" s="45"/>
      <c r="AY952" s="45"/>
      <c r="BH952" s="45"/>
      <c r="BK952" s="45"/>
      <c r="BT952" s="45"/>
      <c r="BU952" s="45"/>
      <c r="CK952" s="10"/>
      <c r="EF952" s="20"/>
      <c r="FD952" s="21"/>
      <c r="FE952" s="21"/>
      <c r="FN952" s="22"/>
      <c r="FO952" s="22"/>
      <c r="FZ952" s="23"/>
      <c r="GA952" s="23"/>
      <c r="JD952" s="26"/>
      <c r="JE952" s="26"/>
      <c r="JF952" s="27"/>
      <c r="JG952" s="27"/>
      <c r="KL952" s="28"/>
      <c r="KP952" s="28"/>
      <c r="KT952" s="28"/>
      <c r="KX952" s="28"/>
      <c r="LB952" s="28"/>
      <c r="LF952" s="28"/>
      <c r="LJ952" s="28"/>
    </row>
    <row r="953" spans="1:322" ht="13.2">
      <c r="A953" s="42"/>
      <c r="B953" s="42"/>
      <c r="C953" s="42"/>
      <c r="D953" s="52"/>
      <c r="E953" s="52"/>
      <c r="O953" s="43"/>
      <c r="AL953" s="44"/>
      <c r="AM953" s="44"/>
      <c r="AN953" s="44"/>
      <c r="AO953" s="44"/>
      <c r="AP953" s="44"/>
      <c r="AQ953" s="44"/>
      <c r="AR953" s="44"/>
      <c r="AS953" s="44"/>
      <c r="AT953" s="45"/>
      <c r="AY953" s="45"/>
      <c r="BH953" s="45"/>
      <c r="BK953" s="45"/>
      <c r="BT953" s="45"/>
      <c r="BU953" s="45"/>
      <c r="CK953" s="10"/>
      <c r="EF953" s="20"/>
      <c r="FD953" s="21"/>
      <c r="FE953" s="21"/>
      <c r="FN953" s="22"/>
      <c r="FO953" s="22"/>
      <c r="FZ953" s="23"/>
      <c r="GA953" s="23"/>
      <c r="JD953" s="26"/>
      <c r="JE953" s="26"/>
      <c r="JF953" s="27"/>
      <c r="JG953" s="27"/>
      <c r="KL953" s="28"/>
      <c r="KP953" s="28"/>
      <c r="KT953" s="28"/>
      <c r="KX953" s="28"/>
      <c r="LB953" s="28"/>
      <c r="LF953" s="28"/>
      <c r="LJ953" s="28"/>
    </row>
    <row r="954" spans="1:322" ht="13.2">
      <c r="A954" s="42"/>
      <c r="B954" s="42"/>
      <c r="C954" s="42"/>
      <c r="D954" s="52"/>
      <c r="E954" s="52"/>
      <c r="O954" s="43"/>
      <c r="AL954" s="44"/>
      <c r="AM954" s="44"/>
      <c r="AN954" s="44"/>
      <c r="AO954" s="44"/>
      <c r="AP954" s="44"/>
      <c r="AQ954" s="44"/>
      <c r="AR954" s="44"/>
      <c r="AS954" s="44"/>
      <c r="AT954" s="45"/>
      <c r="AY954" s="45"/>
      <c r="BH954" s="45"/>
      <c r="BK954" s="45"/>
      <c r="BT954" s="45"/>
      <c r="BU954" s="45"/>
      <c r="CK954" s="10"/>
      <c r="EF954" s="20"/>
      <c r="FD954" s="21"/>
      <c r="FE954" s="21"/>
      <c r="FN954" s="22"/>
      <c r="FO954" s="22"/>
      <c r="FZ954" s="23"/>
      <c r="GA954" s="23"/>
      <c r="JD954" s="26"/>
      <c r="JE954" s="26"/>
      <c r="JF954" s="27"/>
      <c r="JG954" s="27"/>
      <c r="KL954" s="28"/>
      <c r="KP954" s="28"/>
      <c r="KT954" s="28"/>
      <c r="KX954" s="28"/>
      <c r="LB954" s="28"/>
      <c r="LF954" s="28"/>
      <c r="LJ954" s="28"/>
    </row>
    <row r="955" spans="1:322" ht="13.2">
      <c r="A955" s="42"/>
      <c r="B955" s="42"/>
      <c r="C955" s="42"/>
      <c r="D955" s="52"/>
      <c r="E955" s="52"/>
      <c r="O955" s="43"/>
      <c r="AL955" s="44"/>
      <c r="AM955" s="44"/>
      <c r="AN955" s="44"/>
      <c r="AO955" s="44"/>
      <c r="AP955" s="44"/>
      <c r="AQ955" s="44"/>
      <c r="AR955" s="44"/>
      <c r="AS955" s="44"/>
      <c r="AT955" s="45"/>
      <c r="AY955" s="45"/>
      <c r="BH955" s="45"/>
      <c r="BK955" s="45"/>
      <c r="BT955" s="45"/>
      <c r="BU955" s="45"/>
      <c r="CK955" s="10"/>
      <c r="EF955" s="20"/>
      <c r="FD955" s="21"/>
      <c r="FE955" s="21"/>
      <c r="FN955" s="22"/>
      <c r="FO955" s="22"/>
      <c r="FZ955" s="23"/>
      <c r="GA955" s="23"/>
      <c r="JD955" s="26"/>
      <c r="JE955" s="26"/>
      <c r="JF955" s="27"/>
      <c r="JG955" s="27"/>
      <c r="KL955" s="28"/>
      <c r="KP955" s="28"/>
      <c r="KT955" s="28"/>
      <c r="KX955" s="28"/>
      <c r="LB955" s="28"/>
      <c r="LF955" s="28"/>
      <c r="LJ955" s="28"/>
    </row>
    <row r="956" spans="1:322" ht="13.2">
      <c r="A956" s="42"/>
      <c r="B956" s="42"/>
      <c r="C956" s="42"/>
      <c r="D956" s="52"/>
      <c r="E956" s="52"/>
      <c r="O956" s="43"/>
      <c r="AL956" s="44"/>
      <c r="AM956" s="44"/>
      <c r="AN956" s="44"/>
      <c r="AO956" s="44"/>
      <c r="AP956" s="44"/>
      <c r="AQ956" s="44"/>
      <c r="AR956" s="44"/>
      <c r="AS956" s="44"/>
      <c r="AT956" s="45"/>
      <c r="AY956" s="45"/>
      <c r="BH956" s="45"/>
      <c r="BK956" s="45"/>
      <c r="BT956" s="45"/>
      <c r="BU956" s="45"/>
      <c r="CK956" s="10"/>
      <c r="EF956" s="20"/>
      <c r="FD956" s="21"/>
      <c r="FE956" s="21"/>
      <c r="FN956" s="22"/>
      <c r="FO956" s="22"/>
      <c r="FZ956" s="23"/>
      <c r="GA956" s="23"/>
      <c r="JD956" s="26"/>
      <c r="JE956" s="26"/>
      <c r="JF956" s="27"/>
      <c r="JG956" s="27"/>
      <c r="KL956" s="28"/>
      <c r="KP956" s="28"/>
      <c r="KT956" s="28"/>
      <c r="KX956" s="28"/>
      <c r="LB956" s="28"/>
      <c r="LF956" s="28"/>
      <c r="LJ956" s="28"/>
    </row>
    <row r="957" spans="1:322" ht="13.2">
      <c r="A957" s="42"/>
      <c r="B957" s="42"/>
      <c r="C957" s="42"/>
      <c r="D957" s="52"/>
      <c r="E957" s="52"/>
      <c r="O957" s="43"/>
      <c r="AL957" s="44"/>
      <c r="AM957" s="44"/>
      <c r="AN957" s="44"/>
      <c r="AO957" s="44"/>
      <c r="AP957" s="44"/>
      <c r="AQ957" s="44"/>
      <c r="AR957" s="44"/>
      <c r="AS957" s="44"/>
      <c r="AT957" s="45"/>
      <c r="AY957" s="45"/>
      <c r="BH957" s="45"/>
      <c r="BK957" s="45"/>
      <c r="BT957" s="45"/>
      <c r="BU957" s="45"/>
      <c r="CK957" s="10"/>
      <c r="EF957" s="20"/>
      <c r="FD957" s="21"/>
      <c r="FE957" s="21"/>
      <c r="FN957" s="22"/>
      <c r="FO957" s="22"/>
      <c r="FZ957" s="23"/>
      <c r="GA957" s="23"/>
      <c r="JD957" s="26"/>
      <c r="JE957" s="26"/>
      <c r="JF957" s="27"/>
      <c r="JG957" s="27"/>
      <c r="KL957" s="28"/>
      <c r="KP957" s="28"/>
      <c r="KT957" s="28"/>
      <c r="KX957" s="28"/>
      <c r="LB957" s="28"/>
      <c r="LF957" s="28"/>
      <c r="LJ957" s="28"/>
    </row>
    <row r="958" spans="1:322" ht="13.2">
      <c r="A958" s="42"/>
      <c r="B958" s="42"/>
      <c r="C958" s="42"/>
      <c r="D958" s="52"/>
      <c r="E958" s="52"/>
      <c r="O958" s="43"/>
      <c r="AL958" s="44"/>
      <c r="AM958" s="44"/>
      <c r="AN958" s="44"/>
      <c r="AO958" s="44"/>
      <c r="AP958" s="44"/>
      <c r="AQ958" s="44"/>
      <c r="AR958" s="44"/>
      <c r="AS958" s="44"/>
      <c r="AT958" s="45"/>
      <c r="AY958" s="45"/>
      <c r="BH958" s="45"/>
      <c r="BK958" s="45"/>
      <c r="BT958" s="45"/>
      <c r="BU958" s="45"/>
      <c r="CK958" s="10"/>
      <c r="EF958" s="20"/>
      <c r="FD958" s="21"/>
      <c r="FE958" s="21"/>
      <c r="FN958" s="22"/>
      <c r="FO958" s="22"/>
      <c r="FZ958" s="23"/>
      <c r="GA958" s="23"/>
      <c r="JD958" s="26"/>
      <c r="JE958" s="26"/>
      <c r="JF958" s="27"/>
      <c r="JG958" s="27"/>
      <c r="KL958" s="28"/>
      <c r="KP958" s="28"/>
      <c r="KT958" s="28"/>
      <c r="KX958" s="28"/>
      <c r="LB958" s="28"/>
      <c r="LF958" s="28"/>
      <c r="LJ958" s="28"/>
    </row>
    <row r="959" spans="1:322" ht="13.2">
      <c r="A959" s="42"/>
      <c r="B959" s="42"/>
      <c r="C959" s="42"/>
      <c r="D959" s="52"/>
      <c r="E959" s="52"/>
      <c r="O959" s="43"/>
      <c r="AL959" s="44"/>
      <c r="AM959" s="44"/>
      <c r="AN959" s="44"/>
      <c r="AO959" s="44"/>
      <c r="AP959" s="44"/>
      <c r="AQ959" s="44"/>
      <c r="AR959" s="44"/>
      <c r="AS959" s="44"/>
      <c r="AT959" s="45"/>
      <c r="AY959" s="45"/>
      <c r="BH959" s="45"/>
      <c r="BK959" s="45"/>
      <c r="BT959" s="45"/>
      <c r="BU959" s="45"/>
      <c r="CK959" s="10"/>
      <c r="EF959" s="20"/>
      <c r="FD959" s="21"/>
      <c r="FE959" s="21"/>
      <c r="FN959" s="22"/>
      <c r="FO959" s="22"/>
      <c r="FZ959" s="23"/>
      <c r="GA959" s="23"/>
      <c r="JD959" s="26"/>
      <c r="JE959" s="26"/>
      <c r="JF959" s="27"/>
      <c r="JG959" s="27"/>
      <c r="KL959" s="28"/>
      <c r="KP959" s="28"/>
      <c r="KT959" s="28"/>
      <c r="KX959" s="28"/>
      <c r="LB959" s="28"/>
      <c r="LF959" s="28"/>
      <c r="LJ959" s="28"/>
    </row>
    <row r="960" spans="1:322" ht="13.2">
      <c r="A960" s="42"/>
      <c r="B960" s="42"/>
      <c r="C960" s="42"/>
      <c r="D960" s="52"/>
      <c r="E960" s="52"/>
      <c r="O960" s="43"/>
      <c r="AL960" s="44"/>
      <c r="AM960" s="44"/>
      <c r="AN960" s="44"/>
      <c r="AO960" s="44"/>
      <c r="AP960" s="44"/>
      <c r="AQ960" s="44"/>
      <c r="AR960" s="44"/>
      <c r="AS960" s="44"/>
      <c r="AT960" s="45"/>
      <c r="AY960" s="45"/>
      <c r="BH960" s="45"/>
      <c r="BK960" s="45"/>
      <c r="BT960" s="45"/>
      <c r="BU960" s="45"/>
      <c r="CK960" s="10"/>
      <c r="EF960" s="20"/>
      <c r="FD960" s="21"/>
      <c r="FE960" s="21"/>
      <c r="FN960" s="22"/>
      <c r="FO960" s="22"/>
      <c r="FZ960" s="23"/>
      <c r="GA960" s="23"/>
      <c r="JD960" s="26"/>
      <c r="JE960" s="26"/>
      <c r="JF960" s="27"/>
      <c r="JG960" s="27"/>
      <c r="KL960" s="28"/>
      <c r="KP960" s="28"/>
      <c r="KT960" s="28"/>
      <c r="KX960" s="28"/>
      <c r="LB960" s="28"/>
      <c r="LF960" s="28"/>
      <c r="LJ960" s="28"/>
    </row>
    <row r="961" spans="1:322" ht="13.2">
      <c r="A961" s="42"/>
      <c r="B961" s="42"/>
      <c r="C961" s="42"/>
      <c r="D961" s="52"/>
      <c r="E961" s="52"/>
      <c r="O961" s="43"/>
      <c r="AL961" s="44"/>
      <c r="AM961" s="44"/>
      <c r="AN961" s="44"/>
      <c r="AO961" s="44"/>
      <c r="AP961" s="44"/>
      <c r="AQ961" s="44"/>
      <c r="AR961" s="44"/>
      <c r="AS961" s="44"/>
      <c r="AT961" s="45"/>
      <c r="AY961" s="45"/>
      <c r="BH961" s="45"/>
      <c r="BK961" s="45"/>
      <c r="BT961" s="45"/>
      <c r="BU961" s="45"/>
      <c r="CK961" s="10"/>
      <c r="EF961" s="20"/>
      <c r="FD961" s="21"/>
      <c r="FE961" s="21"/>
      <c r="FN961" s="22"/>
      <c r="FO961" s="22"/>
      <c r="FZ961" s="23"/>
      <c r="GA961" s="23"/>
      <c r="JD961" s="26"/>
      <c r="JE961" s="26"/>
      <c r="JF961" s="27"/>
      <c r="JG961" s="27"/>
      <c r="KL961" s="28"/>
      <c r="KP961" s="28"/>
      <c r="KT961" s="28"/>
      <c r="KX961" s="28"/>
      <c r="LB961" s="28"/>
      <c r="LF961" s="28"/>
      <c r="LJ961" s="28"/>
    </row>
    <row r="962" spans="1:322" ht="13.2">
      <c r="A962" s="42"/>
      <c r="B962" s="42"/>
      <c r="C962" s="42"/>
      <c r="D962" s="52"/>
      <c r="E962" s="52"/>
      <c r="O962" s="43"/>
      <c r="AL962" s="44"/>
      <c r="AM962" s="44"/>
      <c r="AN962" s="44"/>
      <c r="AO962" s="44"/>
      <c r="AP962" s="44"/>
      <c r="AQ962" s="44"/>
      <c r="AR962" s="44"/>
      <c r="AS962" s="44"/>
      <c r="AT962" s="45"/>
      <c r="AY962" s="45"/>
      <c r="BH962" s="45"/>
      <c r="BK962" s="45"/>
      <c r="BT962" s="45"/>
      <c r="BU962" s="45"/>
      <c r="CK962" s="10"/>
      <c r="EF962" s="20"/>
      <c r="FD962" s="21"/>
      <c r="FE962" s="21"/>
      <c r="FN962" s="22"/>
      <c r="FO962" s="22"/>
      <c r="FZ962" s="23"/>
      <c r="GA962" s="23"/>
      <c r="JD962" s="26"/>
      <c r="JE962" s="26"/>
      <c r="JF962" s="27"/>
      <c r="JG962" s="27"/>
      <c r="KL962" s="28"/>
      <c r="KP962" s="28"/>
      <c r="KT962" s="28"/>
      <c r="KX962" s="28"/>
      <c r="LB962" s="28"/>
      <c r="LF962" s="28"/>
      <c r="LJ962" s="28"/>
    </row>
    <row r="963" spans="1:322" ht="13.2">
      <c r="A963" s="42"/>
      <c r="B963" s="42"/>
      <c r="C963" s="42"/>
      <c r="D963" s="52"/>
      <c r="E963" s="52"/>
      <c r="O963" s="43"/>
      <c r="AL963" s="44"/>
      <c r="AM963" s="44"/>
      <c r="AN963" s="44"/>
      <c r="AO963" s="44"/>
      <c r="AP963" s="44"/>
      <c r="AQ963" s="44"/>
      <c r="AR963" s="44"/>
      <c r="AS963" s="44"/>
      <c r="AT963" s="45"/>
      <c r="AY963" s="45"/>
      <c r="BH963" s="45"/>
      <c r="BK963" s="45"/>
      <c r="BT963" s="45"/>
      <c r="BU963" s="45"/>
      <c r="CK963" s="10"/>
      <c r="EF963" s="20"/>
      <c r="FD963" s="21"/>
      <c r="FE963" s="21"/>
      <c r="FN963" s="22"/>
      <c r="FO963" s="22"/>
      <c r="FZ963" s="23"/>
      <c r="GA963" s="23"/>
      <c r="JD963" s="26"/>
      <c r="JE963" s="26"/>
      <c r="JF963" s="27"/>
      <c r="JG963" s="27"/>
      <c r="KL963" s="28"/>
      <c r="KP963" s="28"/>
      <c r="KT963" s="28"/>
      <c r="KX963" s="28"/>
      <c r="LB963" s="28"/>
      <c r="LF963" s="28"/>
      <c r="LJ963" s="28"/>
    </row>
    <row r="964" spans="1:322" ht="13.2">
      <c r="A964" s="42"/>
      <c r="B964" s="42"/>
      <c r="C964" s="42"/>
      <c r="D964" s="52"/>
      <c r="E964" s="52"/>
      <c r="O964" s="43"/>
      <c r="AL964" s="44"/>
      <c r="AM964" s="44"/>
      <c r="AN964" s="44"/>
      <c r="AO964" s="44"/>
      <c r="AP964" s="44"/>
      <c r="AQ964" s="44"/>
      <c r="AR964" s="44"/>
      <c r="AS964" s="44"/>
      <c r="AT964" s="45"/>
      <c r="AY964" s="45"/>
      <c r="BH964" s="45"/>
      <c r="BK964" s="45"/>
      <c r="BT964" s="45"/>
      <c r="BU964" s="45"/>
      <c r="CK964" s="10"/>
      <c r="EF964" s="20"/>
      <c r="FD964" s="21"/>
      <c r="FE964" s="21"/>
      <c r="FN964" s="22"/>
      <c r="FO964" s="22"/>
      <c r="FZ964" s="23"/>
      <c r="GA964" s="23"/>
      <c r="JD964" s="26"/>
      <c r="JE964" s="26"/>
      <c r="JF964" s="27"/>
      <c r="JG964" s="27"/>
      <c r="KL964" s="28"/>
      <c r="KP964" s="28"/>
      <c r="KT964" s="28"/>
      <c r="KX964" s="28"/>
      <c r="LB964" s="28"/>
      <c r="LF964" s="28"/>
      <c r="LJ964" s="28"/>
    </row>
    <row r="965" spans="1:322" ht="13.2">
      <c r="A965" s="42"/>
      <c r="B965" s="42"/>
      <c r="C965" s="42"/>
      <c r="D965" s="52"/>
      <c r="E965" s="52"/>
      <c r="O965" s="43"/>
      <c r="AL965" s="44"/>
      <c r="AM965" s="44"/>
      <c r="AN965" s="44"/>
      <c r="AO965" s="44"/>
      <c r="AP965" s="44"/>
      <c r="AQ965" s="44"/>
      <c r="AR965" s="44"/>
      <c r="AS965" s="44"/>
      <c r="AT965" s="45"/>
      <c r="AY965" s="45"/>
      <c r="BH965" s="45"/>
      <c r="BK965" s="45"/>
      <c r="BT965" s="45"/>
      <c r="BU965" s="45"/>
      <c r="CK965" s="10"/>
      <c r="EF965" s="20"/>
      <c r="FD965" s="21"/>
      <c r="FE965" s="21"/>
      <c r="FN965" s="22"/>
      <c r="FO965" s="22"/>
      <c r="FZ965" s="23"/>
      <c r="GA965" s="23"/>
      <c r="JD965" s="26"/>
      <c r="JE965" s="26"/>
      <c r="JF965" s="27"/>
      <c r="JG965" s="27"/>
      <c r="KL965" s="28"/>
      <c r="KP965" s="28"/>
      <c r="KT965" s="28"/>
      <c r="KX965" s="28"/>
      <c r="LB965" s="28"/>
      <c r="LF965" s="28"/>
      <c r="LJ965" s="28"/>
    </row>
    <row r="966" spans="1:322" ht="13.2">
      <c r="A966" s="42"/>
      <c r="B966" s="42"/>
      <c r="C966" s="42"/>
      <c r="D966" s="52"/>
      <c r="E966" s="52"/>
      <c r="O966" s="43"/>
      <c r="AL966" s="44"/>
      <c r="AM966" s="44"/>
      <c r="AN966" s="44"/>
      <c r="AO966" s="44"/>
      <c r="AP966" s="44"/>
      <c r="AQ966" s="44"/>
      <c r="AR966" s="44"/>
      <c r="AS966" s="44"/>
      <c r="AT966" s="45"/>
      <c r="AY966" s="45"/>
      <c r="BH966" s="45"/>
      <c r="BK966" s="45"/>
      <c r="BT966" s="45"/>
      <c r="BU966" s="45"/>
      <c r="CK966" s="10"/>
      <c r="EF966" s="20"/>
      <c r="FD966" s="21"/>
      <c r="FE966" s="21"/>
      <c r="FN966" s="22"/>
      <c r="FO966" s="22"/>
      <c r="FZ966" s="23"/>
      <c r="GA966" s="23"/>
      <c r="JD966" s="26"/>
      <c r="JE966" s="26"/>
      <c r="JF966" s="27"/>
      <c r="JG966" s="27"/>
      <c r="KL966" s="28"/>
      <c r="KP966" s="28"/>
      <c r="KT966" s="28"/>
      <c r="KX966" s="28"/>
      <c r="LB966" s="28"/>
      <c r="LF966" s="28"/>
      <c r="LJ966" s="28"/>
    </row>
    <row r="967" spans="1:322" ht="13.2">
      <c r="A967" s="42"/>
      <c r="B967" s="42"/>
      <c r="C967" s="42"/>
      <c r="D967" s="52"/>
      <c r="E967" s="52"/>
      <c r="O967" s="43"/>
      <c r="AL967" s="44"/>
      <c r="AM967" s="44"/>
      <c r="AN967" s="44"/>
      <c r="AO967" s="44"/>
      <c r="AP967" s="44"/>
      <c r="AQ967" s="44"/>
      <c r="AR967" s="44"/>
      <c r="AS967" s="44"/>
      <c r="AT967" s="45"/>
      <c r="AY967" s="45"/>
      <c r="BH967" s="45"/>
      <c r="BK967" s="45"/>
      <c r="BT967" s="45"/>
      <c r="BU967" s="45"/>
      <c r="CK967" s="10"/>
      <c r="EF967" s="20"/>
      <c r="FD967" s="21"/>
      <c r="FE967" s="21"/>
      <c r="FN967" s="22"/>
      <c r="FO967" s="22"/>
      <c r="FZ967" s="23"/>
      <c r="GA967" s="23"/>
      <c r="JD967" s="26"/>
      <c r="JE967" s="26"/>
      <c r="JF967" s="27"/>
      <c r="JG967" s="27"/>
      <c r="KL967" s="28"/>
      <c r="KP967" s="28"/>
      <c r="KT967" s="28"/>
      <c r="KX967" s="28"/>
      <c r="LB967" s="28"/>
      <c r="LF967" s="28"/>
      <c r="LJ967" s="28"/>
    </row>
    <row r="968" spans="1:322" ht="13.2">
      <c r="A968" s="42"/>
      <c r="B968" s="42"/>
      <c r="C968" s="42"/>
      <c r="D968" s="52"/>
      <c r="E968" s="52"/>
      <c r="O968" s="43"/>
      <c r="AL968" s="44"/>
      <c r="AM968" s="44"/>
      <c r="AN968" s="44"/>
      <c r="AO968" s="44"/>
      <c r="AP968" s="44"/>
      <c r="AQ968" s="44"/>
      <c r="AR968" s="44"/>
      <c r="AS968" s="44"/>
      <c r="AT968" s="45"/>
      <c r="AY968" s="45"/>
      <c r="BH968" s="45"/>
      <c r="BK968" s="45"/>
      <c r="BT968" s="45"/>
      <c r="BU968" s="45"/>
      <c r="CK968" s="10"/>
      <c r="EF968" s="20"/>
      <c r="FD968" s="21"/>
      <c r="FE968" s="21"/>
      <c r="FN968" s="22"/>
      <c r="FO968" s="22"/>
      <c r="FZ968" s="23"/>
      <c r="GA968" s="23"/>
      <c r="JD968" s="26"/>
      <c r="JE968" s="26"/>
      <c r="JF968" s="27"/>
      <c r="JG968" s="27"/>
      <c r="KL968" s="28"/>
      <c r="KP968" s="28"/>
      <c r="KT968" s="28"/>
      <c r="KX968" s="28"/>
      <c r="LB968" s="28"/>
      <c r="LF968" s="28"/>
      <c r="LJ968" s="28"/>
    </row>
    <row r="969" spans="1:322" ht="13.2">
      <c r="A969" s="42"/>
      <c r="B969" s="42"/>
      <c r="C969" s="42"/>
      <c r="D969" s="52"/>
      <c r="E969" s="52"/>
      <c r="O969" s="43"/>
      <c r="AL969" s="44"/>
      <c r="AM969" s="44"/>
      <c r="AN969" s="44"/>
      <c r="AO969" s="44"/>
      <c r="AP969" s="44"/>
      <c r="AQ969" s="44"/>
      <c r="AR969" s="44"/>
      <c r="AS969" s="44"/>
      <c r="AT969" s="45"/>
      <c r="AY969" s="45"/>
      <c r="BH969" s="45"/>
      <c r="BK969" s="45"/>
      <c r="BT969" s="45"/>
      <c r="BU969" s="45"/>
      <c r="CK969" s="10"/>
      <c r="EF969" s="20"/>
      <c r="FD969" s="21"/>
      <c r="FE969" s="21"/>
      <c r="FN969" s="22"/>
      <c r="FO969" s="22"/>
      <c r="FZ969" s="23"/>
      <c r="GA969" s="23"/>
      <c r="JD969" s="26"/>
      <c r="JE969" s="26"/>
      <c r="JF969" s="27"/>
      <c r="JG969" s="27"/>
      <c r="KL969" s="28"/>
      <c r="KP969" s="28"/>
      <c r="KT969" s="28"/>
      <c r="KX969" s="28"/>
      <c r="LB969" s="28"/>
      <c r="LF969" s="28"/>
      <c r="LJ969" s="28"/>
    </row>
    <row r="970" spans="1:322" ht="13.2">
      <c r="A970" s="42"/>
      <c r="B970" s="42"/>
      <c r="C970" s="42"/>
      <c r="D970" s="52"/>
      <c r="E970" s="52"/>
      <c r="O970" s="43"/>
      <c r="AL970" s="44"/>
      <c r="AM970" s="44"/>
      <c r="AN970" s="44"/>
      <c r="AO970" s="44"/>
      <c r="AP970" s="44"/>
      <c r="AQ970" s="44"/>
      <c r="AR970" s="44"/>
      <c r="AS970" s="44"/>
      <c r="AT970" s="45"/>
      <c r="AY970" s="45"/>
      <c r="BH970" s="45"/>
      <c r="BK970" s="45"/>
      <c r="BT970" s="45"/>
      <c r="BU970" s="45"/>
      <c r="CK970" s="10"/>
      <c r="EF970" s="20"/>
      <c r="FD970" s="21"/>
      <c r="FE970" s="21"/>
      <c r="FN970" s="22"/>
      <c r="FO970" s="22"/>
      <c r="FZ970" s="23"/>
      <c r="GA970" s="23"/>
      <c r="JD970" s="26"/>
      <c r="JE970" s="26"/>
      <c r="JF970" s="27"/>
      <c r="JG970" s="27"/>
      <c r="KL970" s="28"/>
      <c r="KP970" s="28"/>
      <c r="KT970" s="28"/>
      <c r="KX970" s="28"/>
      <c r="LB970" s="28"/>
      <c r="LF970" s="28"/>
      <c r="LJ970" s="28"/>
    </row>
    <row r="971" spans="1:322" ht="13.2">
      <c r="A971" s="42"/>
      <c r="B971" s="42"/>
      <c r="C971" s="42"/>
      <c r="D971" s="52"/>
      <c r="E971" s="52"/>
      <c r="O971" s="43"/>
      <c r="AL971" s="44"/>
      <c r="AM971" s="44"/>
      <c r="AN971" s="44"/>
      <c r="AO971" s="44"/>
      <c r="AP971" s="44"/>
      <c r="AQ971" s="44"/>
      <c r="AR971" s="44"/>
      <c r="AS971" s="44"/>
      <c r="AT971" s="45"/>
      <c r="AY971" s="45"/>
      <c r="BH971" s="45"/>
      <c r="BK971" s="45"/>
      <c r="BT971" s="45"/>
      <c r="BU971" s="45"/>
      <c r="CK971" s="10"/>
      <c r="EF971" s="20"/>
      <c r="FD971" s="21"/>
      <c r="FE971" s="21"/>
      <c r="FN971" s="22"/>
      <c r="FO971" s="22"/>
      <c r="FZ971" s="23"/>
      <c r="GA971" s="23"/>
      <c r="JD971" s="26"/>
      <c r="JE971" s="26"/>
      <c r="JF971" s="27"/>
      <c r="JG971" s="27"/>
      <c r="KL971" s="28"/>
      <c r="KP971" s="28"/>
      <c r="KT971" s="28"/>
      <c r="KX971" s="28"/>
      <c r="LB971" s="28"/>
      <c r="LF971" s="28"/>
      <c r="LJ971" s="28"/>
    </row>
    <row r="972" spans="1:322" ht="13.2">
      <c r="A972" s="42"/>
      <c r="B972" s="42"/>
      <c r="C972" s="42"/>
      <c r="D972" s="52"/>
      <c r="E972" s="52"/>
      <c r="O972" s="43"/>
      <c r="AL972" s="44"/>
      <c r="AM972" s="44"/>
      <c r="AN972" s="44"/>
      <c r="AO972" s="44"/>
      <c r="AP972" s="44"/>
      <c r="AQ972" s="44"/>
      <c r="AR972" s="44"/>
      <c r="AS972" s="44"/>
      <c r="AT972" s="45"/>
      <c r="AY972" s="45"/>
      <c r="BH972" s="45"/>
      <c r="BK972" s="45"/>
      <c r="BT972" s="45"/>
      <c r="BU972" s="45"/>
      <c r="CK972" s="10"/>
      <c r="EF972" s="20"/>
      <c r="FD972" s="21"/>
      <c r="FE972" s="21"/>
      <c r="FN972" s="22"/>
      <c r="FO972" s="22"/>
      <c r="FZ972" s="23"/>
      <c r="GA972" s="23"/>
      <c r="JD972" s="26"/>
      <c r="JE972" s="26"/>
      <c r="JF972" s="27"/>
      <c r="JG972" s="27"/>
      <c r="KL972" s="28"/>
      <c r="KP972" s="28"/>
      <c r="KT972" s="28"/>
      <c r="KX972" s="28"/>
      <c r="LB972" s="28"/>
      <c r="LF972" s="28"/>
      <c r="LJ972" s="28"/>
    </row>
    <row r="973" spans="1:322" ht="13.2">
      <c r="A973" s="42"/>
      <c r="B973" s="42"/>
      <c r="C973" s="42"/>
      <c r="D973" s="52"/>
      <c r="E973" s="52"/>
      <c r="O973" s="43"/>
      <c r="AL973" s="44"/>
      <c r="AM973" s="44"/>
      <c r="AN973" s="44"/>
      <c r="AO973" s="44"/>
      <c r="AP973" s="44"/>
      <c r="AQ973" s="44"/>
      <c r="AR973" s="44"/>
      <c r="AS973" s="44"/>
      <c r="AT973" s="45"/>
      <c r="AY973" s="45"/>
      <c r="BH973" s="45"/>
      <c r="BK973" s="45"/>
      <c r="BT973" s="45"/>
      <c r="BU973" s="45"/>
      <c r="CK973" s="10"/>
      <c r="EF973" s="20"/>
      <c r="FD973" s="21"/>
      <c r="FE973" s="21"/>
      <c r="FN973" s="22"/>
      <c r="FO973" s="22"/>
      <c r="FZ973" s="23"/>
      <c r="GA973" s="23"/>
      <c r="JD973" s="26"/>
      <c r="JE973" s="26"/>
      <c r="JF973" s="27"/>
      <c r="JG973" s="27"/>
      <c r="KL973" s="28"/>
      <c r="KP973" s="28"/>
      <c r="KT973" s="28"/>
      <c r="KX973" s="28"/>
      <c r="LB973" s="28"/>
      <c r="LF973" s="28"/>
      <c r="LJ973" s="28"/>
    </row>
    <row r="974" spans="1:322" ht="13.2">
      <c r="A974" s="42"/>
      <c r="B974" s="42"/>
      <c r="C974" s="42"/>
      <c r="D974" s="52"/>
      <c r="E974" s="52"/>
      <c r="O974" s="43"/>
      <c r="AL974" s="44"/>
      <c r="AM974" s="44"/>
      <c r="AN974" s="44"/>
      <c r="AO974" s="44"/>
      <c r="AP974" s="44"/>
      <c r="AQ974" s="44"/>
      <c r="AR974" s="44"/>
      <c r="AS974" s="44"/>
      <c r="AT974" s="45"/>
      <c r="AY974" s="45"/>
      <c r="BH974" s="45"/>
      <c r="BK974" s="45"/>
      <c r="BT974" s="45"/>
      <c r="BU974" s="45"/>
      <c r="CK974" s="10"/>
      <c r="EF974" s="20"/>
      <c r="FD974" s="21"/>
      <c r="FE974" s="21"/>
      <c r="FN974" s="22"/>
      <c r="FO974" s="22"/>
      <c r="FZ974" s="23"/>
      <c r="GA974" s="23"/>
      <c r="JD974" s="26"/>
      <c r="JE974" s="26"/>
      <c r="JF974" s="27"/>
      <c r="JG974" s="27"/>
      <c r="KL974" s="28"/>
      <c r="KP974" s="28"/>
      <c r="KT974" s="28"/>
      <c r="KX974" s="28"/>
      <c r="LB974" s="28"/>
      <c r="LF974" s="28"/>
      <c r="LJ974" s="28"/>
    </row>
    <row r="975" spans="1:322" ht="13.2">
      <c r="A975" s="42"/>
      <c r="B975" s="42"/>
      <c r="C975" s="42"/>
      <c r="D975" s="52"/>
      <c r="E975" s="52"/>
      <c r="O975" s="43"/>
      <c r="AL975" s="44"/>
      <c r="AM975" s="44"/>
      <c r="AN975" s="44"/>
      <c r="AO975" s="44"/>
      <c r="AP975" s="44"/>
      <c r="AQ975" s="44"/>
      <c r="AR975" s="44"/>
      <c r="AS975" s="44"/>
      <c r="AT975" s="45"/>
      <c r="AY975" s="45"/>
      <c r="BH975" s="45"/>
      <c r="BK975" s="45"/>
      <c r="BT975" s="45"/>
      <c r="BU975" s="45"/>
      <c r="CK975" s="10"/>
      <c r="EF975" s="20"/>
      <c r="FD975" s="21"/>
      <c r="FE975" s="21"/>
      <c r="FN975" s="22"/>
      <c r="FO975" s="22"/>
      <c r="FZ975" s="23"/>
      <c r="GA975" s="23"/>
      <c r="JD975" s="26"/>
      <c r="JE975" s="26"/>
      <c r="JF975" s="27"/>
      <c r="JG975" s="27"/>
      <c r="KL975" s="28"/>
      <c r="KP975" s="28"/>
      <c r="KT975" s="28"/>
      <c r="KX975" s="28"/>
      <c r="LB975" s="28"/>
      <c r="LF975" s="28"/>
      <c r="LJ975" s="28"/>
    </row>
    <row r="976" spans="1:322" ht="13.2">
      <c r="A976" s="42"/>
      <c r="B976" s="42"/>
      <c r="C976" s="42"/>
      <c r="D976" s="52"/>
      <c r="E976" s="52"/>
      <c r="O976" s="43"/>
      <c r="AL976" s="44"/>
      <c r="AM976" s="44"/>
      <c r="AN976" s="44"/>
      <c r="AO976" s="44"/>
      <c r="AP976" s="44"/>
      <c r="AQ976" s="44"/>
      <c r="AR976" s="44"/>
      <c r="AS976" s="44"/>
      <c r="AT976" s="45"/>
      <c r="AY976" s="45"/>
      <c r="BH976" s="45"/>
      <c r="BK976" s="45"/>
      <c r="BT976" s="45"/>
      <c r="BU976" s="45"/>
      <c r="CK976" s="10"/>
      <c r="EF976" s="20"/>
      <c r="FD976" s="21"/>
      <c r="FE976" s="21"/>
      <c r="FN976" s="22"/>
      <c r="FO976" s="22"/>
      <c r="FZ976" s="23"/>
      <c r="GA976" s="23"/>
      <c r="JD976" s="26"/>
      <c r="JE976" s="26"/>
      <c r="JF976" s="27"/>
      <c r="JG976" s="27"/>
      <c r="KL976" s="28"/>
      <c r="KP976" s="28"/>
      <c r="KT976" s="28"/>
      <c r="KX976" s="28"/>
      <c r="LB976" s="28"/>
      <c r="LF976" s="28"/>
      <c r="LJ976" s="28"/>
    </row>
    <row r="977" spans="1:322" ht="13.2">
      <c r="A977" s="42"/>
      <c r="B977" s="42"/>
      <c r="C977" s="42"/>
      <c r="D977" s="52"/>
      <c r="E977" s="52"/>
      <c r="O977" s="43"/>
      <c r="AL977" s="44"/>
      <c r="AM977" s="44"/>
      <c r="AN977" s="44"/>
      <c r="AO977" s="44"/>
      <c r="AP977" s="44"/>
      <c r="AQ977" s="44"/>
      <c r="AR977" s="44"/>
      <c r="AS977" s="44"/>
      <c r="AT977" s="45"/>
      <c r="AY977" s="45"/>
      <c r="BH977" s="45"/>
      <c r="BK977" s="45"/>
      <c r="BT977" s="45"/>
      <c r="BU977" s="45"/>
      <c r="CK977" s="10"/>
      <c r="EF977" s="20"/>
      <c r="FD977" s="21"/>
      <c r="FE977" s="21"/>
      <c r="FN977" s="22"/>
      <c r="FO977" s="22"/>
      <c r="FZ977" s="23"/>
      <c r="GA977" s="23"/>
      <c r="JD977" s="26"/>
      <c r="JE977" s="26"/>
      <c r="JF977" s="27"/>
      <c r="JG977" s="27"/>
      <c r="KL977" s="28"/>
      <c r="KP977" s="28"/>
      <c r="KT977" s="28"/>
      <c r="KX977" s="28"/>
      <c r="LB977" s="28"/>
      <c r="LF977" s="28"/>
      <c r="LJ977" s="28"/>
    </row>
    <row r="978" spans="1:322" ht="13.2">
      <c r="A978" s="42"/>
      <c r="B978" s="42"/>
      <c r="C978" s="42"/>
      <c r="D978" s="52"/>
      <c r="E978" s="52"/>
      <c r="O978" s="43"/>
      <c r="AL978" s="44"/>
      <c r="AM978" s="44"/>
      <c r="AN978" s="44"/>
      <c r="AO978" s="44"/>
      <c r="AP978" s="44"/>
      <c r="AQ978" s="44"/>
      <c r="AR978" s="44"/>
      <c r="AS978" s="44"/>
      <c r="AT978" s="45"/>
      <c r="AY978" s="45"/>
      <c r="BH978" s="45"/>
      <c r="BK978" s="45"/>
      <c r="BT978" s="45"/>
      <c r="BU978" s="45"/>
      <c r="CK978" s="10"/>
      <c r="EF978" s="20"/>
      <c r="FD978" s="21"/>
      <c r="FE978" s="21"/>
      <c r="FN978" s="22"/>
      <c r="FO978" s="22"/>
      <c r="FZ978" s="23"/>
      <c r="GA978" s="23"/>
      <c r="JD978" s="26"/>
      <c r="JE978" s="26"/>
      <c r="JF978" s="27"/>
      <c r="JG978" s="27"/>
      <c r="KL978" s="28"/>
      <c r="KP978" s="28"/>
      <c r="KT978" s="28"/>
      <c r="KX978" s="28"/>
      <c r="LB978" s="28"/>
      <c r="LF978" s="28"/>
      <c r="LJ978" s="28"/>
    </row>
    <row r="979" spans="1:322" ht="13.2">
      <c r="A979" s="42"/>
      <c r="B979" s="42"/>
      <c r="C979" s="42"/>
      <c r="D979" s="52"/>
      <c r="E979" s="52"/>
      <c r="O979" s="43"/>
      <c r="AL979" s="44"/>
      <c r="AM979" s="44"/>
      <c r="AN979" s="44"/>
      <c r="AO979" s="44"/>
      <c r="AP979" s="44"/>
      <c r="AQ979" s="44"/>
      <c r="AR979" s="44"/>
      <c r="AS979" s="44"/>
      <c r="AT979" s="45"/>
      <c r="AY979" s="45"/>
      <c r="BH979" s="45"/>
      <c r="BK979" s="45"/>
      <c r="BT979" s="45"/>
      <c r="BU979" s="45"/>
      <c r="CK979" s="10"/>
      <c r="EF979" s="20"/>
      <c r="FD979" s="21"/>
      <c r="FE979" s="21"/>
      <c r="FN979" s="22"/>
      <c r="FO979" s="22"/>
      <c r="FZ979" s="23"/>
      <c r="GA979" s="23"/>
      <c r="JD979" s="26"/>
      <c r="JE979" s="26"/>
      <c r="JF979" s="27"/>
      <c r="JG979" s="27"/>
      <c r="KL979" s="28"/>
      <c r="KP979" s="28"/>
      <c r="KT979" s="28"/>
      <c r="KX979" s="28"/>
      <c r="LB979" s="28"/>
      <c r="LF979" s="28"/>
      <c r="LJ979" s="28"/>
    </row>
    <row r="980" spans="1:322" ht="13.2">
      <c r="A980" s="42"/>
      <c r="B980" s="42"/>
      <c r="C980" s="42"/>
      <c r="D980" s="52"/>
      <c r="E980" s="52"/>
      <c r="O980" s="43"/>
      <c r="AL980" s="44"/>
      <c r="AM980" s="44"/>
      <c r="AN980" s="44"/>
      <c r="AO980" s="44"/>
      <c r="AP980" s="44"/>
      <c r="AQ980" s="44"/>
      <c r="AR980" s="44"/>
      <c r="AS980" s="44"/>
      <c r="AT980" s="45"/>
      <c r="AY980" s="45"/>
      <c r="BH980" s="45"/>
      <c r="BK980" s="45"/>
      <c r="BT980" s="45"/>
      <c r="BU980" s="45"/>
      <c r="CK980" s="10"/>
      <c r="EF980" s="20"/>
      <c r="FD980" s="21"/>
      <c r="FE980" s="21"/>
      <c r="FN980" s="22"/>
      <c r="FO980" s="22"/>
      <c r="FZ980" s="23"/>
      <c r="GA980" s="23"/>
      <c r="JD980" s="26"/>
      <c r="JE980" s="26"/>
      <c r="JF980" s="27"/>
      <c r="JG980" s="27"/>
      <c r="KL980" s="28"/>
      <c r="KP980" s="28"/>
      <c r="KT980" s="28"/>
      <c r="KX980" s="28"/>
      <c r="LB980" s="28"/>
      <c r="LF980" s="28"/>
      <c r="LJ980" s="28"/>
    </row>
    <row r="981" spans="1:322" ht="13.2">
      <c r="A981" s="42"/>
      <c r="B981" s="42"/>
      <c r="C981" s="42"/>
      <c r="D981" s="52"/>
      <c r="E981" s="52"/>
      <c r="O981" s="43"/>
      <c r="AL981" s="44"/>
      <c r="AM981" s="44"/>
      <c r="AN981" s="44"/>
      <c r="AO981" s="44"/>
      <c r="AP981" s="44"/>
      <c r="AQ981" s="44"/>
      <c r="AR981" s="44"/>
      <c r="AS981" s="44"/>
      <c r="AT981" s="45"/>
      <c r="AY981" s="45"/>
      <c r="BH981" s="45"/>
      <c r="BK981" s="45"/>
      <c r="BT981" s="45"/>
      <c r="BU981" s="45"/>
      <c r="CK981" s="10"/>
      <c r="EF981" s="20"/>
      <c r="FD981" s="21"/>
      <c r="FE981" s="21"/>
      <c r="FN981" s="22"/>
      <c r="FO981" s="22"/>
      <c r="FZ981" s="23"/>
      <c r="GA981" s="23"/>
      <c r="JD981" s="26"/>
      <c r="JE981" s="26"/>
      <c r="JF981" s="27"/>
      <c r="JG981" s="27"/>
      <c r="KL981" s="28"/>
      <c r="KP981" s="28"/>
      <c r="KT981" s="28"/>
      <c r="KX981" s="28"/>
      <c r="LB981" s="28"/>
      <c r="LF981" s="28"/>
      <c r="LJ981" s="28"/>
    </row>
    <row r="982" spans="1:322" ht="13.2">
      <c r="A982" s="42"/>
      <c r="B982" s="42"/>
      <c r="C982" s="42"/>
      <c r="D982" s="52"/>
      <c r="E982" s="52"/>
      <c r="O982" s="43"/>
      <c r="AL982" s="44"/>
      <c r="AM982" s="44"/>
      <c r="AN982" s="44"/>
      <c r="AO982" s="44"/>
      <c r="AP982" s="44"/>
      <c r="AQ982" s="44"/>
      <c r="AR982" s="44"/>
      <c r="AS982" s="44"/>
      <c r="AT982" s="45"/>
      <c r="AY982" s="45"/>
      <c r="BH982" s="45"/>
      <c r="BK982" s="45"/>
      <c r="BT982" s="45"/>
      <c r="BU982" s="45"/>
      <c r="CK982" s="10"/>
      <c r="EF982" s="20"/>
      <c r="FD982" s="21"/>
      <c r="FE982" s="21"/>
      <c r="FN982" s="22"/>
      <c r="FO982" s="22"/>
      <c r="FZ982" s="23"/>
      <c r="GA982" s="23"/>
      <c r="JD982" s="26"/>
      <c r="JE982" s="26"/>
      <c r="JF982" s="27"/>
      <c r="JG982" s="27"/>
      <c r="KL982" s="28"/>
      <c r="KP982" s="28"/>
      <c r="KT982" s="28"/>
      <c r="KX982" s="28"/>
      <c r="LB982" s="28"/>
      <c r="LF982" s="28"/>
      <c r="LJ982" s="28"/>
    </row>
    <row r="983" spans="1:322" ht="13.2">
      <c r="A983" s="42"/>
      <c r="B983" s="42"/>
      <c r="C983" s="42"/>
      <c r="D983" s="52"/>
      <c r="E983" s="52"/>
      <c r="O983" s="43"/>
      <c r="AL983" s="44"/>
      <c r="AM983" s="44"/>
      <c r="AN983" s="44"/>
      <c r="AO983" s="44"/>
      <c r="AP983" s="44"/>
      <c r="AQ983" s="44"/>
      <c r="AR983" s="44"/>
      <c r="AS983" s="44"/>
      <c r="AT983" s="45"/>
      <c r="AY983" s="45"/>
      <c r="BH983" s="45"/>
      <c r="BK983" s="45"/>
      <c r="BT983" s="45"/>
      <c r="BU983" s="45"/>
      <c r="CK983" s="10"/>
      <c r="EF983" s="20"/>
      <c r="FD983" s="21"/>
      <c r="FE983" s="21"/>
      <c r="FN983" s="22"/>
      <c r="FO983" s="22"/>
      <c r="FZ983" s="23"/>
      <c r="GA983" s="23"/>
      <c r="JD983" s="26"/>
      <c r="JE983" s="26"/>
      <c r="JF983" s="27"/>
      <c r="JG983" s="27"/>
      <c r="KL983" s="28"/>
      <c r="KP983" s="28"/>
      <c r="KT983" s="28"/>
      <c r="KX983" s="28"/>
      <c r="LB983" s="28"/>
      <c r="LF983" s="28"/>
      <c r="LJ983" s="28"/>
    </row>
    <row r="984" spans="1:322" ht="13.2">
      <c r="A984" s="42"/>
      <c r="B984" s="42"/>
      <c r="C984" s="42"/>
      <c r="D984" s="52"/>
      <c r="E984" s="52"/>
      <c r="O984" s="43"/>
      <c r="AL984" s="44"/>
      <c r="AM984" s="44"/>
      <c r="AN984" s="44"/>
      <c r="AO984" s="44"/>
      <c r="AP984" s="44"/>
      <c r="AQ984" s="44"/>
      <c r="AR984" s="44"/>
      <c r="AS984" s="44"/>
      <c r="AT984" s="45"/>
      <c r="AY984" s="45"/>
      <c r="BH984" s="45"/>
      <c r="BK984" s="45"/>
      <c r="BT984" s="45"/>
      <c r="BU984" s="45"/>
      <c r="CK984" s="10"/>
      <c r="EF984" s="20"/>
      <c r="FD984" s="21"/>
      <c r="FE984" s="21"/>
      <c r="FN984" s="22"/>
      <c r="FO984" s="22"/>
      <c r="FZ984" s="23"/>
      <c r="GA984" s="23"/>
      <c r="JD984" s="26"/>
      <c r="JE984" s="26"/>
      <c r="JF984" s="27"/>
      <c r="JG984" s="27"/>
      <c r="KL984" s="28"/>
      <c r="KP984" s="28"/>
      <c r="KT984" s="28"/>
      <c r="KX984" s="28"/>
      <c r="LB984" s="28"/>
      <c r="LF984" s="28"/>
      <c r="LJ984" s="28"/>
    </row>
    <row r="985" spans="1:322" ht="13.2">
      <c r="A985" s="42"/>
      <c r="B985" s="42"/>
      <c r="C985" s="42"/>
      <c r="D985" s="52"/>
      <c r="E985" s="52"/>
      <c r="O985" s="43"/>
      <c r="AL985" s="44"/>
      <c r="AM985" s="44"/>
      <c r="AN985" s="44"/>
      <c r="AO985" s="44"/>
      <c r="AP985" s="44"/>
      <c r="AQ985" s="44"/>
      <c r="AR985" s="44"/>
      <c r="AS985" s="44"/>
      <c r="AT985" s="45"/>
      <c r="AY985" s="45"/>
      <c r="BH985" s="45"/>
      <c r="BK985" s="45"/>
      <c r="BT985" s="45"/>
      <c r="BU985" s="45"/>
      <c r="CK985" s="10"/>
      <c r="EF985" s="20"/>
      <c r="FD985" s="21"/>
      <c r="FE985" s="21"/>
      <c r="FN985" s="22"/>
      <c r="FO985" s="22"/>
      <c r="FZ985" s="23"/>
      <c r="GA985" s="23"/>
      <c r="JD985" s="26"/>
      <c r="JE985" s="26"/>
      <c r="JF985" s="27"/>
      <c r="JG985" s="27"/>
      <c r="KL985" s="28"/>
      <c r="KP985" s="28"/>
      <c r="KT985" s="28"/>
      <c r="KX985" s="28"/>
      <c r="LB985" s="28"/>
      <c r="LF985" s="28"/>
      <c r="LJ985" s="28"/>
    </row>
    <row r="986" spans="1:322" ht="13.2">
      <c r="A986" s="42"/>
      <c r="B986" s="42"/>
      <c r="C986" s="42"/>
      <c r="D986" s="52"/>
      <c r="E986" s="52"/>
      <c r="O986" s="43"/>
      <c r="AL986" s="44"/>
      <c r="AM986" s="44"/>
      <c r="AN986" s="44"/>
      <c r="AO986" s="44"/>
      <c r="AP986" s="44"/>
      <c r="AQ986" s="44"/>
      <c r="AR986" s="44"/>
      <c r="AS986" s="44"/>
      <c r="AT986" s="45"/>
      <c r="AY986" s="45"/>
      <c r="BH986" s="45"/>
      <c r="BK986" s="45"/>
      <c r="BT986" s="45"/>
      <c r="BU986" s="45"/>
      <c r="CK986" s="10"/>
      <c r="EF986" s="20"/>
      <c r="FD986" s="21"/>
      <c r="FE986" s="21"/>
      <c r="FN986" s="22"/>
      <c r="FO986" s="22"/>
      <c r="FZ986" s="23"/>
      <c r="GA986" s="23"/>
      <c r="JD986" s="26"/>
      <c r="JE986" s="26"/>
      <c r="JF986" s="27"/>
      <c r="JG986" s="27"/>
      <c r="KL986" s="28"/>
      <c r="KP986" s="28"/>
      <c r="KT986" s="28"/>
      <c r="KX986" s="28"/>
      <c r="LB986" s="28"/>
      <c r="LF986" s="28"/>
      <c r="LJ986" s="28"/>
    </row>
    <row r="987" spans="1:322" ht="13.2">
      <c r="A987" s="42"/>
      <c r="B987" s="42"/>
      <c r="C987" s="42"/>
      <c r="D987" s="52"/>
      <c r="E987" s="52"/>
      <c r="O987" s="43"/>
      <c r="AL987" s="44"/>
      <c r="AM987" s="44"/>
      <c r="AN987" s="44"/>
      <c r="AO987" s="44"/>
      <c r="AP987" s="44"/>
      <c r="AQ987" s="44"/>
      <c r="AR987" s="44"/>
      <c r="AS987" s="44"/>
      <c r="AT987" s="45"/>
      <c r="AY987" s="45"/>
      <c r="BH987" s="45"/>
      <c r="BK987" s="45"/>
      <c r="BT987" s="45"/>
      <c r="BU987" s="45"/>
      <c r="CK987" s="10"/>
      <c r="EF987" s="20"/>
      <c r="FD987" s="21"/>
      <c r="FE987" s="21"/>
      <c r="FN987" s="22"/>
      <c r="FO987" s="22"/>
      <c r="FZ987" s="23"/>
      <c r="GA987" s="23"/>
      <c r="JD987" s="26"/>
      <c r="JE987" s="26"/>
      <c r="JF987" s="27"/>
      <c r="JG987" s="27"/>
      <c r="KL987" s="28"/>
      <c r="KP987" s="28"/>
      <c r="KT987" s="28"/>
      <c r="KX987" s="28"/>
      <c r="LB987" s="28"/>
      <c r="LF987" s="28"/>
      <c r="LJ987" s="28"/>
    </row>
    <row r="988" spans="1:322" ht="13.2">
      <c r="A988" s="42"/>
      <c r="B988" s="42"/>
      <c r="C988" s="42"/>
      <c r="D988" s="52"/>
      <c r="E988" s="52"/>
      <c r="O988" s="43"/>
      <c r="AL988" s="44"/>
      <c r="AM988" s="44"/>
      <c r="AN988" s="44"/>
      <c r="AO988" s="44"/>
      <c r="AP988" s="44"/>
      <c r="AQ988" s="44"/>
      <c r="AR988" s="44"/>
      <c r="AS988" s="44"/>
      <c r="AT988" s="45"/>
      <c r="AY988" s="45"/>
      <c r="BH988" s="45"/>
      <c r="BK988" s="45"/>
      <c r="BT988" s="45"/>
      <c r="BU988" s="45"/>
      <c r="CK988" s="10"/>
      <c r="EF988" s="20"/>
      <c r="FD988" s="21"/>
      <c r="FE988" s="21"/>
      <c r="FN988" s="22"/>
      <c r="FO988" s="22"/>
      <c r="FZ988" s="23"/>
      <c r="GA988" s="23"/>
      <c r="JD988" s="26"/>
      <c r="JE988" s="26"/>
      <c r="JF988" s="27"/>
      <c r="JG988" s="27"/>
      <c r="KL988" s="28"/>
      <c r="KP988" s="28"/>
      <c r="KT988" s="28"/>
      <c r="KX988" s="28"/>
      <c r="LB988" s="28"/>
      <c r="LF988" s="28"/>
      <c r="LJ988" s="28"/>
    </row>
    <row r="989" spans="1:322" ht="13.2">
      <c r="A989" s="42"/>
      <c r="B989" s="42"/>
      <c r="C989" s="42"/>
      <c r="D989" s="52"/>
      <c r="E989" s="52"/>
      <c r="O989" s="43"/>
      <c r="AL989" s="44"/>
      <c r="AM989" s="44"/>
      <c r="AN989" s="44"/>
      <c r="AO989" s="44"/>
      <c r="AP989" s="44"/>
      <c r="AQ989" s="44"/>
      <c r="AR989" s="44"/>
      <c r="AS989" s="44"/>
      <c r="AT989" s="45"/>
      <c r="AY989" s="45"/>
      <c r="BH989" s="45"/>
      <c r="BK989" s="45"/>
      <c r="BT989" s="45"/>
      <c r="BU989" s="45"/>
      <c r="CK989" s="10"/>
      <c r="EF989" s="20"/>
      <c r="FD989" s="21"/>
      <c r="FE989" s="21"/>
      <c r="FN989" s="22"/>
      <c r="FO989" s="22"/>
      <c r="FZ989" s="23"/>
      <c r="GA989" s="23"/>
      <c r="JD989" s="26"/>
      <c r="JE989" s="26"/>
      <c r="JF989" s="27"/>
      <c r="JG989" s="27"/>
      <c r="KL989" s="28"/>
      <c r="KP989" s="28"/>
      <c r="KT989" s="28"/>
      <c r="KX989" s="28"/>
      <c r="LB989" s="28"/>
      <c r="LF989" s="28"/>
      <c r="LJ989" s="28"/>
    </row>
    <row r="990" spans="1:322" ht="13.2">
      <c r="A990" s="42"/>
      <c r="B990" s="42"/>
      <c r="C990" s="42"/>
      <c r="D990" s="52"/>
      <c r="E990" s="52"/>
      <c r="O990" s="43"/>
      <c r="AL990" s="44"/>
      <c r="AM990" s="44"/>
      <c r="AN990" s="44"/>
      <c r="AO990" s="44"/>
      <c r="AP990" s="44"/>
      <c r="AQ990" s="44"/>
      <c r="AR990" s="44"/>
      <c r="AS990" s="44"/>
      <c r="AT990" s="45"/>
      <c r="AY990" s="45"/>
      <c r="BH990" s="45"/>
      <c r="BK990" s="45"/>
      <c r="BT990" s="45"/>
      <c r="BU990" s="45"/>
      <c r="CK990" s="10"/>
      <c r="EF990" s="20"/>
      <c r="FD990" s="21"/>
      <c r="FE990" s="21"/>
      <c r="FN990" s="22"/>
      <c r="FO990" s="22"/>
      <c r="FZ990" s="23"/>
      <c r="GA990" s="23"/>
      <c r="JD990" s="26"/>
      <c r="JE990" s="26"/>
      <c r="JF990" s="27"/>
      <c r="JG990" s="27"/>
      <c r="KL990" s="28"/>
      <c r="KP990" s="28"/>
      <c r="KT990" s="28"/>
      <c r="KX990" s="28"/>
      <c r="LB990" s="28"/>
      <c r="LF990" s="28"/>
      <c r="LJ990" s="28"/>
    </row>
    <row r="991" spans="1:322" ht="13.2">
      <c r="A991" s="42"/>
      <c r="B991" s="42"/>
      <c r="C991" s="42"/>
      <c r="D991" s="52"/>
      <c r="E991" s="52"/>
      <c r="O991" s="43"/>
      <c r="AL991" s="44"/>
      <c r="AM991" s="44"/>
      <c r="AN991" s="44"/>
      <c r="AO991" s="44"/>
      <c r="AP991" s="44"/>
      <c r="AQ991" s="44"/>
      <c r="AR991" s="44"/>
      <c r="AS991" s="44"/>
      <c r="AT991" s="45"/>
      <c r="AY991" s="45"/>
      <c r="BH991" s="45"/>
      <c r="BK991" s="45"/>
      <c r="BT991" s="45"/>
      <c r="BU991" s="45"/>
      <c r="CK991" s="10"/>
      <c r="EF991" s="20"/>
      <c r="FD991" s="21"/>
      <c r="FE991" s="21"/>
      <c r="FN991" s="22"/>
      <c r="FO991" s="22"/>
      <c r="FZ991" s="23"/>
      <c r="GA991" s="23"/>
      <c r="JD991" s="26"/>
      <c r="JE991" s="26"/>
      <c r="JF991" s="27"/>
      <c r="JG991" s="27"/>
      <c r="KL991" s="28"/>
      <c r="KP991" s="28"/>
      <c r="KT991" s="28"/>
      <c r="KX991" s="28"/>
      <c r="LB991" s="28"/>
      <c r="LF991" s="28"/>
      <c r="LJ991" s="28"/>
    </row>
    <row r="992" spans="1:322" ht="13.2">
      <c r="A992" s="42"/>
      <c r="B992" s="42"/>
      <c r="C992" s="42"/>
      <c r="D992" s="52"/>
      <c r="E992" s="52"/>
      <c r="O992" s="43"/>
      <c r="AL992" s="44"/>
      <c r="AM992" s="44"/>
      <c r="AN992" s="44"/>
      <c r="AO992" s="44"/>
      <c r="AP992" s="44"/>
      <c r="AQ992" s="44"/>
      <c r="AR992" s="44"/>
      <c r="AS992" s="44"/>
      <c r="AT992" s="45"/>
      <c r="AY992" s="45"/>
      <c r="BH992" s="45"/>
      <c r="BK992" s="45"/>
      <c r="BT992" s="45"/>
      <c r="BU992" s="45"/>
      <c r="CK992" s="10"/>
      <c r="EF992" s="20"/>
      <c r="FD992" s="21"/>
      <c r="FE992" s="21"/>
      <c r="FN992" s="22"/>
      <c r="FO992" s="22"/>
      <c r="FZ992" s="23"/>
      <c r="GA992" s="23"/>
      <c r="JD992" s="26"/>
      <c r="JE992" s="26"/>
      <c r="JF992" s="27"/>
      <c r="JG992" s="27"/>
      <c r="KL992" s="28"/>
      <c r="KP992" s="28"/>
      <c r="KT992" s="28"/>
      <c r="KX992" s="28"/>
      <c r="LB992" s="28"/>
      <c r="LF992" s="28"/>
      <c r="LJ992" s="28"/>
    </row>
    <row r="993" spans="1:322" ht="13.2">
      <c r="A993" s="42"/>
      <c r="B993" s="42"/>
      <c r="C993" s="42"/>
      <c r="D993" s="52"/>
      <c r="E993" s="52"/>
      <c r="O993" s="43"/>
      <c r="AL993" s="44"/>
      <c r="AM993" s="44"/>
      <c r="AN993" s="44"/>
      <c r="AO993" s="44"/>
      <c r="AP993" s="44"/>
      <c r="AQ993" s="44"/>
      <c r="AR993" s="44"/>
      <c r="AS993" s="44"/>
      <c r="AT993" s="45"/>
      <c r="AY993" s="45"/>
      <c r="BH993" s="45"/>
      <c r="BK993" s="45"/>
      <c r="BT993" s="45"/>
      <c r="BU993" s="45"/>
      <c r="CK993" s="10"/>
      <c r="EF993" s="20"/>
      <c r="FD993" s="21"/>
      <c r="FE993" s="21"/>
      <c r="FN993" s="22"/>
      <c r="FO993" s="22"/>
      <c r="FZ993" s="23"/>
      <c r="GA993" s="23"/>
      <c r="JD993" s="26"/>
      <c r="JE993" s="26"/>
      <c r="JF993" s="27"/>
      <c r="JG993" s="27"/>
      <c r="KL993" s="28"/>
      <c r="KP993" s="28"/>
      <c r="KT993" s="28"/>
      <c r="KX993" s="28"/>
      <c r="LB993" s="28"/>
      <c r="LF993" s="28"/>
      <c r="LJ993" s="28"/>
    </row>
    <row r="994" spans="1:322" ht="13.2">
      <c r="A994" s="42"/>
      <c r="B994" s="42"/>
      <c r="C994" s="42"/>
      <c r="D994" s="52"/>
      <c r="E994" s="52"/>
      <c r="O994" s="43"/>
      <c r="AL994" s="44"/>
      <c r="AM994" s="44"/>
      <c r="AN994" s="44"/>
      <c r="AO994" s="44"/>
      <c r="AP994" s="44"/>
      <c r="AQ994" s="44"/>
      <c r="AR994" s="44"/>
      <c r="AS994" s="44"/>
      <c r="AT994" s="45"/>
      <c r="AY994" s="45"/>
      <c r="BH994" s="45"/>
      <c r="BK994" s="45"/>
      <c r="BT994" s="45"/>
      <c r="BU994" s="45"/>
      <c r="CK994" s="10"/>
      <c r="EF994" s="20"/>
      <c r="FD994" s="21"/>
      <c r="FE994" s="21"/>
      <c r="FN994" s="22"/>
      <c r="FO994" s="22"/>
      <c r="FZ994" s="23"/>
      <c r="GA994" s="23"/>
      <c r="JD994" s="26"/>
      <c r="JE994" s="26"/>
      <c r="JF994" s="27"/>
      <c r="JG994" s="27"/>
      <c r="KL994" s="28"/>
      <c r="KP994" s="28"/>
      <c r="KT994" s="28"/>
      <c r="KX994" s="28"/>
      <c r="LB994" s="28"/>
      <c r="LF994" s="28"/>
      <c r="LJ994" s="28"/>
    </row>
    <row r="995" spans="1:322" ht="13.2">
      <c r="A995" s="42"/>
      <c r="B995" s="42"/>
      <c r="C995" s="42"/>
      <c r="D995" s="52"/>
      <c r="E995" s="52"/>
      <c r="O995" s="43"/>
      <c r="AL995" s="44"/>
      <c r="AM995" s="44"/>
      <c r="AN995" s="44"/>
      <c r="AO995" s="44"/>
      <c r="AP995" s="44"/>
      <c r="AQ995" s="44"/>
      <c r="AR995" s="44"/>
      <c r="AS995" s="44"/>
      <c r="AT995" s="45"/>
      <c r="AY995" s="45"/>
      <c r="BH995" s="45"/>
      <c r="BK995" s="45"/>
      <c r="BT995" s="45"/>
      <c r="BU995" s="45"/>
      <c r="CK995" s="10"/>
      <c r="EF995" s="20"/>
      <c r="FD995" s="21"/>
      <c r="FE995" s="21"/>
      <c r="FN995" s="22"/>
      <c r="FO995" s="22"/>
      <c r="FZ995" s="23"/>
      <c r="GA995" s="23"/>
      <c r="JD995" s="26"/>
      <c r="JE995" s="26"/>
      <c r="JF995" s="27"/>
      <c r="JG995" s="27"/>
      <c r="KL995" s="28"/>
      <c r="KP995" s="28"/>
      <c r="KT995" s="28"/>
      <c r="KX995" s="28"/>
      <c r="LB995" s="28"/>
      <c r="LF995" s="28"/>
      <c r="LJ995" s="28"/>
    </row>
    <row r="996" spans="1:322" ht="13.2">
      <c r="A996" s="42"/>
      <c r="B996" s="42"/>
      <c r="C996" s="42"/>
      <c r="D996" s="52"/>
      <c r="E996" s="52"/>
      <c r="O996" s="43"/>
      <c r="AL996" s="44"/>
      <c r="AM996" s="44"/>
      <c r="AN996" s="44"/>
      <c r="AO996" s="44"/>
      <c r="AP996" s="44"/>
      <c r="AQ996" s="44"/>
      <c r="AR996" s="44"/>
      <c r="AS996" s="44"/>
      <c r="AT996" s="45"/>
      <c r="AY996" s="45"/>
      <c r="BH996" s="45"/>
      <c r="BK996" s="45"/>
      <c r="BT996" s="45"/>
      <c r="BU996" s="45"/>
      <c r="CK996" s="10"/>
      <c r="EF996" s="20"/>
      <c r="FD996" s="21"/>
      <c r="FE996" s="21"/>
      <c r="FN996" s="22"/>
      <c r="FO996" s="22"/>
      <c r="FZ996" s="23"/>
      <c r="GA996" s="23"/>
      <c r="JD996" s="26"/>
      <c r="JE996" s="26"/>
      <c r="JF996" s="27"/>
      <c r="JG996" s="27"/>
      <c r="KL996" s="28"/>
      <c r="KP996" s="28"/>
      <c r="KT996" s="28"/>
      <c r="KX996" s="28"/>
      <c r="LB996" s="28"/>
      <c r="LF996" s="28"/>
      <c r="LJ996" s="28"/>
    </row>
    <row r="997" spans="1:322" ht="13.2">
      <c r="A997" s="42"/>
      <c r="B997" s="42"/>
      <c r="C997" s="42"/>
      <c r="D997" s="52"/>
      <c r="E997" s="52"/>
      <c r="O997" s="43"/>
      <c r="AL997" s="44"/>
      <c r="AM997" s="44"/>
      <c r="AN997" s="44"/>
      <c r="AO997" s="44"/>
      <c r="AP997" s="44"/>
      <c r="AQ997" s="44"/>
      <c r="AR997" s="44"/>
      <c r="AS997" s="44"/>
      <c r="AT997" s="45"/>
      <c r="AY997" s="45"/>
      <c r="BH997" s="45"/>
      <c r="BK997" s="45"/>
      <c r="BT997" s="45"/>
      <c r="BU997" s="45"/>
      <c r="CK997" s="10"/>
      <c r="EF997" s="20"/>
      <c r="FD997" s="21"/>
      <c r="FE997" s="21"/>
      <c r="FN997" s="22"/>
      <c r="FO997" s="22"/>
      <c r="FZ997" s="23"/>
      <c r="GA997" s="23"/>
      <c r="JD997" s="26"/>
      <c r="JE997" s="26"/>
      <c r="JF997" s="27"/>
      <c r="JG997" s="27"/>
      <c r="KL997" s="28"/>
      <c r="KP997" s="28"/>
      <c r="KT997" s="28"/>
      <c r="KX997" s="28"/>
      <c r="LB997" s="28"/>
      <c r="LF997" s="28"/>
      <c r="LJ997" s="28"/>
    </row>
    <row r="998" spans="1:322" ht="13.2">
      <c r="A998" s="42"/>
      <c r="B998" s="42"/>
      <c r="C998" s="42"/>
      <c r="D998" s="52"/>
      <c r="E998" s="52"/>
      <c r="O998" s="43"/>
      <c r="AL998" s="44"/>
      <c r="AM998" s="44"/>
      <c r="AN998" s="44"/>
      <c r="AO998" s="44"/>
      <c r="AP998" s="44"/>
      <c r="AQ998" s="44"/>
      <c r="AR998" s="44"/>
      <c r="AS998" s="44"/>
      <c r="AT998" s="45"/>
      <c r="AY998" s="45"/>
      <c r="BH998" s="45"/>
      <c r="BK998" s="45"/>
      <c r="BT998" s="45"/>
      <c r="BU998" s="45"/>
      <c r="CK998" s="10"/>
      <c r="EF998" s="20"/>
      <c r="FD998" s="21"/>
      <c r="FE998" s="21"/>
      <c r="FN998" s="22"/>
      <c r="FO998" s="22"/>
      <c r="FZ998" s="23"/>
      <c r="GA998" s="23"/>
      <c r="JD998" s="26"/>
      <c r="JE998" s="26"/>
      <c r="JF998" s="27"/>
      <c r="JG998" s="27"/>
      <c r="KL998" s="28"/>
      <c r="KP998" s="28"/>
      <c r="KT998" s="28"/>
      <c r="KX998" s="28"/>
      <c r="LB998" s="28"/>
      <c r="LF998" s="28"/>
      <c r="LJ998" s="28"/>
    </row>
    <row r="999" spans="1:322" ht="13.2">
      <c r="A999" s="42"/>
      <c r="B999" s="42"/>
      <c r="C999" s="42"/>
      <c r="D999" s="52"/>
      <c r="E999" s="52"/>
      <c r="O999" s="43"/>
      <c r="AL999" s="44"/>
      <c r="AM999" s="44"/>
      <c r="AN999" s="44"/>
      <c r="AO999" s="44"/>
      <c r="AP999" s="44"/>
      <c r="AQ999" s="44"/>
      <c r="AR999" s="44"/>
      <c r="AS999" s="44"/>
      <c r="AT999" s="45"/>
      <c r="AY999" s="45"/>
      <c r="BH999" s="45"/>
      <c r="BK999" s="45"/>
      <c r="BT999" s="45"/>
      <c r="BU999" s="45"/>
      <c r="CK999" s="10"/>
      <c r="EF999" s="20"/>
      <c r="FD999" s="21"/>
      <c r="FE999" s="21"/>
      <c r="FN999" s="22"/>
      <c r="FO999" s="22"/>
      <c r="FZ999" s="23"/>
      <c r="GA999" s="23"/>
      <c r="JD999" s="26"/>
      <c r="JE999" s="26"/>
      <c r="JF999" s="27"/>
      <c r="JG999" s="27"/>
      <c r="KL999" s="28"/>
      <c r="KP999" s="28"/>
      <c r="KT999" s="28"/>
      <c r="KX999" s="28"/>
      <c r="LB999" s="28"/>
      <c r="LF999" s="28"/>
      <c r="LJ999" s="28"/>
    </row>
  </sheetData>
  <autoFilter ref="I36:J36" xr:uid="{00000000-0009-0000-0000-000000000000}"/>
  <phoneticPr fontId="2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19"/>
  <sheetViews>
    <sheetView workbookViewId="0">
      <selection activeCell="D19" sqref="A18:D19"/>
    </sheetView>
  </sheetViews>
  <sheetFormatPr baseColWidth="10" defaultColWidth="12.6640625" defaultRowHeight="15.75" customHeight="1"/>
  <cols>
    <col min="1" max="1" width="16" customWidth="1"/>
    <col min="3" max="3" width="32.109375" customWidth="1"/>
    <col min="4" max="4" width="27.6640625" customWidth="1"/>
  </cols>
  <sheetData>
    <row r="2" spans="1:4" ht="15.75" customHeight="1">
      <c r="A2" s="53" t="s">
        <v>829</v>
      </c>
      <c r="B2" s="53"/>
      <c r="C2" s="53" t="s">
        <v>830</v>
      </c>
      <c r="D2" s="53" t="s">
        <v>831</v>
      </c>
    </row>
    <row r="3" spans="1:4" ht="15.75" customHeight="1">
      <c r="A3" s="39">
        <v>4</v>
      </c>
      <c r="B3" s="39"/>
      <c r="C3" s="39" t="s">
        <v>832</v>
      </c>
      <c r="D3" s="39"/>
    </row>
    <row r="4" spans="1:4" ht="15.75" customHeight="1">
      <c r="A4" s="39">
        <v>7</v>
      </c>
      <c r="B4" s="39"/>
      <c r="C4" s="39" t="s">
        <v>832</v>
      </c>
      <c r="D4" s="39"/>
    </row>
    <row r="5" spans="1:4" ht="15.75" customHeight="1">
      <c r="A5" s="39">
        <v>12</v>
      </c>
      <c r="B5" s="39"/>
      <c r="C5" s="39" t="s">
        <v>832</v>
      </c>
      <c r="D5" s="39"/>
    </row>
    <row r="6" spans="1:4" ht="15.75" customHeight="1">
      <c r="A6" s="54">
        <v>28</v>
      </c>
      <c r="B6" s="54"/>
      <c r="C6" s="54" t="s">
        <v>833</v>
      </c>
      <c r="D6" s="54" t="s">
        <v>834</v>
      </c>
    </row>
    <row r="7" spans="1:4" ht="15.75" customHeight="1">
      <c r="A7" s="54">
        <v>29</v>
      </c>
      <c r="B7" s="54"/>
      <c r="C7" s="54" t="s">
        <v>833</v>
      </c>
      <c r="D7" s="54" t="s">
        <v>834</v>
      </c>
    </row>
    <row r="8" spans="1:4" ht="15.75" customHeight="1">
      <c r="A8" s="39">
        <v>34</v>
      </c>
      <c r="B8" s="39"/>
      <c r="C8" s="39" t="s">
        <v>832</v>
      </c>
      <c r="D8" s="39"/>
    </row>
    <row r="9" spans="1:4" ht="15.75" customHeight="1">
      <c r="A9" s="39">
        <v>45</v>
      </c>
      <c r="B9" s="39"/>
      <c r="C9" s="39" t="s">
        <v>832</v>
      </c>
      <c r="D9" s="39"/>
    </row>
    <row r="10" spans="1:4" ht="15.75" customHeight="1">
      <c r="A10" s="39">
        <v>46</v>
      </c>
      <c r="B10" s="39"/>
      <c r="C10" s="39" t="s">
        <v>832</v>
      </c>
      <c r="D10" s="39"/>
    </row>
    <row r="11" spans="1:4" ht="15.75" customHeight="1">
      <c r="A11" s="39">
        <v>49</v>
      </c>
      <c r="B11" s="39"/>
      <c r="C11" s="39" t="s">
        <v>832</v>
      </c>
      <c r="D11" s="39"/>
    </row>
    <row r="12" spans="1:4" ht="15.75" customHeight="1">
      <c r="A12" s="39">
        <v>51</v>
      </c>
      <c r="B12" s="39"/>
      <c r="C12" s="39" t="s">
        <v>832</v>
      </c>
      <c r="D12" s="39"/>
    </row>
    <row r="13" spans="1:4" ht="15.75" customHeight="1">
      <c r="A13" s="54">
        <v>60</v>
      </c>
      <c r="B13" s="54"/>
      <c r="C13" s="54" t="s">
        <v>833</v>
      </c>
      <c r="D13" s="54" t="s">
        <v>834</v>
      </c>
    </row>
    <row r="14" spans="1:4" ht="15.75" customHeight="1">
      <c r="A14" s="54">
        <v>63</v>
      </c>
      <c r="B14" s="54"/>
      <c r="C14" s="54" t="s">
        <v>833</v>
      </c>
      <c r="D14" s="54" t="s">
        <v>834</v>
      </c>
    </row>
    <row r="15" spans="1:4" ht="15.75" customHeight="1">
      <c r="A15" s="39">
        <v>62</v>
      </c>
      <c r="B15" s="39"/>
      <c r="C15" s="39" t="s">
        <v>832</v>
      </c>
      <c r="D15" s="39"/>
    </row>
    <row r="16" spans="1:4" ht="15.75" customHeight="1">
      <c r="A16" s="39">
        <v>65</v>
      </c>
      <c r="B16" s="39"/>
      <c r="C16" s="39" t="s">
        <v>832</v>
      </c>
      <c r="D16" s="39"/>
    </row>
    <row r="17" spans="1:4" ht="15.75" customHeight="1">
      <c r="A17" s="39">
        <v>8</v>
      </c>
      <c r="B17" s="39"/>
      <c r="C17" s="39" t="s">
        <v>835</v>
      </c>
      <c r="D17" s="39"/>
    </row>
    <row r="18" spans="1:4" ht="15.75" customHeight="1">
      <c r="A18" s="39">
        <v>24</v>
      </c>
      <c r="B18" s="39"/>
      <c r="C18" s="39" t="s">
        <v>835</v>
      </c>
      <c r="D18" s="39"/>
    </row>
    <row r="19" spans="1:4" ht="15.75" customHeight="1">
      <c r="A19" s="39">
        <v>41</v>
      </c>
      <c r="B19" s="39"/>
      <c r="C19" s="39" t="s">
        <v>835</v>
      </c>
      <c r="D19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57"/>
  <sheetViews>
    <sheetView workbookViewId="0"/>
  </sheetViews>
  <sheetFormatPr baseColWidth="10" defaultColWidth="12.6640625" defaultRowHeight="15.75" customHeight="1"/>
  <cols>
    <col min="1" max="1" width="42.44140625" customWidth="1"/>
    <col min="5" max="5" width="16.44140625" customWidth="1"/>
    <col min="6" max="6" width="39.109375" customWidth="1"/>
    <col min="9" max="9" width="15.109375" customWidth="1"/>
  </cols>
  <sheetData>
    <row r="1" spans="1:10" ht="15.6">
      <c r="A1" s="56" t="s">
        <v>837</v>
      </c>
      <c r="B1" s="57"/>
      <c r="E1" s="165" t="s">
        <v>836</v>
      </c>
      <c r="F1" s="166"/>
      <c r="I1" s="58"/>
      <c r="J1" s="58"/>
    </row>
    <row r="2" spans="1:10" ht="13.8">
      <c r="A2" s="57" t="s">
        <v>837</v>
      </c>
      <c r="B2" s="57" t="s">
        <v>838</v>
      </c>
      <c r="E2" s="39" t="s">
        <v>140</v>
      </c>
      <c r="F2" s="39" t="s">
        <v>839</v>
      </c>
      <c r="I2" s="165" t="s">
        <v>840</v>
      </c>
      <c r="J2" s="166"/>
    </row>
    <row r="3" spans="1:10" ht="13.2">
      <c r="A3" s="59" t="s">
        <v>841</v>
      </c>
      <c r="B3" s="59" t="s">
        <v>842</v>
      </c>
      <c r="E3" s="39" t="s">
        <v>141</v>
      </c>
      <c r="F3" s="39" t="s">
        <v>843</v>
      </c>
      <c r="I3" s="39" t="s">
        <v>844</v>
      </c>
      <c r="J3" s="39" t="s">
        <v>845</v>
      </c>
    </row>
    <row r="4" spans="1:10" ht="13.2">
      <c r="A4" s="59"/>
      <c r="B4" s="59"/>
      <c r="E4" s="53"/>
      <c r="F4" s="39"/>
      <c r="I4" s="39" t="s">
        <v>846</v>
      </c>
      <c r="J4" s="39" t="s">
        <v>847</v>
      </c>
    </row>
    <row r="5" spans="1:10" ht="13.2">
      <c r="A5" s="59" t="s">
        <v>848</v>
      </c>
      <c r="B5" s="59"/>
      <c r="E5" s="53" t="s">
        <v>849</v>
      </c>
      <c r="F5" s="39" t="s">
        <v>850</v>
      </c>
      <c r="I5" s="39" t="s">
        <v>851</v>
      </c>
      <c r="J5" s="39" t="s">
        <v>852</v>
      </c>
    </row>
    <row r="6" spans="1:10" ht="13.2">
      <c r="A6" s="59" t="s">
        <v>853</v>
      </c>
      <c r="B6" s="59" t="s">
        <v>854</v>
      </c>
      <c r="E6" s="39" t="s">
        <v>143</v>
      </c>
      <c r="F6" s="39" t="s">
        <v>855</v>
      </c>
      <c r="I6" s="39" t="s">
        <v>856</v>
      </c>
      <c r="J6" s="39" t="s">
        <v>857</v>
      </c>
    </row>
    <row r="7" spans="1:10" ht="13.2">
      <c r="A7" s="59" t="s">
        <v>858</v>
      </c>
      <c r="B7" s="59" t="s">
        <v>859</v>
      </c>
      <c r="E7" s="39" t="s">
        <v>145</v>
      </c>
      <c r="F7" s="39" t="s">
        <v>860</v>
      </c>
      <c r="I7" s="39" t="s">
        <v>861</v>
      </c>
      <c r="J7" s="39" t="s">
        <v>862</v>
      </c>
    </row>
    <row r="8" spans="1:10" ht="13.2">
      <c r="A8" s="59" t="s">
        <v>863</v>
      </c>
      <c r="B8" s="59" t="s">
        <v>73</v>
      </c>
      <c r="E8" s="39" t="s">
        <v>864</v>
      </c>
      <c r="F8" s="39" t="s">
        <v>865</v>
      </c>
    </row>
    <row r="9" spans="1:10" ht="13.2">
      <c r="A9" s="59" t="s">
        <v>866</v>
      </c>
      <c r="B9" s="59" t="s">
        <v>74</v>
      </c>
      <c r="E9" s="39" t="s">
        <v>867</v>
      </c>
      <c r="F9" s="39" t="s">
        <v>868</v>
      </c>
    </row>
    <row r="10" spans="1:10" ht="13.2">
      <c r="A10" s="59" t="s">
        <v>869</v>
      </c>
      <c r="B10" s="59" t="s">
        <v>75</v>
      </c>
      <c r="E10" s="39" t="s">
        <v>870</v>
      </c>
      <c r="F10" s="39" t="s">
        <v>871</v>
      </c>
    </row>
    <row r="11" spans="1:10" ht="13.2">
      <c r="A11" s="59" t="s">
        <v>872</v>
      </c>
      <c r="B11" s="59" t="s">
        <v>76</v>
      </c>
      <c r="E11" s="39" t="s">
        <v>873</v>
      </c>
      <c r="F11" s="39" t="s">
        <v>874</v>
      </c>
    </row>
    <row r="12" spans="1:10" ht="13.2">
      <c r="A12" s="59" t="s">
        <v>875</v>
      </c>
      <c r="B12" s="59" t="s">
        <v>77</v>
      </c>
      <c r="E12" s="39" t="s">
        <v>876</v>
      </c>
      <c r="F12" s="39" t="s">
        <v>877</v>
      </c>
    </row>
    <row r="13" spans="1:10" ht="13.2">
      <c r="A13" s="59" t="s">
        <v>878</v>
      </c>
      <c r="B13" s="59" t="s">
        <v>78</v>
      </c>
      <c r="E13" s="39" t="s">
        <v>879</v>
      </c>
      <c r="F13" s="39" t="s">
        <v>880</v>
      </c>
    </row>
    <row r="14" spans="1:10" ht="13.2">
      <c r="A14" s="55"/>
      <c r="B14" s="55"/>
      <c r="E14" s="39" t="s">
        <v>881</v>
      </c>
      <c r="F14" s="39" t="s">
        <v>882</v>
      </c>
    </row>
    <row r="15" spans="1:10" ht="13.2">
      <c r="A15" s="55" t="s">
        <v>883</v>
      </c>
      <c r="B15" s="55" t="s">
        <v>884</v>
      </c>
      <c r="E15" s="39" t="s">
        <v>885</v>
      </c>
      <c r="F15" s="39" t="s">
        <v>886</v>
      </c>
    </row>
    <row r="16" spans="1:10" ht="13.2">
      <c r="A16" s="55" t="s">
        <v>887</v>
      </c>
      <c r="B16" s="55" t="s">
        <v>888</v>
      </c>
      <c r="E16" s="39" t="s">
        <v>889</v>
      </c>
      <c r="F16" s="39" t="s">
        <v>890</v>
      </c>
    </row>
    <row r="17" spans="1:6" ht="13.2">
      <c r="A17" s="55" t="s">
        <v>891</v>
      </c>
      <c r="B17" s="55" t="s">
        <v>778</v>
      </c>
      <c r="E17" s="39" t="s">
        <v>889</v>
      </c>
      <c r="F17" s="39" t="s">
        <v>892</v>
      </c>
    </row>
    <row r="18" spans="1:6" ht="13.2">
      <c r="A18" s="55" t="s">
        <v>893</v>
      </c>
      <c r="B18" s="55" t="s">
        <v>894</v>
      </c>
      <c r="E18" s="39" t="s">
        <v>895</v>
      </c>
      <c r="F18" s="39" t="s">
        <v>896</v>
      </c>
    </row>
    <row r="19" spans="1:6" ht="13.2">
      <c r="A19" s="55" t="s">
        <v>897</v>
      </c>
      <c r="B19" s="55" t="s">
        <v>898</v>
      </c>
      <c r="E19" s="39" t="s">
        <v>899</v>
      </c>
      <c r="F19" s="39" t="s">
        <v>900</v>
      </c>
    </row>
    <row r="20" spans="1:6" ht="13.2">
      <c r="A20" s="55" t="s">
        <v>901</v>
      </c>
      <c r="B20" s="55" t="s">
        <v>884</v>
      </c>
      <c r="E20" s="39" t="s">
        <v>902</v>
      </c>
      <c r="F20" s="39" t="s">
        <v>903</v>
      </c>
    </row>
    <row r="21" spans="1:6" ht="13.2">
      <c r="A21" s="55" t="s">
        <v>904</v>
      </c>
      <c r="B21" s="55" t="s">
        <v>905</v>
      </c>
      <c r="E21" s="39" t="s">
        <v>906</v>
      </c>
      <c r="F21" s="39" t="s">
        <v>907</v>
      </c>
    </row>
    <row r="22" spans="1:6" ht="13.2">
      <c r="A22" s="55" t="s">
        <v>908</v>
      </c>
      <c r="B22" s="55" t="s">
        <v>909</v>
      </c>
      <c r="E22" s="39" t="s">
        <v>910</v>
      </c>
      <c r="F22" s="39" t="s">
        <v>911</v>
      </c>
    </row>
    <row r="23" spans="1:6" ht="13.2">
      <c r="A23" s="39"/>
      <c r="B23" s="39"/>
      <c r="E23" s="39" t="s">
        <v>912</v>
      </c>
      <c r="F23" s="39" t="s">
        <v>913</v>
      </c>
    </row>
    <row r="24" spans="1:6" ht="13.2">
      <c r="A24" s="39" t="s">
        <v>914</v>
      </c>
      <c r="B24" s="39" t="s">
        <v>915</v>
      </c>
      <c r="E24" s="39" t="s">
        <v>916</v>
      </c>
      <c r="F24" s="39" t="s">
        <v>917</v>
      </c>
    </row>
    <row r="25" spans="1:6" ht="13.2">
      <c r="A25" s="39" t="s">
        <v>918</v>
      </c>
      <c r="B25" s="39" t="s">
        <v>919</v>
      </c>
      <c r="E25" s="39" t="s">
        <v>920</v>
      </c>
      <c r="F25" s="39" t="s">
        <v>921</v>
      </c>
    </row>
    <row r="26" spans="1:6" ht="13.2">
      <c r="A26" s="39" t="s">
        <v>922</v>
      </c>
      <c r="B26" s="39" t="s">
        <v>923</v>
      </c>
      <c r="E26" s="39" t="s">
        <v>924</v>
      </c>
      <c r="F26" s="39" t="s">
        <v>925</v>
      </c>
    </row>
    <row r="27" spans="1:6" ht="13.2">
      <c r="A27" s="39" t="s">
        <v>926</v>
      </c>
      <c r="B27" s="39" t="s">
        <v>927</v>
      </c>
      <c r="E27" s="39" t="s">
        <v>928</v>
      </c>
      <c r="F27" s="39" t="s">
        <v>929</v>
      </c>
    </row>
    <row r="28" spans="1:6" ht="13.2">
      <c r="A28" s="39"/>
      <c r="B28" s="39"/>
      <c r="E28" s="39" t="s">
        <v>930</v>
      </c>
      <c r="F28" s="39" t="s">
        <v>931</v>
      </c>
    </row>
    <row r="29" spans="1:6" ht="13.2">
      <c r="A29" s="39" t="s">
        <v>932</v>
      </c>
      <c r="B29" s="39" t="s">
        <v>933</v>
      </c>
      <c r="E29" s="39" t="s">
        <v>167</v>
      </c>
      <c r="F29" s="39" t="s">
        <v>934</v>
      </c>
    </row>
    <row r="30" spans="1:6" ht="13.2">
      <c r="A30" s="39" t="s">
        <v>935</v>
      </c>
      <c r="B30" s="39" t="s">
        <v>936</v>
      </c>
      <c r="E30" s="39" t="s">
        <v>168</v>
      </c>
      <c r="F30" s="39" t="s">
        <v>937</v>
      </c>
    </row>
    <row r="31" spans="1:6" ht="13.2">
      <c r="A31" s="39" t="s">
        <v>938</v>
      </c>
      <c r="B31" s="39" t="s">
        <v>939</v>
      </c>
    </row>
    <row r="32" spans="1:6" ht="13.2">
      <c r="A32" s="39" t="s">
        <v>940</v>
      </c>
      <c r="B32" s="39" t="s">
        <v>941</v>
      </c>
    </row>
    <row r="33" spans="1:2" ht="13.2">
      <c r="A33" s="39"/>
      <c r="B33" s="39"/>
    </row>
    <row r="34" spans="1:2" ht="13.2">
      <c r="A34" s="39" t="s">
        <v>942</v>
      </c>
      <c r="B34" s="39" t="s">
        <v>943</v>
      </c>
    </row>
    <row r="35" spans="1:2" ht="13.2">
      <c r="A35" s="39" t="s">
        <v>944</v>
      </c>
      <c r="B35" s="39" t="s">
        <v>945</v>
      </c>
    </row>
    <row r="36" spans="1:2" ht="13.2">
      <c r="A36" s="39" t="s">
        <v>946</v>
      </c>
      <c r="B36" s="39" t="s">
        <v>923</v>
      </c>
    </row>
    <row r="37" spans="1:2" ht="13.2">
      <c r="A37" s="39" t="s">
        <v>947</v>
      </c>
      <c r="B37" s="39" t="s">
        <v>927</v>
      </c>
    </row>
    <row r="38" spans="1:2" ht="13.2">
      <c r="A38" s="39"/>
      <c r="B38" s="39"/>
    </row>
    <row r="39" spans="1:2" ht="13.2">
      <c r="A39" s="39" t="s">
        <v>948</v>
      </c>
      <c r="B39" s="39" t="s">
        <v>949</v>
      </c>
    </row>
    <row r="40" spans="1:2" ht="13.2">
      <c r="A40" s="39" t="s">
        <v>950</v>
      </c>
      <c r="B40" s="39" t="s">
        <v>951</v>
      </c>
    </row>
    <row r="41" spans="1:2" ht="13.2">
      <c r="A41" s="39" t="s">
        <v>952</v>
      </c>
      <c r="B41" s="39" t="s">
        <v>953</v>
      </c>
    </row>
    <row r="42" spans="1:2" ht="13.2">
      <c r="A42" s="39" t="s">
        <v>954</v>
      </c>
      <c r="B42" s="39" t="s">
        <v>927</v>
      </c>
    </row>
    <row r="43" spans="1:2" ht="13.2">
      <c r="A43" s="39" t="s">
        <v>955</v>
      </c>
      <c r="B43" s="39" t="s">
        <v>956</v>
      </c>
    </row>
    <row r="44" spans="1:2" ht="13.2">
      <c r="A44" s="39"/>
      <c r="B44" s="39"/>
    </row>
    <row r="45" spans="1:2" ht="18.75" customHeight="1">
      <c r="A45" s="39" t="s">
        <v>957</v>
      </c>
      <c r="B45" s="39" t="s">
        <v>933</v>
      </c>
    </row>
    <row r="46" spans="1:2" ht="13.2">
      <c r="A46" s="39" t="s">
        <v>958</v>
      </c>
      <c r="B46" s="39" t="s">
        <v>959</v>
      </c>
    </row>
    <row r="47" spans="1:2" ht="13.2">
      <c r="A47" s="39" t="s">
        <v>960</v>
      </c>
      <c r="B47" s="39" t="s">
        <v>939</v>
      </c>
    </row>
    <row r="48" spans="1:2" ht="13.2">
      <c r="A48" s="39"/>
      <c r="B48" s="39"/>
    </row>
    <row r="49" spans="1:2" ht="15" customHeight="1">
      <c r="A49" s="39" t="s">
        <v>961</v>
      </c>
      <c r="B49" s="39" t="s">
        <v>962</v>
      </c>
    </row>
    <row r="50" spans="1:2" ht="13.2">
      <c r="A50" s="39" t="s">
        <v>963</v>
      </c>
      <c r="B50" s="39" t="s">
        <v>936</v>
      </c>
    </row>
    <row r="51" spans="1:2" ht="18.75" customHeight="1">
      <c r="A51" s="39" t="s">
        <v>964</v>
      </c>
      <c r="B51" s="39" t="s">
        <v>965</v>
      </c>
    </row>
    <row r="52" spans="1:2" ht="13.2">
      <c r="A52" s="39" t="s">
        <v>966</v>
      </c>
      <c r="B52" s="39" t="s">
        <v>967</v>
      </c>
    </row>
    <row r="53" spans="1:2" ht="13.2">
      <c r="A53" s="39" t="s">
        <v>968</v>
      </c>
      <c r="B53" s="39" t="s">
        <v>956</v>
      </c>
    </row>
    <row r="54" spans="1:2" ht="13.2">
      <c r="A54" s="39"/>
      <c r="B54" s="39"/>
    </row>
    <row r="55" spans="1:2" ht="13.2">
      <c r="A55" s="39" t="s">
        <v>969</v>
      </c>
      <c r="B55" s="39" t="s">
        <v>970</v>
      </c>
    </row>
    <row r="56" spans="1:2" ht="13.2">
      <c r="A56" s="39" t="s">
        <v>971</v>
      </c>
      <c r="B56" s="39" t="s">
        <v>972</v>
      </c>
    </row>
    <row r="57" spans="1:2" ht="13.2">
      <c r="A57" s="39" t="s">
        <v>973</v>
      </c>
      <c r="B57" s="39" t="s">
        <v>939</v>
      </c>
    </row>
  </sheetData>
  <mergeCells count="2">
    <mergeCell ref="E1:F1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de evaluación</vt:lpstr>
      <vt:lpstr>LOS QUE NO PASAN A LA PRUEBA</vt:lpstr>
      <vt:lpstr>Diccionario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</dc:creator>
  <cp:lastModifiedBy>Jorge Esparza</cp:lastModifiedBy>
  <dcterms:created xsi:type="dcterms:W3CDTF">2026-06-30T20:53:54Z</dcterms:created>
  <dcterms:modified xsi:type="dcterms:W3CDTF">2026-07-07T19:45:27Z</dcterms:modified>
</cp:coreProperties>
</file>